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05" codeName="{00000000-0000-0000-0000-000000000000}"/>
  <workbookPr updateLinks="never" codeName="ThisWorkbook" defaultThemeVersion="124226"/>
  <mc:AlternateContent xmlns:mc="http://schemas.openxmlformats.org/markup-compatibility/2006">
    <mc:Choice Requires="x15">
      <x15ac:absPath xmlns:x15ac="http://schemas.microsoft.com/office/spreadsheetml/2010/11/ac" url="https://hclo365.sharepoint.com/sites/HCL-ERS-MMT-CS/Shared Documents/General/CS_Req_Identification/"/>
    </mc:Choice>
  </mc:AlternateContent>
  <xr:revisionPtr revIDLastSave="104" documentId="11_E2DBD41DDEC2C071C037813777761740599FEAFF" xr6:coauthVersionLast="47" xr6:coauthVersionMax="47" xr10:uidLastSave="{FFF9B99B-D547-4B2A-8BF5-7EEAFBDDF772}"/>
  <bookViews>
    <workbookView xWindow="-120" yWindow="-120" windowWidth="20730" windowHeight="11160" tabRatio="908" firstSheet="7" activeTab="7" xr2:uid="{00000000-000D-0000-FFFF-FFFF00000000}"/>
  </bookViews>
  <sheets>
    <sheet name="Index" sheetId="15" r:id="rId1"/>
    <sheet name="Modification History &amp; Approval" sheetId="24" r:id="rId2"/>
    <sheet name="Guidelines" sheetId="22" r:id="rId3"/>
    <sheet name="Abbreviations" sheetId="18" r:id="rId4"/>
    <sheet name="Summary-Product-Requirement" sheetId="19" r:id="rId5"/>
    <sheet name="MLSR List" sheetId="20" r:id="rId6"/>
    <sheet name="Product-Requirement" sheetId="6" r:id="rId7"/>
    <sheet name="Unique Requirements" sheetId="23" r:id="rId8"/>
    <sheet name="Macro New" sheetId="14" state="hidden" r:id="rId9"/>
  </sheets>
  <externalReferences>
    <externalReference r:id="rId10"/>
    <externalReference r:id="rId11"/>
    <externalReference r:id="rId12"/>
    <externalReference r:id="rId13"/>
    <externalReference r:id="rId14"/>
    <externalReference r:id="rId15"/>
    <externalReference r:id="rId16"/>
    <externalReference r:id="rId17"/>
  </externalReferences>
  <definedNames>
    <definedName name="_xlnm._FilterDatabase" localSheetId="3" hidden="1">Abbreviations!$A$1:$B$106</definedName>
    <definedName name="_xlnm._FilterDatabase" localSheetId="5" hidden="1">'MLSR List'!$A$5:$K$6</definedName>
    <definedName name="_xlnm._FilterDatabase" localSheetId="6" hidden="1">'Product-Requirement'!$A$2:$M$2024</definedName>
    <definedName name="_xlnm._FilterDatabase" localSheetId="7" hidden="1">'Unique Requirements'!$A$2:$T$219</definedName>
    <definedName name="Analysis">'Macro New'!#REF!</definedName>
    <definedName name="Anomalies_and_Events">'Macro New'!#REF!</definedName>
    <definedName name="Asset_management">'Macro New'!#REF!</definedName>
    <definedName name="Awareness_and_Training">'Macro New'!#REF!</definedName>
    <definedName name="Business_environment">'Macro New'!#REF!</definedName>
    <definedName name="CLASSIFICATION" localSheetId="3">[1]Macro!$B$8:$B$9</definedName>
    <definedName name="CLASSIFICATION" localSheetId="2">'[2]Macro New'!$B$5:$B$6</definedName>
    <definedName name="CLASSIFICATION" localSheetId="0">[1]Macro!$B$8:$B$9</definedName>
    <definedName name="CLASSIFICATION" localSheetId="5">[1]Macro!$B$8:$B$9</definedName>
    <definedName name="CLASSIFICATION" localSheetId="4">[1]Macro!$B$8:$B$9</definedName>
    <definedName name="CLASSIFICATION" localSheetId="7">[1]Macro!$B$8:$B$9</definedName>
    <definedName name="CLASSIFICATION">'Macro New'!$B$5:$B$6</definedName>
    <definedName name="Clo" localSheetId="5">#REF!</definedName>
    <definedName name="Clo" localSheetId="7">#REF!</definedName>
    <definedName name="Clo">#REF!</definedName>
    <definedName name="Communications">'Macro New'!#REF!</definedName>
    <definedName name="Compilance_Level" localSheetId="5">[3]Macro!$G$61:$G$62</definedName>
    <definedName name="Compilance_Level" localSheetId="7">[1]Macro!$G$61:$G$62</definedName>
    <definedName name="Compilance_Level">[1]Macro!$G$61:$G$62</definedName>
    <definedName name="D" localSheetId="7">[3]Macro!$A$53</definedName>
    <definedName name="D">[3]Macro!$A$53</definedName>
    <definedName name="Data_Security">'Macro New'!#REF!</definedName>
    <definedName name="Detect">'Macro New'!$D$12:$D$13</definedName>
    <definedName name="Detection_Processes">'Macro New'!#REF!</definedName>
    <definedName name="Education_and_Training" localSheetId="2">'[2]Macro New'!#REF!</definedName>
    <definedName name="Education_and_Training">'Macro New'!#REF!</definedName>
    <definedName name="External_Communication" localSheetId="2">'[2]Macro New'!#REF!</definedName>
    <definedName name="External_Communication">'Macro New'!#REF!</definedName>
    <definedName name="Governance">'Macro New'!#REF!</definedName>
    <definedName name="Identify">'Macro New'!$B$12:$B$13</definedName>
    <definedName name="Identity_Management_Authentication_and_Access_Control">'Macro New'!#REF!</definedName>
    <definedName name="Improvements">'Macro New'!#REF!</definedName>
    <definedName name="Incident_Handling" localSheetId="2">'[2]Macro New'!#REF!</definedName>
    <definedName name="Incident_Handling">'Macro New'!#REF!</definedName>
    <definedName name="Information" localSheetId="3">'[4]Macro New'!$D$4</definedName>
    <definedName name="Information" localSheetId="2">'[2]Macro New'!$D$4</definedName>
    <definedName name="Information" localSheetId="0">'[4]Macro New'!$D$4</definedName>
    <definedName name="Information" localSheetId="5">'[5]Macro New'!$D$4</definedName>
    <definedName name="Information" localSheetId="4">'[4]Macro New'!$D$4</definedName>
    <definedName name="Information" localSheetId="7">'[4]Macro New'!$D$4</definedName>
    <definedName name="Information">'Macro New'!$D$4</definedName>
    <definedName name="Information_Protection_Processes_and_Procedures">'Macro New'!#REF!</definedName>
    <definedName name="IT" localSheetId="5">#REF!</definedName>
    <definedName name="IT" localSheetId="7">#REF!</definedName>
    <definedName name="IT">#REF!</definedName>
    <definedName name="Maintenance">'Macro New'!#REF!</definedName>
    <definedName name="Mitigation">'Macro New'!#REF!</definedName>
    <definedName name="NIST_FW" localSheetId="7">[6]Macro!$B$2:$F$2</definedName>
    <definedName name="NIST_FW">[6]Macro!$B$2:$F$2</definedName>
    <definedName name="Org" localSheetId="5">#REF!</definedName>
    <definedName name="Org" localSheetId="7">#REF!</definedName>
    <definedName name="Org">#REF!</definedName>
    <definedName name="Other" localSheetId="2">'[2]Macro New'!#REF!</definedName>
    <definedName name="Other">'Macro New'!#REF!</definedName>
    <definedName name="Other_Requirement" localSheetId="3">[6]Macro!$A$53</definedName>
    <definedName name="Other_Requirement" localSheetId="0">[6]Macro!$A$53</definedName>
    <definedName name="Other_Requirement" localSheetId="5">[6]Macro!$A$53</definedName>
    <definedName name="Other_Requirement" localSheetId="4">[6]Macro!$A$53</definedName>
    <definedName name="Other_Requirement" localSheetId="7">[6]Macro!$A$53</definedName>
    <definedName name="Other_Requirement">[7]Macro!$A$53</definedName>
    <definedName name="Process">'Macro New'!$B$11:$D$11</definedName>
    <definedName name="Product">'Macro New'!$B$11:$D$11</definedName>
    <definedName name="Protect">'Macro New'!$C$12:$C$13</definedName>
    <definedName name="Protective_Technology">'Macro New'!#REF!</definedName>
    <definedName name="Recover">'Macro New'!#REF!</definedName>
    <definedName name="Recovery_Communications">'Macro New'!#REF!</definedName>
    <definedName name="Recovery_Improvements">'Macro New'!#REF!</definedName>
    <definedName name="Recovery_Planning">'Macro New'!#REF!</definedName>
    <definedName name="Regulatory_submissions" localSheetId="2">'[2]Macro New'!#REF!</definedName>
    <definedName name="Regulatory_submissions">'Macro New'!#REF!</definedName>
    <definedName name="Req" localSheetId="5">#REF!</definedName>
    <definedName name="Req" localSheetId="7">#REF!</definedName>
    <definedName name="Req">#REF!</definedName>
    <definedName name="Requirement">'Macro New'!$D$7:$D$8</definedName>
    <definedName name="Requirement_Applicability" localSheetId="3">'[4]Macro New'!$J$13:$J$16</definedName>
    <definedName name="Requirement_Applicability" localSheetId="2">'[2]Macro New'!$J$11:$J$14</definedName>
    <definedName name="Requirement_Applicability" localSheetId="0">'[4]Macro New'!$J$13:$J$16</definedName>
    <definedName name="Requirement_Applicability" localSheetId="5">'[5]Macro New'!$J$14:$J$17</definedName>
    <definedName name="Requirement_Applicability" localSheetId="4">'[4]Macro New'!$J$13:$J$16</definedName>
    <definedName name="Requirement_Applicability" localSheetId="7">'[4]Macro New'!$J$13:$J$16</definedName>
    <definedName name="Requirement_Applicability">'Macro New'!#REF!</definedName>
    <definedName name="Respond">'Macro New'!#REF!</definedName>
    <definedName name="Respond_Communications">'Macro New'!#REF!</definedName>
    <definedName name="Respond_Improvements">'Macro New'!#REF!</definedName>
    <definedName name="Response_Planning">'Macro New'!#REF!</definedName>
    <definedName name="Responsible_by" localSheetId="3">[6]Macro!$B$61:$B$65</definedName>
    <definedName name="Responsible_by" localSheetId="2">'[2]Macro New'!$H$11:$H$15</definedName>
    <definedName name="Responsible_by" localSheetId="0">[6]Macro!$B$61:$B$65</definedName>
    <definedName name="Responsible_by" localSheetId="5">[6]Macro!$B$61:$B$65</definedName>
    <definedName name="Responsible_by" localSheetId="4">[6]Macro!$B$61:$B$65</definedName>
    <definedName name="Responsible_by" localSheetId="7">[6]Macro!$B$61:$B$65</definedName>
    <definedName name="Responsible_by">'Macro New'!#REF!</definedName>
    <definedName name="Risk_Assessment">'Macro New'!#REF!</definedName>
    <definedName name="Risk_Assessment_Olympus" localSheetId="2">'[2]Macro New'!#REF!</definedName>
    <definedName name="Risk_Assessment_Olympus">'Macro New'!#REF!</definedName>
    <definedName name="Risk_Management_Strategy">'Macro New'!#REF!</definedName>
    <definedName name="S" localSheetId="7">[8]Macro!$G$61:$G$62</definedName>
    <definedName name="S">[8]Macro!$G$61:$G$62</definedName>
    <definedName name="Security_Continuous_Monitoring">'Macro New'!#REF!</definedName>
    <definedName name="Security_Testing" localSheetId="2">'[2]Macro New'!#REF!</definedName>
    <definedName name="Security_Testing">'Macro New'!#REF!</definedName>
    <definedName name="Supply_Chain_Risk_Management">'Macro New'!#REF!</definedName>
    <definedName name="Sys" localSheetId="5">#REF!</definedName>
    <definedName name="Sys" localSheetId="7">#REF!</definedName>
    <definedName name="Sys">#REF!</definedName>
    <definedName name="Third_Party_Management" localSheetId="2">'[2]Macro New'!#REF!</definedName>
    <definedName name="Third_Party_Management">'Macro New'!#REF!</definedName>
    <definedName name="Vulnerability_management" localSheetId="2">'[2]Macro New'!#REF!</definedName>
    <definedName name="Vulnerability_management">'Macro New'!#REF!</definedName>
    <definedName name="Wir" localSheetId="5">#REF!</definedName>
    <definedName name="Wir" localSheetId="7">#REF!</definedName>
    <definedName name="Wi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22" l="1"/>
  <c r="G6" i="20" l="1"/>
  <c r="K67" i="23" l="1"/>
  <c r="G44" i="20" l="1"/>
  <c r="G43" i="20"/>
  <c r="G42" i="20"/>
  <c r="G41" i="20"/>
  <c r="G40" i="20"/>
  <c r="G39" i="20"/>
  <c r="G38" i="20"/>
  <c r="G37" i="20"/>
  <c r="G36" i="20"/>
  <c r="G35" i="20"/>
  <c r="G34" i="20"/>
  <c r="G32" i="20"/>
  <c r="G31" i="20"/>
  <c r="G30" i="20"/>
  <c r="G29" i="20"/>
  <c r="G28" i="20"/>
  <c r="G27" i="20"/>
  <c r="G26" i="20"/>
  <c r="G25" i="20"/>
  <c r="G24" i="20"/>
  <c r="G23" i="20"/>
  <c r="G22" i="20"/>
  <c r="G21" i="20"/>
  <c r="G20" i="20"/>
  <c r="G19" i="20"/>
  <c r="G18" i="20"/>
  <c r="G17" i="20"/>
  <c r="G16" i="20"/>
  <c r="G15" i="20"/>
  <c r="G14" i="20"/>
  <c r="G13" i="20"/>
  <c r="G12" i="20"/>
  <c r="G11" i="20"/>
  <c r="G10" i="20"/>
  <c r="G9" i="20"/>
  <c r="G8" i="20"/>
  <c r="G7" i="20"/>
  <c r="K210" i="23" l="1"/>
  <c r="J210" i="23"/>
  <c r="H210" i="23"/>
  <c r="G210" i="23"/>
  <c r="K211" i="23" l="1"/>
  <c r="J211" i="23"/>
  <c r="I211" i="23"/>
  <c r="H211" i="23"/>
  <c r="G211" i="23"/>
  <c r="J219" i="23" l="1"/>
  <c r="K219" i="23"/>
  <c r="I219" i="23"/>
  <c r="H219" i="23"/>
  <c r="G219" i="23"/>
  <c r="K212" i="23" l="1"/>
  <c r="J212" i="23"/>
  <c r="I212" i="23"/>
  <c r="H212" i="23"/>
  <c r="G212" i="23"/>
  <c r="K218" i="23"/>
  <c r="J218" i="23"/>
  <c r="I218" i="23"/>
  <c r="H218" i="23"/>
  <c r="G218" i="23"/>
  <c r="K217" i="23" l="1"/>
  <c r="J217" i="23"/>
  <c r="I217" i="23"/>
  <c r="H217" i="23"/>
  <c r="G217" i="23"/>
  <c r="K214" i="23"/>
  <c r="J214" i="23"/>
  <c r="I214" i="23"/>
  <c r="H214" i="23"/>
  <c r="G214" i="23"/>
  <c r="K213" i="23" l="1"/>
  <c r="J213" i="23"/>
  <c r="I213" i="23"/>
  <c r="H213" i="23"/>
  <c r="G213" i="23"/>
  <c r="G215" i="23" l="1"/>
  <c r="H215" i="23"/>
  <c r="I215" i="23"/>
  <c r="J215" i="23"/>
  <c r="K215" i="23"/>
  <c r="K209" i="23" l="1"/>
  <c r="J209" i="23"/>
  <c r="I209" i="23"/>
  <c r="H209" i="23"/>
  <c r="G209" i="23"/>
  <c r="K208" i="23"/>
  <c r="J208" i="23"/>
  <c r="I208" i="23"/>
  <c r="H208" i="23"/>
  <c r="G208" i="23"/>
  <c r="K207" i="23"/>
  <c r="J207" i="23"/>
  <c r="I207" i="23"/>
  <c r="H207" i="23"/>
  <c r="G207" i="23"/>
  <c r="K206" i="23"/>
  <c r="J206" i="23"/>
  <c r="I206" i="23"/>
  <c r="H206" i="23"/>
  <c r="G206" i="23"/>
  <c r="K205" i="23"/>
  <c r="J205" i="23"/>
  <c r="I205" i="23"/>
  <c r="H205" i="23"/>
  <c r="G205" i="23"/>
  <c r="K204" i="23"/>
  <c r="J204" i="23"/>
  <c r="I204" i="23"/>
  <c r="H204" i="23"/>
  <c r="G204" i="23"/>
  <c r="K203" i="23"/>
  <c r="J203" i="23"/>
  <c r="I203" i="23"/>
  <c r="H203" i="23"/>
  <c r="G203" i="23"/>
  <c r="K202" i="23"/>
  <c r="J202" i="23"/>
  <c r="I202" i="23"/>
  <c r="H202" i="23"/>
  <c r="G202" i="23"/>
  <c r="K201" i="23"/>
  <c r="J201" i="23"/>
  <c r="H201" i="23"/>
  <c r="G201" i="23"/>
  <c r="K200" i="23"/>
  <c r="J200" i="23"/>
  <c r="H200" i="23"/>
  <c r="G200" i="23"/>
  <c r="K199" i="23"/>
  <c r="J199" i="23"/>
  <c r="H199" i="23"/>
  <c r="G199" i="23"/>
  <c r="K198" i="23"/>
  <c r="J198" i="23"/>
  <c r="I198" i="23"/>
  <c r="H198" i="23"/>
  <c r="G198" i="23"/>
  <c r="K197" i="23"/>
  <c r="J197" i="23"/>
  <c r="I197" i="23"/>
  <c r="H197" i="23"/>
  <c r="G197" i="23"/>
  <c r="K196" i="23"/>
  <c r="J196" i="23"/>
  <c r="I196" i="23"/>
  <c r="H196" i="23"/>
  <c r="G196" i="23"/>
  <c r="K195" i="23"/>
  <c r="J195" i="23"/>
  <c r="I195" i="23"/>
  <c r="H195" i="23"/>
  <c r="G195" i="23"/>
  <c r="K194" i="23"/>
  <c r="J194" i="23"/>
  <c r="I194" i="23"/>
  <c r="H194" i="23"/>
  <c r="G194" i="23"/>
  <c r="K193" i="23"/>
  <c r="J193" i="23"/>
  <c r="I193" i="23"/>
  <c r="H193" i="23"/>
  <c r="G193" i="23"/>
  <c r="K192" i="23"/>
  <c r="J192" i="23"/>
  <c r="I192" i="23"/>
  <c r="H192" i="23"/>
  <c r="G192" i="23"/>
  <c r="K191" i="23"/>
  <c r="J191" i="23"/>
  <c r="I191" i="23"/>
  <c r="H191" i="23"/>
  <c r="G191" i="23"/>
  <c r="K190" i="23"/>
  <c r="J190" i="23"/>
  <c r="I190" i="23"/>
  <c r="H190" i="23"/>
  <c r="G190" i="23"/>
  <c r="K189" i="23"/>
  <c r="J189" i="23"/>
  <c r="I189" i="23"/>
  <c r="H189" i="23"/>
  <c r="G189" i="23"/>
  <c r="K188" i="23"/>
  <c r="J188" i="23"/>
  <c r="I188" i="23"/>
  <c r="H188" i="23"/>
  <c r="G188" i="23"/>
  <c r="K187" i="23"/>
  <c r="J187" i="23"/>
  <c r="I187" i="23"/>
  <c r="H187" i="23"/>
  <c r="G187" i="23"/>
  <c r="K186" i="23"/>
  <c r="J186" i="23"/>
  <c r="I186" i="23"/>
  <c r="H186" i="23"/>
  <c r="G186" i="23"/>
  <c r="K185" i="23"/>
  <c r="J185" i="23"/>
  <c r="I185" i="23"/>
  <c r="H185" i="23"/>
  <c r="G185" i="23"/>
  <c r="K184" i="23"/>
  <c r="J184" i="23"/>
  <c r="I184" i="23"/>
  <c r="H184" i="23"/>
  <c r="G184" i="23"/>
  <c r="K183" i="23"/>
  <c r="J183" i="23"/>
  <c r="I183" i="23"/>
  <c r="H183" i="23"/>
  <c r="G183" i="23"/>
  <c r="K182" i="23"/>
  <c r="J182" i="23"/>
  <c r="I182" i="23"/>
  <c r="H182" i="23"/>
  <c r="G182" i="23"/>
  <c r="K181" i="23"/>
  <c r="J181" i="23"/>
  <c r="I181" i="23"/>
  <c r="H181" i="23"/>
  <c r="G181" i="23"/>
  <c r="K180" i="23"/>
  <c r="J180" i="23"/>
  <c r="I180" i="23"/>
  <c r="H180" i="23"/>
  <c r="G180" i="23"/>
  <c r="K179" i="23"/>
  <c r="J179" i="23"/>
  <c r="I179" i="23"/>
  <c r="H179" i="23"/>
  <c r="G179" i="23"/>
  <c r="K178" i="23"/>
  <c r="J178" i="23"/>
  <c r="H178" i="23"/>
  <c r="G178" i="23"/>
  <c r="K177" i="23"/>
  <c r="J177" i="23"/>
  <c r="I177" i="23"/>
  <c r="H177" i="23"/>
  <c r="G177" i="23"/>
  <c r="K176" i="23"/>
  <c r="J176" i="23"/>
  <c r="H176" i="23"/>
  <c r="G176" i="23"/>
  <c r="K175" i="23"/>
  <c r="J175" i="23"/>
  <c r="I175" i="23"/>
  <c r="H175" i="23"/>
  <c r="G175" i="23"/>
  <c r="K174" i="23"/>
  <c r="J174" i="23"/>
  <c r="I174" i="23"/>
  <c r="H174" i="23"/>
  <c r="G174" i="23"/>
  <c r="K173" i="23"/>
  <c r="J173" i="23"/>
  <c r="I173" i="23"/>
  <c r="H173" i="23"/>
  <c r="G173" i="23"/>
  <c r="K172" i="23"/>
  <c r="J172" i="23"/>
  <c r="I172" i="23"/>
  <c r="H172" i="23"/>
  <c r="G172" i="23"/>
  <c r="K171" i="23"/>
  <c r="J171" i="23"/>
  <c r="I171" i="23"/>
  <c r="H171" i="23"/>
  <c r="G171" i="23"/>
  <c r="K170" i="23"/>
  <c r="J170" i="23"/>
  <c r="I170" i="23"/>
  <c r="H170" i="23"/>
  <c r="G170" i="23"/>
  <c r="K169" i="23"/>
  <c r="J169" i="23"/>
  <c r="I169" i="23"/>
  <c r="H169" i="23"/>
  <c r="G169" i="23"/>
  <c r="K168" i="23"/>
  <c r="J168" i="23"/>
  <c r="I168" i="23"/>
  <c r="H168" i="23"/>
  <c r="G168" i="23"/>
  <c r="K167" i="23"/>
  <c r="J167" i="23"/>
  <c r="I167" i="23"/>
  <c r="H167" i="23"/>
  <c r="G167" i="23"/>
  <c r="K166" i="23"/>
  <c r="J166" i="23"/>
  <c r="I166" i="23"/>
  <c r="H166" i="23"/>
  <c r="G166" i="23"/>
  <c r="K165" i="23"/>
  <c r="J165" i="23"/>
  <c r="I165" i="23"/>
  <c r="H165" i="23"/>
  <c r="G165" i="23"/>
  <c r="K164" i="23"/>
  <c r="J164" i="23"/>
  <c r="I164" i="23"/>
  <c r="H164" i="23"/>
  <c r="G164" i="23"/>
  <c r="K163" i="23"/>
  <c r="J163" i="23"/>
  <c r="I163" i="23"/>
  <c r="H163" i="23"/>
  <c r="G163" i="23"/>
  <c r="K162" i="23"/>
  <c r="J162" i="23"/>
  <c r="I162" i="23"/>
  <c r="H162" i="23"/>
  <c r="G162" i="23"/>
  <c r="K161" i="23"/>
  <c r="J161" i="23"/>
  <c r="I161" i="23"/>
  <c r="H161" i="23"/>
  <c r="G161" i="23"/>
  <c r="K160" i="23"/>
  <c r="J160" i="23"/>
  <c r="I160" i="23"/>
  <c r="H160" i="23"/>
  <c r="G160" i="23"/>
  <c r="K159" i="23"/>
  <c r="J159" i="23"/>
  <c r="I159" i="23"/>
  <c r="H159" i="23"/>
  <c r="G159" i="23"/>
  <c r="K158" i="23"/>
  <c r="J158" i="23"/>
  <c r="I158" i="23"/>
  <c r="H158" i="23"/>
  <c r="G158" i="23"/>
  <c r="K157" i="23"/>
  <c r="J157" i="23"/>
  <c r="I157" i="23"/>
  <c r="H157" i="23"/>
  <c r="G157" i="23"/>
  <c r="K216" i="23"/>
  <c r="J216" i="23"/>
  <c r="I216" i="23"/>
  <c r="H216" i="23"/>
  <c r="G216" i="23"/>
  <c r="K156" i="23"/>
  <c r="J156" i="23"/>
  <c r="H156" i="23"/>
  <c r="G156" i="23"/>
  <c r="K155" i="23"/>
  <c r="J155" i="23"/>
  <c r="I155" i="23"/>
  <c r="H155" i="23"/>
  <c r="G155" i="23"/>
  <c r="K154" i="23"/>
  <c r="J154" i="23"/>
  <c r="I154" i="23"/>
  <c r="H154" i="23"/>
  <c r="G154" i="23"/>
  <c r="K153" i="23"/>
  <c r="J153" i="23"/>
  <c r="I153" i="23"/>
  <c r="H153" i="23"/>
  <c r="G153" i="23"/>
  <c r="K152" i="23"/>
  <c r="J152" i="23"/>
  <c r="I152" i="23"/>
  <c r="H152" i="23"/>
  <c r="G152" i="23"/>
  <c r="K151" i="23"/>
  <c r="J151" i="23"/>
  <c r="I151" i="23"/>
  <c r="H151" i="23"/>
  <c r="G151" i="23"/>
  <c r="K150" i="23"/>
  <c r="J150" i="23"/>
  <c r="I150" i="23"/>
  <c r="H150" i="23"/>
  <c r="G150" i="23"/>
  <c r="K149" i="23"/>
  <c r="J149" i="23"/>
  <c r="I149" i="23"/>
  <c r="H149" i="23"/>
  <c r="G149" i="23"/>
  <c r="K148" i="23"/>
  <c r="J148" i="23"/>
  <c r="I148" i="23"/>
  <c r="H148" i="23"/>
  <c r="G148" i="23"/>
  <c r="K147" i="23"/>
  <c r="J147" i="23"/>
  <c r="I147" i="23"/>
  <c r="H147" i="23"/>
  <c r="G147" i="23"/>
  <c r="K146" i="23"/>
  <c r="J146" i="23"/>
  <c r="I146" i="23"/>
  <c r="H146" i="23"/>
  <c r="G146" i="23"/>
  <c r="K145" i="23"/>
  <c r="J145" i="23"/>
  <c r="I145" i="23"/>
  <c r="H145" i="23"/>
  <c r="G145" i="23"/>
  <c r="K144" i="23"/>
  <c r="J144" i="23"/>
  <c r="I144" i="23"/>
  <c r="H144" i="23"/>
  <c r="G144" i="23"/>
  <c r="K143" i="23"/>
  <c r="J143" i="23"/>
  <c r="I143" i="23"/>
  <c r="H143" i="23"/>
  <c r="G143" i="23"/>
  <c r="K142" i="23"/>
  <c r="J142" i="23"/>
  <c r="I142" i="23"/>
  <c r="H142" i="23"/>
  <c r="G142" i="23"/>
  <c r="K141" i="23"/>
  <c r="J141" i="23"/>
  <c r="I141" i="23"/>
  <c r="H141" i="23"/>
  <c r="G141" i="23"/>
  <c r="K140" i="23"/>
  <c r="J140" i="23"/>
  <c r="I140" i="23"/>
  <c r="H140" i="23"/>
  <c r="G140" i="23"/>
  <c r="K139" i="23"/>
  <c r="J139" i="23"/>
  <c r="I139" i="23"/>
  <c r="H139" i="23"/>
  <c r="G139" i="23"/>
  <c r="K138" i="23"/>
  <c r="J138" i="23"/>
  <c r="I138" i="23"/>
  <c r="H138" i="23"/>
  <c r="G138" i="23"/>
  <c r="K137" i="23"/>
  <c r="J137" i="23"/>
  <c r="I137" i="23"/>
  <c r="H137" i="23"/>
  <c r="G137" i="23"/>
  <c r="K136" i="23"/>
  <c r="J136" i="23"/>
  <c r="I136" i="23"/>
  <c r="H136" i="23"/>
  <c r="G136" i="23"/>
  <c r="K135" i="23"/>
  <c r="J135" i="23"/>
  <c r="I135" i="23"/>
  <c r="H135" i="23"/>
  <c r="G135" i="23"/>
  <c r="K134" i="23"/>
  <c r="J134" i="23"/>
  <c r="I134" i="23"/>
  <c r="H134" i="23"/>
  <c r="G134" i="23"/>
  <c r="K133" i="23"/>
  <c r="J133" i="23"/>
  <c r="I133" i="23"/>
  <c r="H133" i="23"/>
  <c r="G133" i="23"/>
  <c r="K132" i="23"/>
  <c r="J132" i="23"/>
  <c r="I132" i="23"/>
  <c r="H132" i="23"/>
  <c r="G132" i="23"/>
  <c r="K131" i="23"/>
  <c r="J131" i="23"/>
  <c r="I131" i="23"/>
  <c r="H131" i="23"/>
  <c r="G131" i="23"/>
  <c r="K130" i="23"/>
  <c r="J130" i="23"/>
  <c r="I130" i="23"/>
  <c r="H130" i="23"/>
  <c r="G130" i="23"/>
  <c r="K129" i="23"/>
  <c r="J129" i="23"/>
  <c r="I129" i="23"/>
  <c r="H129" i="23"/>
  <c r="G129" i="23"/>
  <c r="K128" i="23"/>
  <c r="J128" i="23"/>
  <c r="I128" i="23"/>
  <c r="H128" i="23"/>
  <c r="G128" i="23"/>
  <c r="K127" i="23"/>
  <c r="J127" i="23"/>
  <c r="I127" i="23"/>
  <c r="H127" i="23"/>
  <c r="G127" i="23"/>
  <c r="K126" i="23"/>
  <c r="J126" i="23"/>
  <c r="I126" i="23"/>
  <c r="H126" i="23"/>
  <c r="G126" i="23"/>
  <c r="K125" i="23"/>
  <c r="J125" i="23"/>
  <c r="I125" i="23"/>
  <c r="H125" i="23"/>
  <c r="G125" i="23"/>
  <c r="K124" i="23"/>
  <c r="J124" i="23"/>
  <c r="I124" i="23"/>
  <c r="H124" i="23"/>
  <c r="G124" i="23"/>
  <c r="K123" i="23"/>
  <c r="J123" i="23"/>
  <c r="I123" i="23"/>
  <c r="H123" i="23"/>
  <c r="G123" i="23"/>
  <c r="K122" i="23"/>
  <c r="J122" i="23"/>
  <c r="I122" i="23"/>
  <c r="H122" i="23"/>
  <c r="G122" i="23"/>
  <c r="K121" i="23"/>
  <c r="J121" i="23"/>
  <c r="I121" i="23"/>
  <c r="H121" i="23"/>
  <c r="G121" i="23"/>
  <c r="K120" i="23"/>
  <c r="J120" i="23"/>
  <c r="I120" i="23"/>
  <c r="H120" i="23"/>
  <c r="G120" i="23"/>
  <c r="K119" i="23"/>
  <c r="J119" i="23"/>
  <c r="I119" i="23"/>
  <c r="H119" i="23"/>
  <c r="G119" i="23"/>
  <c r="K118" i="23"/>
  <c r="J118" i="23"/>
  <c r="I118" i="23"/>
  <c r="H118" i="23"/>
  <c r="G118" i="23"/>
  <c r="K117" i="23"/>
  <c r="J117" i="23"/>
  <c r="I117" i="23"/>
  <c r="H117" i="23"/>
  <c r="G117" i="23"/>
  <c r="K116" i="23"/>
  <c r="J116" i="23"/>
  <c r="I116" i="23"/>
  <c r="H116" i="23"/>
  <c r="G116" i="23"/>
  <c r="K115" i="23"/>
  <c r="J115" i="23"/>
  <c r="I115" i="23"/>
  <c r="H115" i="23"/>
  <c r="G115" i="23"/>
  <c r="K114" i="23"/>
  <c r="J114" i="23"/>
  <c r="I114" i="23"/>
  <c r="H114" i="23"/>
  <c r="G114" i="23"/>
  <c r="K113" i="23"/>
  <c r="J113" i="23"/>
  <c r="H113" i="23"/>
  <c r="G113" i="23"/>
  <c r="K112" i="23"/>
  <c r="J112" i="23"/>
  <c r="H112" i="23"/>
  <c r="G112" i="23"/>
  <c r="K111" i="23"/>
  <c r="J111" i="23"/>
  <c r="H111" i="23"/>
  <c r="G111" i="23"/>
  <c r="K110" i="23"/>
  <c r="J110" i="23"/>
  <c r="H110" i="23"/>
  <c r="G110" i="23"/>
  <c r="K109" i="23"/>
  <c r="J109" i="23"/>
  <c r="H109" i="23"/>
  <c r="G109" i="23"/>
  <c r="K108" i="23"/>
  <c r="J108" i="23"/>
  <c r="H108" i="23"/>
  <c r="G108" i="23"/>
  <c r="K107" i="23"/>
  <c r="J107" i="23"/>
  <c r="H107" i="23"/>
  <c r="G107" i="23"/>
  <c r="K106" i="23"/>
  <c r="J106" i="23"/>
  <c r="H106" i="23"/>
  <c r="G106" i="23"/>
  <c r="K105" i="23"/>
  <c r="J105" i="23"/>
  <c r="H105" i="23"/>
  <c r="G105" i="23"/>
  <c r="K104" i="23"/>
  <c r="J104" i="23"/>
  <c r="H104" i="23"/>
  <c r="G104" i="23"/>
  <c r="K103" i="23"/>
  <c r="J103" i="23"/>
  <c r="H103" i="23"/>
  <c r="G103" i="23"/>
  <c r="K102" i="23"/>
  <c r="J102" i="23"/>
  <c r="H102" i="23"/>
  <c r="G102" i="23"/>
  <c r="K101" i="23"/>
  <c r="J101" i="23"/>
  <c r="H101" i="23"/>
  <c r="G101" i="23"/>
  <c r="K100" i="23"/>
  <c r="J100" i="23"/>
  <c r="H100" i="23"/>
  <c r="G100" i="23"/>
  <c r="K99" i="23"/>
  <c r="J99" i="23"/>
  <c r="H99" i="23"/>
  <c r="G99" i="23"/>
  <c r="K98" i="23"/>
  <c r="J98" i="23"/>
  <c r="H98" i="23"/>
  <c r="G98" i="23"/>
  <c r="K97" i="23"/>
  <c r="J97" i="23"/>
  <c r="I97" i="23"/>
  <c r="H97" i="23"/>
  <c r="G97" i="23"/>
  <c r="K96" i="23"/>
  <c r="J96" i="23"/>
  <c r="I96" i="23"/>
  <c r="H96" i="23"/>
  <c r="G96" i="23"/>
  <c r="K95" i="23"/>
  <c r="J95" i="23"/>
  <c r="I95" i="23"/>
  <c r="H95" i="23"/>
  <c r="G95" i="23"/>
  <c r="K94" i="23"/>
  <c r="J94" i="23"/>
  <c r="I94" i="23"/>
  <c r="H94" i="23"/>
  <c r="G94" i="23"/>
  <c r="K93" i="23"/>
  <c r="J93" i="23"/>
  <c r="I93" i="23"/>
  <c r="H93" i="23"/>
  <c r="G93" i="23"/>
  <c r="K92" i="23"/>
  <c r="J92" i="23"/>
  <c r="I92" i="23"/>
  <c r="H92" i="23"/>
  <c r="G92" i="23"/>
  <c r="K91" i="23"/>
  <c r="J91" i="23"/>
  <c r="I91" i="23"/>
  <c r="H91" i="23"/>
  <c r="G91" i="23"/>
  <c r="K90" i="23"/>
  <c r="J90" i="23"/>
  <c r="I90" i="23"/>
  <c r="H90" i="23"/>
  <c r="G90" i="23"/>
  <c r="K89" i="23"/>
  <c r="J89" i="23"/>
  <c r="I89" i="23"/>
  <c r="H89" i="23"/>
  <c r="G89" i="23"/>
  <c r="K88" i="23"/>
  <c r="J88" i="23"/>
  <c r="I88" i="23"/>
  <c r="H88" i="23"/>
  <c r="G88" i="23"/>
  <c r="K87" i="23"/>
  <c r="J87" i="23"/>
  <c r="I87" i="23"/>
  <c r="H87" i="23"/>
  <c r="G87" i="23"/>
  <c r="K86" i="23"/>
  <c r="J86" i="23"/>
  <c r="I86" i="23"/>
  <c r="H86" i="23"/>
  <c r="G86" i="23"/>
  <c r="K85" i="23"/>
  <c r="J85" i="23"/>
  <c r="I85" i="23"/>
  <c r="H85" i="23"/>
  <c r="G85" i="23"/>
  <c r="K84" i="23"/>
  <c r="J84" i="23"/>
  <c r="I84" i="23"/>
  <c r="H84" i="23"/>
  <c r="G84" i="23"/>
  <c r="K83" i="23"/>
  <c r="J83" i="23"/>
  <c r="I83" i="23"/>
  <c r="H83" i="23"/>
  <c r="G83" i="23"/>
  <c r="K82" i="23"/>
  <c r="J82" i="23"/>
  <c r="I82" i="23"/>
  <c r="H82" i="23"/>
  <c r="G82" i="23"/>
  <c r="K81" i="23"/>
  <c r="J81" i="23"/>
  <c r="I81" i="23"/>
  <c r="H81" i="23"/>
  <c r="G81" i="23"/>
  <c r="K80" i="23"/>
  <c r="J80" i="23"/>
  <c r="I80" i="23"/>
  <c r="H80" i="23"/>
  <c r="G80" i="23"/>
  <c r="K79" i="23"/>
  <c r="J79" i="23"/>
  <c r="I79" i="23"/>
  <c r="H79" i="23"/>
  <c r="G79" i="23"/>
  <c r="K78" i="23"/>
  <c r="J78" i="23"/>
  <c r="I78" i="23"/>
  <c r="H78" i="23"/>
  <c r="G78" i="23"/>
  <c r="K77" i="23"/>
  <c r="J77" i="23"/>
  <c r="I77" i="23"/>
  <c r="H77" i="23"/>
  <c r="G77" i="23"/>
  <c r="K76" i="23"/>
  <c r="J76" i="23"/>
  <c r="I76" i="23"/>
  <c r="H76" i="23"/>
  <c r="G76" i="23"/>
  <c r="K75" i="23"/>
  <c r="J75" i="23"/>
  <c r="I75" i="23"/>
  <c r="H75" i="23"/>
  <c r="G75" i="23"/>
  <c r="K74" i="23"/>
  <c r="J74" i="23"/>
  <c r="I74" i="23"/>
  <c r="H74" i="23"/>
  <c r="G74" i="23"/>
  <c r="K73" i="23"/>
  <c r="J73" i="23"/>
  <c r="I73" i="23"/>
  <c r="H73" i="23"/>
  <c r="G73" i="23"/>
  <c r="K72" i="23"/>
  <c r="J72" i="23"/>
  <c r="I72" i="23"/>
  <c r="H72" i="23"/>
  <c r="G72" i="23"/>
  <c r="K71" i="23"/>
  <c r="J71" i="23"/>
  <c r="I71" i="23"/>
  <c r="H71" i="23"/>
  <c r="G71" i="23"/>
  <c r="K70" i="23"/>
  <c r="J70" i="23"/>
  <c r="I70" i="23"/>
  <c r="H70" i="23"/>
  <c r="G70" i="23"/>
  <c r="K69" i="23"/>
  <c r="J69" i="23"/>
  <c r="I69" i="23"/>
  <c r="H69" i="23"/>
  <c r="G69" i="23"/>
  <c r="K68" i="23"/>
  <c r="J68" i="23"/>
  <c r="I68" i="23"/>
  <c r="H68" i="23"/>
  <c r="G68" i="23"/>
  <c r="J67" i="23"/>
  <c r="I67" i="23"/>
  <c r="H67" i="23"/>
  <c r="G67" i="23"/>
  <c r="K66" i="23"/>
  <c r="J66" i="23"/>
  <c r="I66" i="23"/>
  <c r="H66" i="23"/>
  <c r="G66" i="23"/>
  <c r="K65" i="23"/>
  <c r="J65" i="23"/>
  <c r="I65" i="23"/>
  <c r="H65" i="23"/>
  <c r="G65" i="23"/>
  <c r="K64" i="23"/>
  <c r="J64" i="23"/>
  <c r="I64" i="23"/>
  <c r="H64" i="23"/>
  <c r="G64" i="23"/>
  <c r="K63" i="23"/>
  <c r="J63" i="23"/>
  <c r="I63" i="23"/>
  <c r="H63" i="23"/>
  <c r="G63" i="23"/>
  <c r="K62" i="23"/>
  <c r="J62" i="23"/>
  <c r="I62" i="23"/>
  <c r="H62" i="23"/>
  <c r="G62" i="23"/>
  <c r="K61" i="23"/>
  <c r="J61" i="23"/>
  <c r="I61" i="23"/>
  <c r="H61" i="23"/>
  <c r="G61" i="23"/>
  <c r="K60" i="23"/>
  <c r="J60" i="23"/>
  <c r="I60" i="23"/>
  <c r="H60" i="23"/>
  <c r="G60" i="23"/>
  <c r="K59" i="23"/>
  <c r="J59" i="23"/>
  <c r="I59" i="23"/>
  <c r="H59" i="23"/>
  <c r="G59" i="23"/>
  <c r="K58" i="23"/>
  <c r="J58" i="23"/>
  <c r="I58" i="23"/>
  <c r="H58" i="23"/>
  <c r="G58" i="23"/>
  <c r="K57" i="23"/>
  <c r="J57" i="23"/>
  <c r="I57" i="23"/>
  <c r="H57" i="23"/>
  <c r="G57" i="23"/>
  <c r="K56" i="23"/>
  <c r="J56" i="23"/>
  <c r="I56" i="23"/>
  <c r="H56" i="23"/>
  <c r="G56" i="23"/>
  <c r="K55" i="23"/>
  <c r="J55" i="23"/>
  <c r="I55" i="23"/>
  <c r="H55" i="23"/>
  <c r="G55" i="23"/>
  <c r="K54" i="23"/>
  <c r="J54" i="23"/>
  <c r="I54" i="23"/>
  <c r="H54" i="23"/>
  <c r="G54" i="23"/>
  <c r="K53" i="23"/>
  <c r="J53" i="23"/>
  <c r="I53" i="23"/>
  <c r="H53" i="23"/>
  <c r="G53" i="23"/>
  <c r="K52" i="23"/>
  <c r="J52" i="23"/>
  <c r="I52" i="23"/>
  <c r="H52" i="23"/>
  <c r="G52" i="23"/>
  <c r="K51" i="23"/>
  <c r="J51" i="23"/>
  <c r="I51" i="23"/>
  <c r="H51" i="23"/>
  <c r="G51" i="23"/>
  <c r="K50" i="23"/>
  <c r="J50" i="23"/>
  <c r="I50" i="23"/>
  <c r="H50" i="23"/>
  <c r="G50" i="23"/>
  <c r="K49" i="23"/>
  <c r="J49" i="23"/>
  <c r="I49" i="23"/>
  <c r="H49" i="23"/>
  <c r="G49" i="23"/>
  <c r="K48" i="23"/>
  <c r="J48" i="23"/>
  <c r="I48" i="23"/>
  <c r="H48" i="23"/>
  <c r="G48" i="23"/>
  <c r="K47" i="23"/>
  <c r="J47" i="23"/>
  <c r="I47" i="23"/>
  <c r="H47" i="23"/>
  <c r="G47" i="23"/>
  <c r="K46" i="23"/>
  <c r="J46" i="23"/>
  <c r="I46" i="23"/>
  <c r="H46" i="23"/>
  <c r="G46" i="23"/>
  <c r="K45" i="23"/>
  <c r="J45" i="23"/>
  <c r="I45" i="23"/>
  <c r="H45" i="23"/>
  <c r="G45" i="23"/>
  <c r="K44" i="23"/>
  <c r="J44" i="23"/>
  <c r="I44" i="23"/>
  <c r="H44" i="23"/>
  <c r="G44" i="23"/>
  <c r="K43" i="23"/>
  <c r="J43" i="23"/>
  <c r="I43" i="23"/>
  <c r="H43" i="23"/>
  <c r="G43" i="23"/>
  <c r="K42" i="23"/>
  <c r="J42" i="23"/>
  <c r="I42" i="23"/>
  <c r="H42" i="23"/>
  <c r="G42" i="23"/>
  <c r="K41" i="23"/>
  <c r="J41" i="23"/>
  <c r="I41" i="23"/>
  <c r="H41" i="23"/>
  <c r="G41" i="23"/>
  <c r="K40" i="23"/>
  <c r="J40" i="23"/>
  <c r="I40" i="23"/>
  <c r="H40" i="23"/>
  <c r="G40" i="23"/>
  <c r="K39" i="23"/>
  <c r="J39" i="23"/>
  <c r="I39" i="23"/>
  <c r="H39" i="23"/>
  <c r="G39" i="23"/>
  <c r="K38" i="23"/>
  <c r="J38" i="23"/>
  <c r="I38" i="23"/>
  <c r="H38" i="23"/>
  <c r="G38" i="23"/>
  <c r="K37" i="23"/>
  <c r="J37" i="23"/>
  <c r="I37" i="23"/>
  <c r="H37" i="23"/>
  <c r="G37" i="23"/>
  <c r="K36" i="23"/>
  <c r="J36" i="23"/>
  <c r="I36" i="23"/>
  <c r="H36" i="23"/>
  <c r="G36" i="23"/>
  <c r="K35" i="23"/>
  <c r="J35" i="23"/>
  <c r="I35" i="23"/>
  <c r="H35" i="23"/>
  <c r="G35" i="23"/>
  <c r="K34" i="23"/>
  <c r="J34" i="23"/>
  <c r="I34" i="23"/>
  <c r="H34" i="23"/>
  <c r="G34" i="23"/>
  <c r="K33" i="23"/>
  <c r="J33" i="23"/>
  <c r="I33" i="23"/>
  <c r="H33" i="23"/>
  <c r="G33" i="23"/>
  <c r="K32" i="23"/>
  <c r="J32" i="23"/>
  <c r="I32" i="23"/>
  <c r="H32" i="23"/>
  <c r="G32" i="23"/>
  <c r="K31" i="23"/>
  <c r="J31" i="23"/>
  <c r="I31" i="23"/>
  <c r="H31" i="23"/>
  <c r="G31" i="23"/>
  <c r="K30" i="23"/>
  <c r="J30" i="23"/>
  <c r="I30" i="23"/>
  <c r="H30" i="23"/>
  <c r="G30" i="23"/>
  <c r="K29" i="23"/>
  <c r="J29" i="23"/>
  <c r="I29" i="23"/>
  <c r="H29" i="23"/>
  <c r="G29" i="23"/>
  <c r="K28" i="23"/>
  <c r="J28" i="23"/>
  <c r="I28" i="23"/>
  <c r="H28" i="23"/>
  <c r="G28" i="23"/>
  <c r="K27" i="23"/>
  <c r="J27" i="23"/>
  <c r="I27" i="23"/>
  <c r="H27" i="23"/>
  <c r="G27" i="23"/>
  <c r="K26" i="23"/>
  <c r="J26" i="23"/>
  <c r="I26" i="23"/>
  <c r="H26" i="23"/>
  <c r="G26" i="23"/>
  <c r="K25" i="23"/>
  <c r="J25" i="23"/>
  <c r="I25" i="23"/>
  <c r="H25" i="23"/>
  <c r="G25" i="23"/>
  <c r="K24" i="23"/>
  <c r="J24" i="23"/>
  <c r="I24" i="23"/>
  <c r="H24" i="23"/>
  <c r="G24" i="23"/>
  <c r="K23" i="23"/>
  <c r="J23" i="23"/>
  <c r="I23" i="23"/>
  <c r="H23" i="23"/>
  <c r="G23" i="23"/>
  <c r="K22" i="23"/>
  <c r="J22" i="23"/>
  <c r="I22" i="23"/>
  <c r="H22" i="23"/>
  <c r="G22" i="23"/>
  <c r="K21" i="23"/>
  <c r="J21" i="23"/>
  <c r="I21" i="23"/>
  <c r="H21" i="23"/>
  <c r="G21" i="23"/>
  <c r="K20" i="23"/>
  <c r="J20" i="23"/>
  <c r="I20" i="23"/>
  <c r="H20" i="23"/>
  <c r="G20" i="23"/>
  <c r="K19" i="23"/>
  <c r="J19" i="23"/>
  <c r="I19" i="23"/>
  <c r="H19" i="23"/>
  <c r="G19" i="23"/>
  <c r="K18" i="23"/>
  <c r="J18" i="23"/>
  <c r="I18" i="23"/>
  <c r="H18" i="23"/>
  <c r="G18" i="23"/>
  <c r="K17" i="23"/>
  <c r="J17" i="23"/>
  <c r="I17" i="23"/>
  <c r="H17" i="23"/>
  <c r="G17" i="23"/>
  <c r="K16" i="23"/>
  <c r="J16" i="23"/>
  <c r="I16" i="23"/>
  <c r="H16" i="23"/>
  <c r="G16" i="23"/>
  <c r="K15" i="23"/>
  <c r="J15" i="23"/>
  <c r="I15" i="23"/>
  <c r="H15" i="23"/>
  <c r="G15" i="23"/>
  <c r="K14" i="23"/>
  <c r="J14" i="23"/>
  <c r="I14" i="23"/>
  <c r="H14" i="23"/>
  <c r="G14" i="23"/>
  <c r="K13" i="23"/>
  <c r="J13" i="23"/>
  <c r="I13" i="23"/>
  <c r="H13" i="23"/>
  <c r="G13" i="23"/>
  <c r="K12" i="23"/>
  <c r="J12" i="23"/>
  <c r="I12" i="23"/>
  <c r="H12" i="23"/>
  <c r="G12" i="23"/>
  <c r="K11" i="23"/>
  <c r="J11" i="23"/>
  <c r="I11" i="23"/>
  <c r="H11" i="23"/>
  <c r="G11" i="23"/>
  <c r="K10" i="23"/>
  <c r="J10" i="23"/>
  <c r="I10" i="23"/>
  <c r="H10" i="23"/>
  <c r="G10" i="23"/>
  <c r="K9" i="23"/>
  <c r="J9" i="23"/>
  <c r="I9" i="23"/>
  <c r="H9" i="23"/>
  <c r="G9" i="23"/>
  <c r="K8" i="23"/>
  <c r="J8" i="23"/>
  <c r="I8" i="23"/>
  <c r="H8" i="23"/>
  <c r="G8" i="23"/>
  <c r="K7" i="23"/>
  <c r="J7" i="23"/>
  <c r="I7" i="23"/>
  <c r="H7" i="23"/>
  <c r="G7" i="23"/>
  <c r="K6" i="23"/>
  <c r="J6" i="23"/>
  <c r="I6" i="23"/>
  <c r="H6" i="23"/>
  <c r="G6" i="23"/>
  <c r="K5" i="23"/>
  <c r="J5" i="23"/>
  <c r="I5" i="23"/>
  <c r="H5" i="23"/>
  <c r="G5" i="23"/>
  <c r="K4" i="23"/>
  <c r="J4" i="23"/>
  <c r="I4" i="23"/>
  <c r="H4" i="23"/>
  <c r="G4" i="23"/>
  <c r="G3" i="23"/>
  <c r="H3" i="23"/>
  <c r="I3" i="23"/>
  <c r="J3" i="23"/>
  <c r="K3" i="23"/>
  <c r="C16" i="19" l="1"/>
  <c r="B16" i="19"/>
  <c r="C2" i="22" l="1"/>
  <c r="G4" i="20" l="1"/>
  <c r="O24" i="19" l="1"/>
  <c r="F23" i="19"/>
  <c r="F25" i="19"/>
  <c r="F27" i="19"/>
  <c r="C23" i="19"/>
  <c r="C25" i="19"/>
  <c r="C27" i="19"/>
  <c r="I23" i="19"/>
  <c r="L22" i="19"/>
  <c r="L24" i="19"/>
  <c r="L26" i="19"/>
  <c r="O23" i="19"/>
  <c r="F22" i="19"/>
  <c r="F24" i="19"/>
  <c r="F26" i="19"/>
  <c r="C22" i="19"/>
  <c r="C24" i="19"/>
  <c r="C26" i="19"/>
  <c r="I22" i="19"/>
  <c r="I24" i="19"/>
  <c r="L23" i="19"/>
  <c r="L25" i="19"/>
  <c r="O22" i="19"/>
  <c r="O28" i="19" l="1"/>
  <c r="C17" i="19" s="1"/>
  <c r="I28" i="19"/>
  <c r="C15" i="19" s="1"/>
  <c r="C28" i="19"/>
  <c r="C13" i="19" s="1"/>
  <c r="F28" i="19" l="1"/>
  <c r="C14" i="19" s="1"/>
  <c r="C18" i="19" s="1"/>
  <c r="L28" i="19"/>
  <c r="C7" i="19"/>
  <c r="B6" i="19"/>
  <c r="B8" i="19"/>
  <c r="B7" i="19"/>
  <c r="B5" i="19"/>
  <c r="C5" i="19" l="1"/>
  <c r="B9" i="19"/>
  <c r="C8" i="19"/>
  <c r="C6" i="19"/>
  <c r="C9" i="19" l="1"/>
  <c r="B22" i="19"/>
  <c r="E22" i="19"/>
  <c r="H22" i="19"/>
  <c r="K22" i="19"/>
  <c r="N22" i="19"/>
  <c r="B23" i="19"/>
  <c r="B27" i="19"/>
  <c r="K26" i="19"/>
  <c r="E26" i="19"/>
  <c r="B24" i="19"/>
  <c r="K23" i="19"/>
  <c r="E23" i="19"/>
  <c r="E27" i="19"/>
  <c r="B25" i="19"/>
  <c r="H23" i="19"/>
  <c r="K24" i="19"/>
  <c r="N23" i="19"/>
  <c r="E25" i="19"/>
  <c r="E24" i="19"/>
  <c r="B26" i="19"/>
  <c r="H24" i="19"/>
  <c r="K25" i="19"/>
  <c r="N24" i="19"/>
  <c r="B28" i="19" l="1"/>
  <c r="B13" i="19" s="1"/>
  <c r="E28" i="19"/>
  <c r="B14" i="19" s="1"/>
  <c r="N28" i="19"/>
  <c r="B17" i="19" s="1"/>
  <c r="K28" i="19"/>
  <c r="H28" i="19"/>
  <c r="B15" i="19" s="1"/>
  <c r="B18" i="19" l="1"/>
</calcChain>
</file>

<file path=xl/sharedStrings.xml><?xml version="1.0" encoding="utf-8"?>
<sst xmlns="http://schemas.openxmlformats.org/spreadsheetml/2006/main" count="24689" uniqueCount="7027">
  <si>
    <t>S.No</t>
  </si>
  <si>
    <t>Sheet Name</t>
  </si>
  <si>
    <t>Description</t>
  </si>
  <si>
    <t>Modification History &amp; Approval</t>
  </si>
  <si>
    <t>History of the Modification and Approvals.</t>
  </si>
  <si>
    <t>Guidelines</t>
  </si>
  <si>
    <t>Gives a description of all columns used for assessing Cybersecurity in "Product-Requirement" &amp; "Unique Requirement" sheet.</t>
  </si>
  <si>
    <t>Abbreviations</t>
  </si>
  <si>
    <t>List of acronyms used.</t>
  </si>
  <si>
    <t>Summary-Product-Requirement</t>
  </si>
  <si>
    <t>Presents a graphical view and count of product requirements based on NIST Category &amp; Requirement Applicability.</t>
  </si>
  <si>
    <t>MLSR List</t>
  </si>
  <si>
    <t>Master List of Standards and Regulations - Contains list of standards and guidelines identified for Cybersecurity assessment.
This sheet contains buttons to update "Standard Mapping", "Country Mapping" and "Unique Req. Reference".
Note: The list of standard and guidelines may vary based on scope of the Cybersecurity assessment done as per customer defined requirements.</t>
  </si>
  <si>
    <t>Product-Requirement</t>
  </si>
  <si>
    <t>Detailed Cybersecurity product requirements.</t>
  </si>
  <si>
    <t>Unique Requirements</t>
  </si>
  <si>
    <t>Cybersecurity requirements are grouped under appropriate index along with change in requirements. 
This gives a consolidated view of core aspects in all product requirements applicable for Cybersecurity.</t>
  </si>
  <si>
    <t>Modification History</t>
  </si>
  <si>
    <t>Revision No</t>
  </si>
  <si>
    <t>Date</t>
  </si>
  <si>
    <t>Author</t>
  </si>
  <si>
    <t>Role / Function</t>
  </si>
  <si>
    <t>Changes</t>
  </si>
  <si>
    <t>Thanigaivel Vinayagam(40148970)
Alwin Joyce (51748797)
Kamalavannan Manikandan(51411310)
Jesu Arockianathan Arulnathan(51832524)</t>
  </si>
  <si>
    <t>Owner</t>
  </si>
  <si>
    <t>Initial released version with product requirements</t>
  </si>
  <si>
    <t xml:space="preserve">Alwin Joyce(51748797)
</t>
  </si>
  <si>
    <t>Changed category for few product requirements and incorporated review comments</t>
  </si>
  <si>
    <t>Document Approval</t>
  </si>
  <si>
    <t>Project Code</t>
  </si>
  <si>
    <t>I190043</t>
  </si>
  <si>
    <t>Project Name</t>
  </si>
  <si>
    <t>MMT-MEDICAL-CYBERSECURITY-POC-D3</t>
  </si>
  <si>
    <t>Document ID</t>
  </si>
  <si>
    <t>MLCR_CS_Prod_ Req_V1.1</t>
  </si>
  <si>
    <t>Document Name</t>
  </si>
  <si>
    <t>Master List of Product Cybersecurity Requirements</t>
  </si>
  <si>
    <t>Document Revision No.</t>
  </si>
  <si>
    <t>Author Name</t>
  </si>
  <si>
    <t>Signature</t>
  </si>
  <si>
    <t>Thanigaivel Vinayagam(40148970)
Alwin Joyce (51748797)
Kamalavannan Manikandan(51411310)</t>
  </si>
  <si>
    <t>Internal Reviewer Name</t>
  </si>
  <si>
    <t>Reviewers</t>
  </si>
  <si>
    <t>External Reviewer Name 
(Client)</t>
  </si>
  <si>
    <t>Document Detail</t>
  </si>
  <si>
    <t>Guidelines for Cybersecurity assessment</t>
  </si>
  <si>
    <t>Guidelines for updating "Product-Requirement"</t>
  </si>
  <si>
    <t>Column heading</t>
  </si>
  <si>
    <t>S.No.</t>
  </si>
  <si>
    <t>:</t>
  </si>
  <si>
    <t>Serial Number</t>
  </si>
  <si>
    <t>MLSR Requirement No</t>
  </si>
  <si>
    <r>
      <t xml:space="preserve">Contains MLSR standard requirement number
</t>
    </r>
    <r>
      <rPr>
        <b/>
        <sz val="9"/>
        <rFont val="Times New Roman"/>
        <family val="1"/>
      </rPr>
      <t>Note:</t>
    </r>
    <r>
      <rPr>
        <sz val="9"/>
        <rFont val="Times New Roman"/>
        <family val="1"/>
      </rPr>
      <t xml:space="preserve"> Format for "MLSR Requirement No" shall be (MLSRXXX_XXX) E.g. MLSR001_1</t>
    </r>
  </si>
  <si>
    <t xml:space="preserve">Standard Clause/ Section ID </t>
  </si>
  <si>
    <t>Contains the clause/section from the standard</t>
  </si>
  <si>
    <t>Clause/ Section Title</t>
  </si>
  <si>
    <t>Contains the Clause/ Section title of each requirement</t>
  </si>
  <si>
    <t>Requirement</t>
  </si>
  <si>
    <t>Contains requirement derived from standard's text</t>
  </si>
  <si>
    <t>Detailed Description</t>
  </si>
  <si>
    <t>An example of the requirement or detailed description of requirement is provided (Optional)</t>
  </si>
  <si>
    <t>Change in Requirement</t>
  </si>
  <si>
    <t>Core action of requirement in short form to derive unique requirement from similar category (Optional)
Note: 
1. Format for "Change in Requirement" shall be (MLSRXXX_XXX: &lt;&lt;Change in Requirement content&gt;&gt;)
E.g. MLSR001_1: disable inactive account after defined time period
2. Each "Change in Requirement" to be placed in new line using Alt+Enter in the same cell</t>
  </si>
  <si>
    <t>Unique Reference ID</t>
  </si>
  <si>
    <r>
      <t xml:space="preserve">Contains parent MLSR id's of requirement index from "Unique Requirements" sheet 
</t>
    </r>
    <r>
      <rPr>
        <b/>
        <sz val="9"/>
        <rFont val="Times New Roman"/>
        <family val="1"/>
      </rPr>
      <t>Note:</t>
    </r>
    <r>
      <rPr>
        <sz val="9"/>
        <rFont val="Times New Roman"/>
        <family val="1"/>
      </rPr>
      <t xml:space="preserve"> Auto populated by pressing the "Update Unique Req. Reference" button in "MLSR List" sheet</t>
    </r>
  </si>
  <si>
    <t>NIST Function</t>
  </si>
  <si>
    <t>Contains any one of the NIST function Identity, Protect, Detect, Respond and Recover</t>
  </si>
  <si>
    <t>Category</t>
  </si>
  <si>
    <t>Contains any one of the NIST category based on NIST function</t>
  </si>
  <si>
    <t>SubCategory</t>
  </si>
  <si>
    <t>Contains any one of the NIST sub-category based on NIST category</t>
  </si>
  <si>
    <t>Req. Applicability</t>
  </si>
  <si>
    <t xml:space="preserve">Contains any one of the below category
1) System Design
2) Infrastructure &amp; Network
3) Wireless
4) Cloud </t>
  </si>
  <si>
    <t>Responsible by</t>
  </si>
  <si>
    <t>Denote who is responsible for requirements. Contains any one of the below category 
1) Manufacturer
2) Medical facilities(e.g.: Healthcare Delivery Organization/Hospital, Operator)
3) Third Party(e.g:Vendor, Supplier, Contractor, Sub-Contractor etc.)
4) Top Management
5) Manufacturer &amp; Medical Facilities
6) Manufacturer &amp; Third party</t>
  </si>
  <si>
    <t>Guidelines for updating "Unique Requirements"</t>
  </si>
  <si>
    <t>Reference MLSR ID</t>
  </si>
  <si>
    <t>Contains parent MLSR requirement id for the corresponding requirement group
Note: Format for "MLSR Requirement No" shall be (MLSRXXX_XXX) E.g. MLSR001_1</t>
  </si>
  <si>
    <t>Requirement Index</t>
  </si>
  <si>
    <t>Contains index for the corresponding requirement group</t>
  </si>
  <si>
    <t>Core action of requirement in short form to derive unique requirement from similar category (Optional)
Note: 
1. Format for "Change in Requirement" shall be (MLSRXXX_XXX: &lt;&lt;Change in Requirement content&gt;&gt;)
E.g. MLSR001_1: disable inactive account after defined time period
2. Each "Change in Requirement" to be placed in new line using Alt+Enter in the same cell
Note: If a unique requirement is applicable for both Manufacturer and Medical Facility then mention inline in square brackets as [Medical Facility] wherever applicable.</t>
  </si>
  <si>
    <t>Priority</t>
  </si>
  <si>
    <t>Denote the priority level of the requirements. Contains any one of the below category 
1) Must
2) Suggested</t>
  </si>
  <si>
    <t>Standards/Guidelines Reference</t>
  </si>
  <si>
    <r>
      <t xml:space="preserve">Contains the reference of the standard document 
</t>
    </r>
    <r>
      <rPr>
        <b/>
        <sz val="9"/>
        <rFont val="Times New Roman"/>
        <family val="1"/>
      </rPr>
      <t>Note:</t>
    </r>
    <r>
      <rPr>
        <sz val="9"/>
        <rFont val="Times New Roman"/>
        <family val="1"/>
      </rPr>
      <t xml:space="preserve"> Auto populated by pressing the "Update Standard Mapping" button in "MLSR List" sheet</t>
    </r>
  </si>
  <si>
    <t>Applicable to Country</t>
  </si>
  <si>
    <r>
      <t xml:space="preserve">Contains the reference of the country applicable for the standard document
</t>
    </r>
    <r>
      <rPr>
        <b/>
        <sz val="9"/>
        <rFont val="Times New Roman"/>
        <family val="1"/>
      </rPr>
      <t>Note:</t>
    </r>
    <r>
      <rPr>
        <sz val="9"/>
        <rFont val="Times New Roman"/>
        <family val="1"/>
      </rPr>
      <t xml:space="preserve"> Auto populated by pressing the "Update Country Mapping" button in "MLSR List" sheet</t>
    </r>
  </si>
  <si>
    <t>Formatting Guidelines for updating "Product Requirement"</t>
  </si>
  <si>
    <t>Font</t>
  </si>
  <si>
    <t>Times New Roman</t>
  </si>
  <si>
    <t>Font Size</t>
  </si>
  <si>
    <t>Font Color</t>
  </si>
  <si>
    <t>Black (Automatic)</t>
  </si>
  <si>
    <t>Column width</t>
  </si>
  <si>
    <t>Do not disturb column width.</t>
  </si>
  <si>
    <t>Row Height</t>
  </si>
  <si>
    <t>To be adjusted to view full content of the cell</t>
  </si>
  <si>
    <t>Alignment</t>
  </si>
  <si>
    <t>"Align left" &amp; "Middle align" for
1. Column E "Requirement" 
2. Column F "Detailed Description" 
3. Column G "Change in Requirement"
"Middle align" and "Centre" Alignment for rest of the columns</t>
  </si>
  <si>
    <t>Abbreviation</t>
  </si>
  <si>
    <t>AES</t>
  </si>
  <si>
    <t xml:space="preserve">Advanced Encryption Standard </t>
  </si>
  <si>
    <t>API</t>
  </si>
  <si>
    <t>Application Program Interface</t>
  </si>
  <si>
    <t>Applicant</t>
  </si>
  <si>
    <t xml:space="preserve">The real-world person to be proofed is called an applicant </t>
  </si>
  <si>
    <t>Authenticator</t>
  </si>
  <si>
    <t>Something the claimant possesses and controls (typically a cryptographic module or password) that is used to authenticate the claimant’s identity. This was referred previously as a token.</t>
  </si>
  <si>
    <t>Authenticator Assurance Level 1 (AAL1)</t>
  </si>
  <si>
    <t>AAL1 provides some assurance that the claimant controls an authenticator bound to the subscriber’s account. AAL1 requires either single-factor or multifactor authentication using a wide range of available authentication technologies. Successful authentication requires that the claimant prove possession and control of the authenticator through a secure authentication protocol.</t>
  </si>
  <si>
    <t>Authenticator Assurance Level 2 (AAL2)</t>
  </si>
  <si>
    <t>AAL2 provides high confidence that the claimant controls authenticator(s) bound to the subscriber’s account. Proof of possession and control of two different authentication factors is required through secure authentication protocol(s). Approved cryptographic techniques are required at AAL2 and above.</t>
  </si>
  <si>
    <t>Authenticator Assurance Level 3 (AAL3)</t>
  </si>
  <si>
    <t>AAL3 provides very high confidence that the claimant controls authenticator(s) bound to the subscriber’s account. Authentication at AAL3 is based on proof of possession of a key through a cryptographic protocol. AAL3 authentication requires a hardware-based authenticator and an authenticator that provides verifier impersonation resistance; the same device may fulfill both these requirements. In order to authenticate at AAL3, claimants are required to prove possession and control of two distinct authentication factors through secure authentication protocol(s). Approved cryptographic techniques are required.</t>
  </si>
  <si>
    <t>BCrypt</t>
  </si>
  <si>
    <t>Blowfish File Encryption</t>
  </si>
  <si>
    <t>BLE</t>
  </si>
  <si>
    <t>Bluetooth Low Energy</t>
  </si>
  <si>
    <t>CAPTCHA</t>
  </si>
  <si>
    <t>Completely Automated Public Turing test to tell Computers and Humans Apart</t>
  </si>
  <si>
    <t>CHAP</t>
  </si>
  <si>
    <t xml:space="preserve">Challenge-Handshake Authentication Protocol </t>
  </si>
  <si>
    <t>Claimant</t>
  </si>
  <si>
    <t>A person whose identity is to be verified using one or more authentication protocols.</t>
  </si>
  <si>
    <t>Credential Service Provider (CSP)</t>
  </si>
  <si>
    <t>A trusted entity that issues or registers subscriber authenticators and issues electronic credentials to subscribers. A credential service provider (CSP) may be an independent third party or issue credentials for its own use.</t>
  </si>
  <si>
    <t>CSRF</t>
  </si>
  <si>
    <t>Cross-Site Request Forgery</t>
  </si>
  <si>
    <t>CSRK</t>
  </si>
  <si>
    <t>Connection Signature Resolving Key</t>
  </si>
  <si>
    <t>CSS</t>
  </si>
  <si>
    <t>Cross Site Scripting  (XSS)</t>
  </si>
  <si>
    <t>CUI</t>
  </si>
  <si>
    <t>Controlled Unclassified Information</t>
  </si>
  <si>
    <t>DLP</t>
  </si>
  <si>
    <t>Data Loss Prevention</t>
  </si>
  <si>
    <t>DMZ</t>
  </si>
  <si>
    <t xml:space="preserve">Demilitarized Zone </t>
  </si>
  <si>
    <t>DNS</t>
  </si>
  <si>
    <t>Domain Name System</t>
  </si>
  <si>
    <t>DoS</t>
  </si>
  <si>
    <t>Denial-of-Service</t>
  </si>
  <si>
    <t>EAP-TLS</t>
  </si>
  <si>
    <t xml:space="preserve">Extensible Authentication Protocol - Transport Layer Security </t>
  </si>
  <si>
    <t>EMM</t>
  </si>
  <si>
    <t>Enterprise Mobility Management</t>
  </si>
  <si>
    <t>Enrollment</t>
  </si>
  <si>
    <t>The process through which an applicant applies to become a subscriber of a CSP and the CSP validates the applicant’s identity.</t>
  </si>
  <si>
    <t>Entropy</t>
  </si>
  <si>
    <t>A measure of the amount of uncertainty an attacker faces to determine the value of a secret. Entropy is usually stated in bits. A value having n bits of entropy has the same degree of uncertainty as a uniformly distributed n-bit random value.</t>
  </si>
  <si>
    <t>EPHI</t>
  </si>
  <si>
    <t>Electronic Protected Health Information</t>
  </si>
  <si>
    <t>ETL</t>
  </si>
  <si>
    <t>Extract, Transform and Load</t>
  </si>
  <si>
    <t>FICAM</t>
  </si>
  <si>
    <t>Federal Identity, Credential, and Access Management</t>
  </si>
  <si>
    <t>FIPS</t>
  </si>
  <si>
    <t>Federal Information Processing Standards</t>
  </si>
  <si>
    <t>HDO</t>
  </si>
  <si>
    <t>Healthcare Delivery Organization</t>
  </si>
  <si>
    <t>HIPAA</t>
  </si>
  <si>
    <t>Health Insurance Portability and Accountability Act</t>
  </si>
  <si>
    <t>HMAC</t>
  </si>
  <si>
    <t xml:space="preserve">Hash Message Authentication Code </t>
  </si>
  <si>
    <t>HTTP</t>
  </si>
  <si>
    <t xml:space="preserve">Hypertext Transfer Protocol </t>
  </si>
  <si>
    <t>Identity</t>
  </si>
  <si>
    <t>An attribute or set of attributes that uniquely describe a subject within a given context.</t>
  </si>
  <si>
    <t>Identity Assurance Level</t>
  </si>
  <si>
    <t>A category that conveys the degree of confidence that the applicant’s claimed identity is their real identity.</t>
  </si>
  <si>
    <t>Identity Proofing</t>
  </si>
  <si>
    <t>The process by which a CSP collects, validates, and verifies information about a person.</t>
  </si>
  <si>
    <t>Identity Provider (IdP)</t>
  </si>
  <si>
    <t>The party that manages the subscriber’s primary authentication credentials and issues assertions derived from those credentials. This is commonly the CSP as discussed within this document suite.</t>
  </si>
  <si>
    <t>IM</t>
  </si>
  <si>
    <t>Identity Manager</t>
  </si>
  <si>
    <t>ISO</t>
  </si>
  <si>
    <t>International Organization for Standardization</t>
  </si>
  <si>
    <t>IVD</t>
  </si>
  <si>
    <t>In-Vitro Diagnostics</t>
  </si>
  <si>
    <t>JWT</t>
  </si>
  <si>
    <t>JSON Web Tokens</t>
  </si>
  <si>
    <t>Kerberos</t>
  </si>
  <si>
    <t>A widely used authentication protocol developed at MIT. In “classic” Kerberos, users share a secret password with a Key Distribution Center (KDC).</t>
  </si>
  <si>
    <t>LTK</t>
  </si>
  <si>
    <t>Long-Term Key</t>
  </si>
  <si>
    <t>MAC</t>
  </si>
  <si>
    <t>Media Access Control Address</t>
  </si>
  <si>
    <t>MDM</t>
  </si>
  <si>
    <t>Mobile Device Management</t>
  </si>
  <si>
    <t>Memorized Secret</t>
  </si>
  <si>
    <t>A type of authenticator comprised of a character string intended to be memorized or memorable by the subscriber, permitting the subscriber to demonstrate something they know as part of an authentication process.</t>
  </si>
  <si>
    <t>MITM</t>
  </si>
  <si>
    <t xml:space="preserve">Man-in-the-Middle Attack </t>
  </si>
  <si>
    <t>MLCR</t>
  </si>
  <si>
    <t>Master List of Cybersecurity Requirements</t>
  </si>
  <si>
    <t>MLSR</t>
  </si>
  <si>
    <t>Master List of Standards and Regulations</t>
  </si>
  <si>
    <t>MTD</t>
  </si>
  <si>
    <t>Mobile Threat Detection</t>
  </si>
  <si>
    <t>Multi-Factor Authentication (MFA)</t>
  </si>
  <si>
    <t>An authentication system that requires more than one distinct authentication factor for successful authentication. Multi-factor authentication can be performed using a multi-factor authenticator or by a combination of authenticators that provide different factors. The three authentication factors are something you know, something you have, and something you are.</t>
  </si>
  <si>
    <t>Multi-Factor Authenticator</t>
  </si>
  <si>
    <t>An authenticator that provides more than one distinct authentication factor, such as a cryptographic authentication device with an integrated biometric sensor that is required to activate the device.</t>
  </si>
  <si>
    <t xml:space="preserve">NAT </t>
  </si>
  <si>
    <t xml:space="preserve">Network Address Translation </t>
  </si>
  <si>
    <t>NIST</t>
  </si>
  <si>
    <t>National Institute of Standards and Technology</t>
  </si>
  <si>
    <t>NSA</t>
  </si>
  <si>
    <t>National Security Agency</t>
  </si>
  <si>
    <t>NTP</t>
  </si>
  <si>
    <t xml:space="preserve">Network Time Protocol </t>
  </si>
  <si>
    <t>OOB</t>
  </si>
  <si>
    <t xml:space="preserve">Out Of Band authentication </t>
  </si>
  <si>
    <t>OS</t>
  </si>
  <si>
    <t>Operating System</t>
  </si>
  <si>
    <t>OTP</t>
  </si>
  <si>
    <t xml:space="preserve">One-time password </t>
  </si>
  <si>
    <t>OWASP</t>
  </si>
  <si>
    <t xml:space="preserve">Open Web Application Security Project </t>
  </si>
  <si>
    <t>PAD</t>
  </si>
  <si>
    <t xml:space="preserve">Presentation Attack Detection </t>
  </si>
  <si>
    <t>PAP</t>
  </si>
  <si>
    <t>Password Authentication Protocol</t>
  </si>
  <si>
    <t>PBKDF2</t>
  </si>
  <si>
    <t>Password-Based Key Derivation Function 2</t>
  </si>
  <si>
    <t>PCI</t>
  </si>
  <si>
    <t>Payment Card Industry</t>
  </si>
  <si>
    <t>PFS</t>
  </si>
  <si>
    <t>perfect forward secrecy</t>
  </si>
  <si>
    <t>PHI</t>
  </si>
  <si>
    <t>Protected Health Information</t>
  </si>
  <si>
    <t>PIN</t>
  </si>
  <si>
    <t>Personal Identification Number</t>
  </si>
  <si>
    <t>PIV</t>
  </si>
  <si>
    <t>Personal Identity Verification</t>
  </si>
  <si>
    <t>PIV-I</t>
  </si>
  <si>
    <t>Personal Identity Verification - Interoperable</t>
  </si>
  <si>
    <t xml:space="preserve">PRNG </t>
  </si>
  <si>
    <t>Pseudo Random Number Generator</t>
  </si>
  <si>
    <t>PSTN</t>
  </si>
  <si>
    <t>Public switched telephone network</t>
  </si>
  <si>
    <t>PTS device</t>
  </si>
  <si>
    <t>PIN Transaction Security device</t>
  </si>
  <si>
    <t>QoS</t>
  </si>
  <si>
    <t xml:space="preserve">Quality of Service </t>
  </si>
  <si>
    <t>RA</t>
  </si>
  <si>
    <t>Registration Authority</t>
  </si>
  <si>
    <t>RADIUS</t>
  </si>
  <si>
    <t>Remote Authentication Dial-In User Service</t>
  </si>
  <si>
    <t>RP</t>
  </si>
  <si>
    <t>An entity that relies upon the subscriber’s authenticator(s) and credentials or a verifier’s assertion of a claimant’s identity, typically to process a transaction or grant access to information or a system.</t>
  </si>
  <si>
    <t>RTM</t>
  </si>
  <si>
    <t>Root of Trust for Measurement</t>
  </si>
  <si>
    <t>SALT</t>
  </si>
  <si>
    <t>A non-secret value used in a cryptographic process, usually to ensure that the results of computations for one instance cannot be reused by an attacker.</t>
  </si>
  <si>
    <t>SAST</t>
  </si>
  <si>
    <t>Static application security testing</t>
  </si>
  <si>
    <t>SHA-256</t>
  </si>
  <si>
    <t xml:space="preserve">Secure Hash Algorithm </t>
  </si>
  <si>
    <t>Shared Secret</t>
  </si>
  <si>
    <t>A secret used in authentication that is known to the subscriber and the verifier.</t>
  </si>
  <si>
    <t>Single-Factor</t>
  </si>
  <si>
    <t>A characteristic of an authentication system or an authenticator that requires only one authentication factor (something you know, something you have, or something you are) for successful authentication.</t>
  </si>
  <si>
    <t>SNMP</t>
  </si>
  <si>
    <t xml:space="preserve">Simple Network Management Protocol </t>
  </si>
  <si>
    <t>SQL</t>
  </si>
  <si>
    <t>Structured Query Language</t>
  </si>
  <si>
    <t>SSH</t>
  </si>
  <si>
    <t xml:space="preserve">Secure Shell </t>
  </si>
  <si>
    <t>SSL</t>
  </si>
  <si>
    <t>Secure Sockets Layer</t>
  </si>
  <si>
    <t>STK</t>
  </si>
  <si>
    <t>Short Term Key</t>
  </si>
  <si>
    <t>Subscriber</t>
  </si>
  <si>
    <t>When the applicant successfully completes the proofing process, they are referred to as a subscriber. (or)  A party who has received a credential or authenticator from a CSP.</t>
  </si>
  <si>
    <t>TCP/IP</t>
  </si>
  <si>
    <t xml:space="preserve">Transmission Control Protocol/Internet Protocol </t>
  </si>
  <si>
    <t>TDE</t>
  </si>
  <si>
    <t>Transparent Data encryption</t>
  </si>
  <si>
    <t>TEE</t>
  </si>
  <si>
    <t>Trusted execution environment</t>
  </si>
  <si>
    <t>TK</t>
  </si>
  <si>
    <t>Temporary key</t>
  </si>
  <si>
    <t>TLS</t>
  </si>
  <si>
    <t xml:space="preserve">Transport Layer Security </t>
  </si>
  <si>
    <t>TPM</t>
  </si>
  <si>
    <t>Trusted platform module</t>
  </si>
  <si>
    <t>TripleDES</t>
  </si>
  <si>
    <t>Triple Data Encryption Standard</t>
  </si>
  <si>
    <t>URL</t>
  </si>
  <si>
    <t>Uniform Resource Locator</t>
  </si>
  <si>
    <t>Verifier</t>
  </si>
  <si>
    <t>The real-world person verifying the identity of a claimant is called a verifier.
                                                                 (or)
An entity that verifies the claimant’s identity by verifying the claimant’s possession and control of one or two authenticators using an authentication protocol. To do this, the verifier may also need to validate credentials that link the authenticator(s) to the subscriber’s identifier and check their status.</t>
  </si>
  <si>
    <t>VPN</t>
  </si>
  <si>
    <t xml:space="preserve">Virtual private network </t>
  </si>
  <si>
    <t>WAF</t>
  </si>
  <si>
    <t>Web Application Firewalls</t>
  </si>
  <si>
    <t>WEP</t>
  </si>
  <si>
    <t>Wired Equivalent Privacy</t>
  </si>
  <si>
    <t>WPA</t>
  </si>
  <si>
    <t xml:space="preserve">Wi-Fi Protected Access </t>
  </si>
  <si>
    <t>XSD</t>
  </si>
  <si>
    <t>XML Schema Definition</t>
  </si>
  <si>
    <t>XSL</t>
  </si>
  <si>
    <t>eXtensible Stylesheet Language</t>
  </si>
  <si>
    <t>XSS</t>
  </si>
  <si>
    <t xml:space="preserve">Cross-site scripting </t>
  </si>
  <si>
    <t>XXE</t>
  </si>
  <si>
    <t>XML External Entities</t>
  </si>
  <si>
    <t xml:space="preserve">Summary of Requirements Category </t>
  </si>
  <si>
    <t>Total Req. Count</t>
  </si>
  <si>
    <t>Unique Req. Count</t>
  </si>
  <si>
    <t>System &amp; Design</t>
  </si>
  <si>
    <t>Infrastructure&amp;Network</t>
  </si>
  <si>
    <t>Wireless</t>
  </si>
  <si>
    <t>Cloud</t>
  </si>
  <si>
    <t>Total</t>
  </si>
  <si>
    <t>Identify</t>
  </si>
  <si>
    <t>Protect</t>
  </si>
  <si>
    <t>Detect</t>
  </si>
  <si>
    <t>Respond</t>
  </si>
  <si>
    <t>Recover</t>
  </si>
  <si>
    <t>IDENTIFY</t>
  </si>
  <si>
    <t>Total Count</t>
  </si>
  <si>
    <t>Unique Count</t>
  </si>
  <si>
    <t>PROTECT</t>
  </si>
  <si>
    <t>DETECT</t>
  </si>
  <si>
    <t>RESPOND</t>
  </si>
  <si>
    <t>RECOVER</t>
  </si>
  <si>
    <t>Asset_Management</t>
  </si>
  <si>
    <t>Identity_Management_Authentication_and_Access_Control</t>
  </si>
  <si>
    <t>Anomalies_and_Events</t>
  </si>
  <si>
    <t>Response_Planning</t>
  </si>
  <si>
    <t>Recovery_Planning</t>
  </si>
  <si>
    <t>Business_Environment</t>
  </si>
  <si>
    <t>Awareness_and_Training</t>
  </si>
  <si>
    <t>Security_Continuous_Monitoring</t>
  </si>
  <si>
    <t>Respond_Communications</t>
  </si>
  <si>
    <t>Recovery_Improvements</t>
  </si>
  <si>
    <t>Governance</t>
  </si>
  <si>
    <t>Data_Security</t>
  </si>
  <si>
    <t>Detection_Processes</t>
  </si>
  <si>
    <t>Analysis</t>
  </si>
  <si>
    <t>Recovery_Communications</t>
  </si>
  <si>
    <t>Risk_Assessment</t>
  </si>
  <si>
    <t>Information_Protection_Processes_and_Procedures</t>
  </si>
  <si>
    <t>Mitigation</t>
  </si>
  <si>
    <t>Risk_Management_Strategy</t>
  </si>
  <si>
    <t>Maintenance</t>
  </si>
  <si>
    <t>Respond_Improvements</t>
  </si>
  <si>
    <t>Supply_Chain_Risk_Management</t>
  </si>
  <si>
    <t>Protective_Technology</t>
  </si>
  <si>
    <r>
      <rPr>
        <b/>
        <sz val="11"/>
        <color theme="1"/>
        <rFont val="Times New Roman"/>
        <family val="1"/>
      </rPr>
      <t xml:space="preserve">Note: </t>
    </r>
    <r>
      <rPr>
        <sz val="11"/>
        <color theme="1"/>
        <rFont val="Times New Roman"/>
        <family val="1"/>
      </rPr>
      <t xml:space="preserve">
1. Update Standard Mapping - Update Standard Reference ID, Standard Section  ID and Title  in Unique sheet "Standards/Guidelines Reference" Columns
2. Update Country Mapping - Update "Applicable to Country" from "MLSR List" sheet to each unique requirement in Unique sheet "Applicable To Country" Columns 
3. Update Unique Req. Reference - Update unique requirement reference ID in "Product-Requirement" sheet based on grouping in "Unique Requirements" sheet</t>
    </r>
  </si>
  <si>
    <t>Note: Add/ Remove countries as per customer specification from column "I" onwards</t>
  </si>
  <si>
    <t>Total Requirements</t>
  </si>
  <si>
    <t>Applicable to Country (As per country specific regulation for medical device)</t>
  </si>
  <si>
    <t>MLSR ID</t>
  </si>
  <si>
    <t>Standard</t>
  </si>
  <si>
    <t>Standard Ref ID</t>
  </si>
  <si>
    <t>Standard Ref Name</t>
  </si>
  <si>
    <t>Is MLSR requirements
updated in MLCR?</t>
  </si>
  <si>
    <t>Number of product
Requirements</t>
  </si>
  <si>
    <t>Remarks</t>
  </si>
  <si>
    <t>United States</t>
  </si>
  <si>
    <t>Canada</t>
  </si>
  <si>
    <t>Australia</t>
  </si>
  <si>
    <t>Japan</t>
  </si>
  <si>
    <t>Korea</t>
  </si>
  <si>
    <t>China</t>
  </si>
  <si>
    <t>EU - All Countries</t>
  </si>
  <si>
    <t>EU- France</t>
  </si>
  <si>
    <t>EU-Germany</t>
  </si>
  <si>
    <t>EU-Spain</t>
  </si>
  <si>
    <t>MLSR016</t>
  </si>
  <si>
    <t>UL Standard</t>
  </si>
  <si>
    <t>UL 2900-1-1</t>
  </si>
  <si>
    <t>Software Cybersecurity for Network-Connectable Products Part 1 - General Requirements</t>
  </si>
  <si>
    <t>Yes</t>
  </si>
  <si>
    <t>No</t>
  </si>
  <si>
    <t>MLSR017</t>
  </si>
  <si>
    <t>UL 2900-2-1</t>
  </si>
  <si>
    <t>Software Cybersecurity for Network-Connectable Products Part 2-1 Particular Requirements for Network Connectable Components of  Healthcare and Wellness Systems</t>
  </si>
  <si>
    <t>MLSR020</t>
  </si>
  <si>
    <t>ISO/IEC</t>
  </si>
  <si>
    <t>ISO 60601-1-8</t>
  </si>
  <si>
    <t>Medical electrical equipment — Part 1-8: General requirements for basic safety and essential performance</t>
  </si>
  <si>
    <t>MLSR037</t>
  </si>
  <si>
    <t>ISO 27799</t>
  </si>
  <si>
    <t>Health informatics — Information security management in health using ISO/IEC 27002</t>
  </si>
  <si>
    <t>MLSR043</t>
  </si>
  <si>
    <t>IEC TIR80001-2-2</t>
  </si>
  <si>
    <t>Application of risk management for IT networks incorporating medical devices Part 2-2 Guidance for the disclosure and communication of medical device security needs, risks and controls</t>
  </si>
  <si>
    <t>MLSR049</t>
  </si>
  <si>
    <t>NIST SP 800-53 R4</t>
  </si>
  <si>
    <t>Security and Privacy Controls for Federal Information Systems
and Organizations</t>
  </si>
  <si>
    <t>MLSR050</t>
  </si>
  <si>
    <t>NIST SP 800-171 R1</t>
  </si>
  <si>
    <t>Protecting Controlled Unclassified Information in Nonfederal Systems and Organizations</t>
  </si>
  <si>
    <t>MLSR055</t>
  </si>
  <si>
    <t>IEC 27032</t>
  </si>
  <si>
    <t>Information technology— Security techniques —Guidelines for cybersecurity</t>
  </si>
  <si>
    <t>MLSR065</t>
  </si>
  <si>
    <t>Others</t>
  </si>
  <si>
    <t>ENISA - Cloud</t>
  </si>
  <si>
    <t>Cloud Computing - Information Assurance Framework</t>
  </si>
  <si>
    <t>MLSR074</t>
  </si>
  <si>
    <t>ISO/IEC 27002</t>
  </si>
  <si>
    <t>Information technology — Security techniques — Code of practice for information security controls</t>
  </si>
  <si>
    <t>MLSR076</t>
  </si>
  <si>
    <t>AUTO11-A2</t>
  </si>
  <si>
    <t>Information Technology Security of In Vitro Diagnostic Instruments and Software Systems</t>
  </si>
  <si>
    <t>MLSR078</t>
  </si>
  <si>
    <t>IEC/TS 62443-1-1</t>
  </si>
  <si>
    <t>Industrial communication networks – Network and system security –
Part 1-1: Terminology, concepts and models</t>
  </si>
  <si>
    <t>MLSR079</t>
  </si>
  <si>
    <t>IEC 62443-2-1</t>
  </si>
  <si>
    <t>Industrial communication networks – Network and system security –
Part 2-1: Establishing an industrial automation and control system security
program</t>
  </si>
  <si>
    <t>MLSR080</t>
  </si>
  <si>
    <t>IEC/TR 62443-3-1</t>
  </si>
  <si>
    <t>Industrial communication networks – Network and system security –
Part 3-1: Security technologies for industrial automation and control systems</t>
  </si>
  <si>
    <t>MLSR082</t>
  </si>
  <si>
    <t>ISO/IEC 30111</t>
  </si>
  <si>
    <t>Information technology — Security techniques — Vulnerability handling processes</t>
  </si>
  <si>
    <t>MLSR088</t>
  </si>
  <si>
    <t>IEC TR80001-2-8</t>
  </si>
  <si>
    <t>Application of risk management for IT-networks incorporating medical devices Part 2-8: Application guidance</t>
  </si>
  <si>
    <t>MLSR092</t>
  </si>
  <si>
    <t>ANSM’S GUIDELINE</t>
  </si>
  <si>
    <t>Cybersecurity of medical devices integrating software during their life cycle</t>
  </si>
  <si>
    <t>MLSR102</t>
  </si>
  <si>
    <t>AS-TGA</t>
  </si>
  <si>
    <t>Medical device cyber security guidance for industry</t>
  </si>
  <si>
    <t>MLSR103</t>
  </si>
  <si>
    <t>FDA</t>
  </si>
  <si>
    <t>CAN-PMR</t>
  </si>
  <si>
    <t>Pre‐market Requirements for Medical Device Cybersecurity</t>
  </si>
  <si>
    <t>MLSR104</t>
  </si>
  <si>
    <t>FDA-COTS</t>
  </si>
  <si>
    <t>Design Considerations and Pre-market Submission Recommendations for Interoperable Medical Devices</t>
  </si>
  <si>
    <t>MLSR105</t>
  </si>
  <si>
    <t>FDA-PMS</t>
  </si>
  <si>
    <t>Content of Premarket Submissions for Management of Cybersecurity in Medical Devices</t>
  </si>
  <si>
    <t>MLSR106</t>
  </si>
  <si>
    <t>Postmarket Management of Cybersecurity in Medical Devices</t>
  </si>
  <si>
    <t>MLSR201</t>
  </si>
  <si>
    <t>FDA-PHI</t>
  </si>
  <si>
    <t>Manufacturers Sharing Patient-Specific Information from Medical Devices with Patients Upon Request</t>
  </si>
  <si>
    <t>MLSR203</t>
  </si>
  <si>
    <t>CSR-NET</t>
  </si>
  <si>
    <t>Cyber Security Requirements for Network-Connected Medical Devices</t>
  </si>
  <si>
    <t>MLSR208</t>
  </si>
  <si>
    <t>IMDRF</t>
  </si>
  <si>
    <t>Principles and Practices for Medical Device Cybersecurity</t>
  </si>
  <si>
    <t>MLSR210</t>
  </si>
  <si>
    <t>MDCG</t>
  </si>
  <si>
    <t>Guidance on Cybersecurity for medical devices</t>
  </si>
  <si>
    <t>MLSR219</t>
  </si>
  <si>
    <t>NIST SP 800-66</t>
  </si>
  <si>
    <t>An Introductory Resource Guide for Implementing the Health Insurance Portability and Accountability Act (HIPAA) Security Rule</t>
  </si>
  <si>
    <t>MLSR220</t>
  </si>
  <si>
    <t>NIST SP 800-88</t>
  </si>
  <si>
    <t>Guidelines for Media Sanitization</t>
  </si>
  <si>
    <t>MLSR221</t>
  </si>
  <si>
    <t>GDPR</t>
  </si>
  <si>
    <t>General Data Protection Regulation</t>
  </si>
  <si>
    <t>MLSR222</t>
  </si>
  <si>
    <t>EU MDR</t>
  </si>
  <si>
    <t>EU Medical Device Regulation</t>
  </si>
  <si>
    <t>MLSR301</t>
  </si>
  <si>
    <t>NIST SP 800-190</t>
  </si>
  <si>
    <t>Application Container Security Guide</t>
  </si>
  <si>
    <t>MLSR302</t>
  </si>
  <si>
    <t>NIST SP 800-63B</t>
  </si>
  <si>
    <t>Digital Identity Guidelines</t>
  </si>
  <si>
    <t>MLSR304</t>
  </si>
  <si>
    <t>NIST SP 800-121 R2</t>
  </si>
  <si>
    <t>Guide to Bluetooth Security</t>
  </si>
  <si>
    <t>MLSR305</t>
  </si>
  <si>
    <t>NIST SP 1800-4</t>
  </si>
  <si>
    <t>Mobile Device Security Cloud and Hybrid Builds</t>
  </si>
  <si>
    <t>MLSR307</t>
  </si>
  <si>
    <t>PCI DSS</t>
  </si>
  <si>
    <t>Data Security Standard</t>
  </si>
  <si>
    <t>MLSR309</t>
  </si>
  <si>
    <t>NIAP EP</t>
  </si>
  <si>
    <t>Extended Package for Mobile Device Management Agents</t>
  </si>
  <si>
    <t>MLSR310</t>
  </si>
  <si>
    <t>OWASP Top 10 2017</t>
  </si>
  <si>
    <t>OWASP Top 10 2017 The Ten Most Critical Web Application Security Risks</t>
  </si>
  <si>
    <t>MLSR311</t>
  </si>
  <si>
    <t>NIST SP 800-204</t>
  </si>
  <si>
    <t>Security Strategies for Microservices-based Application Systems</t>
  </si>
  <si>
    <t>MLSR312</t>
  </si>
  <si>
    <t>NIST SP 800-124 R2</t>
  </si>
  <si>
    <t>Guidelines for Managing the Security of Mobile Devices in the Enterprise</t>
  </si>
  <si>
    <r>
      <rPr>
        <b/>
        <sz val="8"/>
        <rFont val="Times New Roman"/>
        <family val="1"/>
      </rPr>
      <t>Note:</t>
    </r>
    <r>
      <rPr>
        <sz val="8"/>
        <rFont val="Times New Roman"/>
        <family val="1"/>
      </rPr>
      <t xml:space="preserve"> Format for "MLSR Requirement No" shall be (MLSRXXX_XXX) E.g. MLSR001_1</t>
    </r>
  </si>
  <si>
    <r>
      <rPr>
        <b/>
        <sz val="8"/>
        <rFont val="Times New Roman"/>
        <family val="1"/>
      </rPr>
      <t>Note:</t>
    </r>
    <r>
      <rPr>
        <sz val="8"/>
        <rFont val="Times New Roman"/>
        <family val="1"/>
      </rPr>
      <t xml:space="preserve"> Format for "Change in Requirement" shall be (MLSRXXX_XXX: &lt;&lt;Change in Requirement content&gt;&gt;)</t>
    </r>
  </si>
  <si>
    <t>NIST - Cybersecurity framework function mapping</t>
  </si>
  <si>
    <t>MLSR Req.No</t>
  </si>
  <si>
    <t>Standard Clause/Section ID</t>
  </si>
  <si>
    <t>MLSR049_161</t>
  </si>
  <si>
    <t>AC-2</t>
  </si>
  <si>
    <t>ACCOUNT MANAGEMENT</t>
  </si>
  <si>
    <t>Organization shall assign an account manager to manage accounts such as creates, modifies, disable, remove accounts for information system.</t>
  </si>
  <si>
    <t>MLSR049_161_ref</t>
  </si>
  <si>
    <t>PR.AC-1: Identities and credentials are issued, managed, verified, revoked, and audited for authorized devices, users and processes</t>
  </si>
  <si>
    <t>System_Design</t>
  </si>
  <si>
    <t>Manufacturer</t>
  </si>
  <si>
    <t>MLSR049_162</t>
  </si>
  <si>
    <t>Organization shall establish conditions for group and role membership and frequently review account management requirements for information system</t>
  </si>
  <si>
    <t>MLSR049_162_ref</t>
  </si>
  <si>
    <t>PR.AC-4: Access permissions and authorizations are managed, incorporating the principles of least privilege and separation of duties</t>
  </si>
  <si>
    <t>MLSR049_163</t>
  </si>
  <si>
    <t>Organization shall allow only authorized user to access the information system.</t>
  </si>
  <si>
    <t>MLSR049_163_ref</t>
  </si>
  <si>
    <t>MLSR049_170</t>
  </si>
  <si>
    <t>Organization shall employ an automated mechanisms for managing system accounts when the accounts are terminated/transferred.</t>
  </si>
  <si>
    <t>MLSR049_174</t>
  </si>
  <si>
    <t>MLSR049_172</t>
  </si>
  <si>
    <t>System shall be capable to automatically remove or disable the temporary/emergency user accounts after a defined period of time.</t>
  </si>
  <si>
    <t>Organization shall automatically disable the account which are no longer used or inactive for a certain period defined by the organization .</t>
  </si>
  <si>
    <t>MLSR049_174_ref</t>
  </si>
  <si>
    <t>MLSR049_175</t>
  </si>
  <si>
    <t>System shall employ an automated mechanisms to audits account creation, modification, disabling and termination actions and notifies to authorized personnel or roles.</t>
  </si>
  <si>
    <t>MLSR049_175_ref</t>
  </si>
  <si>
    <t>PR.PT-1: Audit/log records are determined, documented, implemented, and reviewed in accordance with policy</t>
  </si>
  <si>
    <t>MLSR049_176</t>
  </si>
  <si>
    <t>Organization shall automatically log out the users after a defined period of inactivity in the system.</t>
  </si>
  <si>
    <t>MLSR049_176_ref</t>
  </si>
  <si>
    <t>PR.AC-7: Users, devices, and other assets are authenticated (e.g., single-factor, multi-factor) commensurate with the risk of the transaction (e.g., individuals’ security and privacy risks and other organizational risks)</t>
  </si>
  <si>
    <t>MLSR049_177</t>
  </si>
  <si>
    <t>System shall implement dynamic privilege management capabilities for user account.</t>
  </si>
  <si>
    <t>MLSR049_180</t>
  </si>
  <si>
    <t>Organization shall establish and administer privileged user accounts in accordance with a role-based access scheme that organizes allowed information system access and privileges into roles.</t>
  </si>
  <si>
    <t>MLSR049_293</t>
  </si>
  <si>
    <t>MLSR049_181</t>
  </si>
  <si>
    <t>AC-3</t>
  </si>
  <si>
    <t>Organization shall monitor privileged role assignments and take necessary action if any changed detected in role assignments.</t>
  </si>
  <si>
    <t>MLSR049_183</t>
  </si>
  <si>
    <t>System shall be capable to create system accounts dynamically at run time and validate authorizations and privileges of created system accounts.</t>
  </si>
  <si>
    <t>MLSR049_184</t>
  </si>
  <si>
    <t>Organization shall restrict the use of shared/group accounts only when it satisfied the conditions defined by the organization.</t>
  </si>
  <si>
    <t>MLSR049_759</t>
  </si>
  <si>
    <t>MLSR049_185</t>
  </si>
  <si>
    <t>System shall terminate shared/group account credentials when members leave the group.</t>
  </si>
  <si>
    <t>MLSR049_186</t>
  </si>
  <si>
    <t>System shall enforce defined usage conditions for specific information system accounts.</t>
  </si>
  <si>
    <t>MLSR049_188</t>
  </si>
  <si>
    <t>Organization shall monitor and report the usage of system accounts to defined personnel or roles.</t>
  </si>
  <si>
    <t>MLSR049_190</t>
  </si>
  <si>
    <t>Organization shall disable accounts of users posing a significant risk to organization within a defined time period of discovery of the risk.</t>
  </si>
  <si>
    <t>MLSR049_193</t>
  </si>
  <si>
    <t>ACCESS ENFORCEMENT</t>
  </si>
  <si>
    <t>System shall enforce only approved authorized users to access system information, system resources and privileged functions with applicable access control policies.</t>
  </si>
  <si>
    <t>MLSR049_197</t>
  </si>
  <si>
    <t>System shall enforce dual authorization to access the privileged functions in order to prevent from unauthorized access.</t>
  </si>
  <si>
    <t>MLSR049_765</t>
  </si>
  <si>
    <t>MLSR049_208</t>
  </si>
  <si>
    <t>System shall prevent access to security-relevant information except during secure, non-operable system states.</t>
  </si>
  <si>
    <t>MLSR049_1908</t>
  </si>
  <si>
    <t>PR.PT-5: Mechanisms (e.g., failsafe, load balancing, hot swap) are implemented to achieve resilience requirements in normal and adverse situations</t>
  </si>
  <si>
    <t>MLSR049_212</t>
  </si>
  <si>
    <t>System shall enforce a role-based access control policy over defined subjects and objects and controls access based upon organization-defined roles and users authorized to assume such roles.</t>
  </si>
  <si>
    <t>MLSR049_215</t>
  </si>
  <si>
    <t>System shall enforce the revocation of access authorizations based on defined rules when changes in the security attributes.</t>
  </si>
  <si>
    <t>MLSR049_349</t>
  </si>
  <si>
    <t>MLSR049_217</t>
  </si>
  <si>
    <t>System shall prohibit to send information outside of the established system boundary unless receiving information system or system component provides appropriate security safeguards which is used to validate information designated for release</t>
  </si>
  <si>
    <t>MLSR049_217_ref</t>
  </si>
  <si>
    <t>PR.DS-5: Protections against data leaks are implemented</t>
  </si>
  <si>
    <t>MLSR049_223</t>
  </si>
  <si>
    <t>Organization shall provide audited override of Access control mechanisms which may be used in events that threatens organization's capability to carry out critical missions or business functions.</t>
  </si>
  <si>
    <t>MLSR049_225</t>
  </si>
  <si>
    <t>AC-4</t>
  </si>
  <si>
    <t>INFORMATION FLOW ENFORCEMENT</t>
  </si>
  <si>
    <t>System shall enforce approved authorizations for controlling the flow of information within the system and between interconnected systems based on defined information flow control policies.</t>
  </si>
  <si>
    <t>MLSR049_242</t>
  </si>
  <si>
    <t>System shall prevent encrypted information from bypassing content-checking mechanisms and examine encrypted data content to detect attacks or malicious code by defined procedure or methods.</t>
  </si>
  <si>
    <t>MLSR049_242_ref</t>
  </si>
  <si>
    <t>PR.DS-6: Integrity checking mechanisms are used to verify software, firmware, and information integrity</t>
  </si>
  <si>
    <t>MLSR049_243</t>
  </si>
  <si>
    <t>System shall enforce limitations on embedding data types within other data types.</t>
  </si>
  <si>
    <t>MLSR049_245</t>
  </si>
  <si>
    <t>System shall enforce information flow control based on defined metadata that describes the characteristics of data like ensuring strong binding techniques with appropriate levels of assurance.</t>
  </si>
  <si>
    <t>MLSR049_245_ref</t>
  </si>
  <si>
    <t>MLSR049_248</t>
  </si>
  <si>
    <t>System shall enforce one-way flow mechanisms using hardware mechanisms</t>
  </si>
  <si>
    <t>MLSR049_249</t>
  </si>
  <si>
    <t>System shall enforce information flow control using security policy filters as a basis for flow control decisions for the information flows of the system.</t>
  </si>
  <si>
    <t>MLSR049_255</t>
  </si>
  <si>
    <t>System shall provide the capability for privileged administrators to enable and disable security policy filters.</t>
  </si>
  <si>
    <t>MLSR049_257</t>
  </si>
  <si>
    <t>System shall provide the capability for privileged administrators to configure the security policy filters to support different security policies.</t>
  </si>
  <si>
    <t>MLSR049_259</t>
  </si>
  <si>
    <t>System shall implement secure communication between different security domains by using data type identifiers (file type, signature/token) to validate data on both sides.</t>
  </si>
  <si>
    <t>MLSR079_1309</t>
  </si>
  <si>
    <t>PR.PT-4: Communications and control networks are protected</t>
  </si>
  <si>
    <t>MLSR049_260</t>
  </si>
  <si>
    <t>System shall decompose information into policy-relevant subcomponents when transferring information between different security domains for submission to policy enforcement mechanisms.</t>
  </si>
  <si>
    <t>MLSR074_709</t>
  </si>
  <si>
    <t>PR.DS-2: Data-in-transit is protected</t>
  </si>
  <si>
    <t>MLSR049_261</t>
  </si>
  <si>
    <t>System shall implement security policy filters requiring fully enumerated formats that restrict data structure and content when transferring information between different security domains.</t>
  </si>
  <si>
    <t>MLSR049_263</t>
  </si>
  <si>
    <t>System shall examine the information for the presence of unsanctioned information(malicious code) and prohibit the transfer of such information in accordance with the defined security policy.</t>
  </si>
  <si>
    <t>MLSR049_266</t>
  </si>
  <si>
    <t>System shall have the capability to uniquely identify and authenticate the source and destination points by organization, system, application, individual for information transfer.</t>
  </si>
  <si>
    <t>MLSR049_981</t>
  </si>
  <si>
    <t>MLSR049_268</t>
  </si>
  <si>
    <t>System shall binds security attributes to information using defined binding techniques to facilitate information flow policy enforcement.</t>
  </si>
  <si>
    <t>MLSR049_270</t>
  </si>
  <si>
    <t>System shall apply the security policy filtering to metadata as it applies to data payloads when transferring information between different security domains.</t>
  </si>
  <si>
    <t>MLSR049_274</t>
  </si>
  <si>
    <t>System shall separate the flow of information by logically or physically using defined mechanisms and/or techniques to accomplish separation by types of information.</t>
  </si>
  <si>
    <t>MLSR049_276</t>
  </si>
  <si>
    <t>System shall allow to access computing platforms, applications or data residing on multiple different security domains from a single device without transferring information.</t>
  </si>
  <si>
    <t>MLSR049_377</t>
  </si>
  <si>
    <t>PR.AC-3: Remote access is managed</t>
  </si>
  <si>
    <t>MLSR049_279</t>
  </si>
  <si>
    <t>AC-5</t>
  </si>
  <si>
    <t>SEPARATION OF DUTIES</t>
  </si>
  <si>
    <t>Organization shall separate and document the duties of individuals including separation of authorizations to reduce the risk of malicious activities.</t>
  </si>
  <si>
    <t>MLSR049_283</t>
  </si>
  <si>
    <t>AC-6</t>
  </si>
  <si>
    <t>LEAST PRIVILEGE</t>
  </si>
  <si>
    <t>Organization shall prohibit to provide full access privilege to the information system and apply only necessary privilege to perform the tasks by employing least privileges.</t>
  </si>
  <si>
    <t>MLSR049_285</t>
  </si>
  <si>
    <t>Organization shall explicitly authorize access to the security functions and security-relevant information's to prevent the unauthorized access.</t>
  </si>
  <si>
    <t>MLSR049_287</t>
  </si>
  <si>
    <t>Organization shall enforce privileged user to use a non-privileged account/roles when accessing non security functions.</t>
  </si>
  <si>
    <t>MLSR049_289</t>
  </si>
  <si>
    <t>Organization shall authorize network access to privileged commands only for compelling operational needs and document the rationale for such access in the security plan for the system.</t>
  </si>
  <si>
    <t>MLSR049_304</t>
  </si>
  <si>
    <t>MLSR049_291</t>
  </si>
  <si>
    <t>System shall provide separate processing domains to enable finer-grained allocation of user privileges.</t>
  </si>
  <si>
    <t>Organization shall restrict privileged accounts on the information system to defined personnel or roles.</t>
  </si>
  <si>
    <t>MLSR049_293_ref</t>
  </si>
  <si>
    <t>MLSR049_296</t>
  </si>
  <si>
    <t>Organization shall prohibit non-organizational users to use privileged access of the information system.</t>
  </si>
  <si>
    <t>MLSR049_298</t>
  </si>
  <si>
    <t>Organization shall frequently review the privileges assigned to the users and remove, reassign privileges if any changes on the user roles.</t>
  </si>
  <si>
    <t>MLSR074_284</t>
  </si>
  <si>
    <t>MLSR049_300</t>
  </si>
  <si>
    <t>System shall prevent software from executing at higher privilege levels than users executing the software.</t>
  </si>
  <si>
    <t>MLSR049_302</t>
  </si>
  <si>
    <t>System shall audit the execution of privileged functions so that misuse of privileged functions intentionally or unintentionally by authorized users is prevented.</t>
  </si>
  <si>
    <t>System shall prevent non-privileged users from executing privileged functions in order to maintain the system integrity</t>
  </si>
  <si>
    <t>MLSR049_304_ref</t>
  </si>
  <si>
    <t>MLSR049_307</t>
  </si>
  <si>
    <t>AC-7</t>
  </si>
  <si>
    <t>UNSUCCESSFUL LOGON ATTEMPTS</t>
  </si>
  <si>
    <t>System shall limit the number of consecutive invalid logon attempts by a user within a defined time period.</t>
  </si>
  <si>
    <t>MLSR049_308</t>
  </si>
  <si>
    <t>System shall lock the user account after a configured number of continuous unsuccessful login attempts.</t>
  </si>
  <si>
    <t>MLSR049_308_ref</t>
  </si>
  <si>
    <t>MLSR049_311</t>
  </si>
  <si>
    <t>System shall purge/wipe information from mobile device after a configured number of continuous unsuccessful login attempts.</t>
  </si>
  <si>
    <t>MLSR305_65</t>
  </si>
  <si>
    <t>PR.IP-6: Data is destroyed according to policy</t>
  </si>
  <si>
    <t>MLSR049_314</t>
  </si>
  <si>
    <t>AC-8</t>
  </si>
  <si>
    <t>SYSTEM USE NOTIFICATION</t>
  </si>
  <si>
    <t>System shall display use notification of the system(privacy and security notices) to users before granting access to the system.</t>
  </si>
  <si>
    <t>MLSR049_314_ref</t>
  </si>
  <si>
    <t>MLSR049_315</t>
  </si>
  <si>
    <t>System shall retain the notification message or banner on the screen until users acknowledge the usage conditions.</t>
  </si>
  <si>
    <t>MLSR049_324</t>
  </si>
  <si>
    <t>MLSR049_319</t>
  </si>
  <si>
    <t>AC-9</t>
  </si>
  <si>
    <t>PREVIOUS LOGON (ACCESS) NOTIFICATION</t>
  </si>
  <si>
    <t>System shall show the user name, last login date and time to the authenticated user on successful login.</t>
  </si>
  <si>
    <t>MLSR049_321</t>
  </si>
  <si>
    <t>System shall notify the user about the number of unsuccessful logon attempts after successful logon.</t>
  </si>
  <si>
    <t>MLSR049_322</t>
  </si>
  <si>
    <t>System shall notify the user about the number of successful and unsuccessful logon attempts and changes in security-related characteristics/parameters of the user’s account with in a defined period.</t>
  </si>
  <si>
    <t>MLSR049_323</t>
  </si>
  <si>
    <t>System shall notify the user for accounts changes with respect to the security-related characteristics/parameters of the user’s account during the organization-defined time period.</t>
  </si>
  <si>
    <t>System shall notify the user, upon successful logon (access), of the organization-defined information to be included in addition to the date and time of the last logon.</t>
  </si>
  <si>
    <t>MLSR049_324_ref</t>
  </si>
  <si>
    <t>MLSR049_327</t>
  </si>
  <si>
    <t>AC-10</t>
  </si>
  <si>
    <t>CONCURRENT SESSION CONTROL</t>
  </si>
  <si>
    <t>System shall limit the number of concurrent sessions to a defined numbers based on account types.</t>
  </si>
  <si>
    <t>MLSR203_63</t>
  </si>
  <si>
    <t>MLSR049_331</t>
  </si>
  <si>
    <t>AC-11</t>
  </si>
  <si>
    <t>SESSION LOCK</t>
  </si>
  <si>
    <t>System shall prevent further access to a system by initiating a session lock after a defined time period and retain until user reestablish access using established identification and authentication procedures</t>
  </si>
  <si>
    <t>MLSR079_1058</t>
  </si>
  <si>
    <t>MLSR049_334</t>
  </si>
  <si>
    <t>AC-12</t>
  </si>
  <si>
    <t>SESSION TERMINATION</t>
  </si>
  <si>
    <t>System shall automatically terminate user session after defined conditions or trigger events requiring session disconnect.</t>
  </si>
  <si>
    <t>MLSR049_334_ref</t>
  </si>
  <si>
    <t>MLSR049_335</t>
  </si>
  <si>
    <t>System shall terminate the user session without terminating the network session.</t>
  </si>
  <si>
    <t>MLSR049_336</t>
  </si>
  <si>
    <t>System shall only terminates the processes associated with a user’s logical session that are specifically created by the user.</t>
  </si>
  <si>
    <t>MLSR049_337</t>
  </si>
  <si>
    <t>System shall have provision to logout the user-initiated communication sessions if the authenticated session is used to gain access to information resources.</t>
  </si>
  <si>
    <t>MLSR049_338</t>
  </si>
  <si>
    <t>System shall show an explicit logout message after successful termination of authenticated communications sessions.</t>
  </si>
  <si>
    <t>MLSR049_342</t>
  </si>
  <si>
    <t>AC-14</t>
  </si>
  <si>
    <t>PERMITTED ACTIONS WITHOUT IDENTIFICATION OR AUTHENTICATION</t>
  </si>
  <si>
    <t>Organization shall provide the capability to access user actions without identification or authentication under organization defined conditions.</t>
  </si>
  <si>
    <t>MLSR049_954</t>
  </si>
  <si>
    <t>AC-16</t>
  </si>
  <si>
    <t>SECURITY ATTRIBUTES</t>
  </si>
  <si>
    <t>Organization shall ensure the associated security attributes are with necessary security attribute values with information in storage/process/transmission.</t>
  </si>
  <si>
    <t>MLSR049_349_ref</t>
  </si>
  <si>
    <t>MLSR049_358</t>
  </si>
  <si>
    <t>System shall allow only authorized users to define or change the values associated with security attributes.</t>
  </si>
  <si>
    <t>MLSR049_360</t>
  </si>
  <si>
    <t>System shall maintain the association and integrity of security and privacy attributes to defined subjects and objects.</t>
  </si>
  <si>
    <t>MLSR049_362</t>
  </si>
  <si>
    <t>System shall allow only authorized individuals to support the association of security and privacy attributes with defined subjects and objects.</t>
  </si>
  <si>
    <t>MLSR049_368</t>
  </si>
  <si>
    <t>Organization shall provide a consistent interpretation of security attributes transmitted between distributed system components.</t>
  </si>
  <si>
    <t>MLSR049_370</t>
  </si>
  <si>
    <t>System shall implement a secure mechanism to protect the security attributes with defined level of assurance.</t>
  </si>
  <si>
    <t>MLSR049_372</t>
  </si>
  <si>
    <t>Organization shall reassign security attributes associated with information only via re-grading mechanisms validated using defined techniques or procedures.</t>
  </si>
  <si>
    <t>MLSR049_374</t>
  </si>
  <si>
    <t>System shall allow only authorized individuals to define or change the type and value of security and privacy attributes.</t>
  </si>
  <si>
    <t>Organization shall establish and document usage restrictions, configuration/connection requirements, and implementation guidance for each type of remote access.</t>
  </si>
  <si>
    <t>MLSR049_377_ref</t>
  </si>
  <si>
    <t>MLSR049_378</t>
  </si>
  <si>
    <t>AC-17</t>
  </si>
  <si>
    <t>REMOTE ACCESS</t>
  </si>
  <si>
    <t>Organization shall authorize remote access connection prior allowing then to connect.</t>
  </si>
  <si>
    <t>MLSR049_382</t>
  </si>
  <si>
    <t>System shall monitor, audit and control the remote access sessions via automated mechanism to detect cyber attacks.</t>
  </si>
  <si>
    <t>MLSR049_384</t>
  </si>
  <si>
    <t>System shall implement cryptographic mechanisms to protect the confidentiality and integrity of remote access sessions.</t>
  </si>
  <si>
    <t>MLSR049_386</t>
  </si>
  <si>
    <t>System shall route/limit all remote accesses through defined number of managed network access control points.</t>
  </si>
  <si>
    <t>MLSR049_388</t>
  </si>
  <si>
    <t>Organization shall authorize the execution of privileged commands and access to security-relevant information via remote access only for organization-defined needs.</t>
  </si>
  <si>
    <t>MLSR049_391</t>
  </si>
  <si>
    <t>Organization shall ensure that users protect information about the remote access mechanisms from unauthorized use and disclosure.</t>
  </si>
  <si>
    <t>MLSR049_395</t>
  </si>
  <si>
    <t>Organization shall have the capability to disconnect current users remote access or disable further remote access after a defined time period of inactivity.</t>
  </si>
  <si>
    <t>MLSR049_398</t>
  </si>
  <si>
    <t>Organization shall establish and document usage restrictions, configuration/connection requirements, and implementation guidance for wireless access.</t>
  </si>
  <si>
    <t>MLSR049_398_ref</t>
  </si>
  <si>
    <t>MLSR049_399</t>
  </si>
  <si>
    <t>AC-18</t>
  </si>
  <si>
    <t>WIRELESS ACCESS</t>
  </si>
  <si>
    <t>Organization shall authorize wireless access prior allowing such connection to prevent unauthorized access</t>
  </si>
  <si>
    <t>MLSR049_401</t>
  </si>
  <si>
    <t>Organization shall implement authentication and encryption to protect wireless access to the information system.</t>
  </si>
  <si>
    <t>MLSR049_401_ref</t>
  </si>
  <si>
    <t>MLSR049_404</t>
  </si>
  <si>
    <t>Organization shall disable, when not intended for use, wireless networking capabilities internally embedded within information system components prior to issuance and deployment.</t>
  </si>
  <si>
    <t>MLSR049_406</t>
  </si>
  <si>
    <t>Organization shall identify and authorize users to independently configure wireless networking capabilities</t>
  </si>
  <si>
    <t>MLSR049_411</t>
  </si>
  <si>
    <t>Organization shall establish and document usage restrictions, configuration/connection requirements, and implementation guidance for mobile device.</t>
  </si>
  <si>
    <t>MLSR309_8</t>
  </si>
  <si>
    <t>PR.IP-2: A System Development Life Cycle to manage systems is implemented</t>
  </si>
  <si>
    <t>MLSR049_412</t>
  </si>
  <si>
    <t>AC-19</t>
  </si>
  <si>
    <t>ACCESS CONTROL FOR MOBILE DEVICES</t>
  </si>
  <si>
    <t>Organization shall enforce the mobile device to authorize with organization information system.</t>
  </si>
  <si>
    <t>MLSR305_82</t>
  </si>
  <si>
    <t>MLSR049_420</t>
  </si>
  <si>
    <t>Organization shall prohibit use of unclassified mobile devices in facilities containing information systems processing, storing, or transmitting classified information unless specifically permitted by the authorizing official.</t>
  </si>
  <si>
    <t>MLSR049_421</t>
  </si>
  <si>
    <t>Organization shall use unclassified mobile devices with proper permission and restrictions defined by the authorizing official</t>
  </si>
  <si>
    <t>MLSR049_423</t>
  </si>
  <si>
    <t>Organization shall implement full-device encryption and/or container encryption to protect the confidentiality and integrity of information on mobile devices.</t>
  </si>
  <si>
    <t>MLSR305_132</t>
  </si>
  <si>
    <t>MLSR049_426</t>
  </si>
  <si>
    <t>Organization shall allow only authorized users to access, process, store, or transmit information using external information systems.</t>
  </si>
  <si>
    <t>MLSR049_435</t>
  </si>
  <si>
    <t>AC-20</t>
  </si>
  <si>
    <t>USE OF EXTERNAL INFORMATION SYSTEMS</t>
  </si>
  <si>
    <t>Organization shall restrict or prohibit the use of organization-controlled portable storage devices by authorized individuals on external information systems.</t>
  </si>
  <si>
    <t>MLSR049_435_ref</t>
  </si>
  <si>
    <t>PR.PT-2: Removable media is protected and its use restricted according to policy</t>
  </si>
  <si>
    <t>MLSR049_437</t>
  </si>
  <si>
    <t>Organization shall restrict or prohibits the use of non-organizationally owned information systems, system components, or devices to process, store, or transmit organizational information.</t>
  </si>
  <si>
    <t>MLSR049_440</t>
  </si>
  <si>
    <t>Organization shall prohibit the use of network accessible storage devices in external information systems.</t>
  </si>
  <si>
    <t>MLSR049_443</t>
  </si>
  <si>
    <t>Organization shall employ an automated mechanisms or manual processes to assist users in making information sharing/collaboration decisions.</t>
  </si>
  <si>
    <t>MLSR049_445</t>
  </si>
  <si>
    <t>AC-21</t>
  </si>
  <si>
    <t>INFORMATION SHARING</t>
  </si>
  <si>
    <t>System shall enforce information-sharing decisions by authorized users based on access authorizations of sharing partners and access restrictions on information to be shared.</t>
  </si>
  <si>
    <t>MLSR049_446</t>
  </si>
  <si>
    <t>System shall implement information search and retrieval services that enforce information sharing restrictions.</t>
  </si>
  <si>
    <t>MLSR049_452</t>
  </si>
  <si>
    <t>Organization shall employ data mining prevention and detection techniques for data storage objects to adequately detect and protect against data mining.</t>
  </si>
  <si>
    <t>MLSR049_459</t>
  </si>
  <si>
    <t>AC-23</t>
  </si>
  <si>
    <t>DATA MINING PROTECTION</t>
  </si>
  <si>
    <t>System shall transmit access authorization information to information systems using defined security safeguards that enforce access control decisions.</t>
  </si>
  <si>
    <t>MLSR049_462</t>
  </si>
  <si>
    <t>AC-24</t>
  </si>
  <si>
    <t>ACCESS CONTROL DECISIONS</t>
  </si>
  <si>
    <t>System shall enforce access control decisions based on security attributes that do not include the identity of the user or process acting on behalf of the user.</t>
  </si>
  <si>
    <t>MLSR049_507</t>
  </si>
  <si>
    <t>Organization shall capable to log auditable events and frequently review and updates the audited events.</t>
  </si>
  <si>
    <t>MLSR049_507_ref</t>
  </si>
  <si>
    <t>MLSR049_513</t>
  </si>
  <si>
    <t>AU-2</t>
  </si>
  <si>
    <t>AUDIT EVENTS</t>
  </si>
  <si>
    <t>Organization shall review and update the audited events in organization-defined frequency</t>
  </si>
  <si>
    <t>MLSR049_517</t>
  </si>
  <si>
    <t>System shall generate audit record with information containing about type of event, when and where the event occurred, source of the event, outcome of the event, and identity of any individuals or subjects associated with the event.</t>
  </si>
  <si>
    <t>MLSR049_519</t>
  </si>
  <si>
    <t>AU-3</t>
  </si>
  <si>
    <t>CONTENT OF AUDIT RECORDS</t>
  </si>
  <si>
    <t>System shall generate audit records containing the additional information such as full text recording of privileged commands or the individual identities of group account users.</t>
  </si>
  <si>
    <t>MLSR049_521</t>
  </si>
  <si>
    <t>System shall provide centralized management and configuration for the content captured in audit records generated by system components.</t>
  </si>
  <si>
    <t>MLSR049_521_ref</t>
  </si>
  <si>
    <t>MLSR049_524</t>
  </si>
  <si>
    <t>Organization shall allocate audit record storage capacity in accordance with defined audit record storage requirements.</t>
  </si>
  <si>
    <t>MLSR049_524_ref</t>
  </si>
  <si>
    <t>MLSR049_526</t>
  </si>
  <si>
    <t>AU-4</t>
  </si>
  <si>
    <t>AUDIT STORAGE CAPACITY</t>
  </si>
  <si>
    <t>System shall off-load audit records onto a different system or media with a defined frequency.</t>
  </si>
  <si>
    <t>MLSR049_529</t>
  </si>
  <si>
    <t>System shall alert organization-defined personnel or roles in the event of an audit processing failure and take additional actions such as shut down, overwrite oldest audit records and stop generating audit records.</t>
  </si>
  <si>
    <t>MLSR049_529_ref</t>
  </si>
  <si>
    <t>MLSR049_531</t>
  </si>
  <si>
    <t>AU-5</t>
  </si>
  <si>
    <t>RESPONSE TO AUDIT PROCESSING FAILURES</t>
  </si>
  <si>
    <t>Organization shall provide an alert to personnel, roles and/or locations within a defined time period when allocated audit record storage volume reaches maximum storage capacity or when audit failure events occurs.</t>
  </si>
  <si>
    <t>MLSR049_533</t>
  </si>
  <si>
    <t>System shall provide alert in real-time period to personnel, roles, and/or locations when audit failure events occur</t>
  </si>
  <si>
    <t>MLSR049_535</t>
  </si>
  <si>
    <t>System shall enforce configurable network communications traffic volume thresholds reflecting limits on auditing capacity and reject/delay network traffic above those thresholds.</t>
  </si>
  <si>
    <t>MLSR049_537</t>
  </si>
  <si>
    <t>System shall invoke a full/partial shutdown, degrade operational mode with limited mission/business functionality available in the event of audit failures unless an alternate audit capability exists.</t>
  </si>
  <si>
    <t>MLSR049_540</t>
  </si>
  <si>
    <t>Organization shall frequently review and analyzes system audit records and report to authorized personnel or roles incase of any unusual activity's detected.</t>
  </si>
  <si>
    <t>MLSR049_565</t>
  </si>
  <si>
    <t>MLSR049_543</t>
  </si>
  <si>
    <t>AU-6</t>
  </si>
  <si>
    <t>AUDIT REVIEW, ANALYSIS, AND REPORTING</t>
  </si>
  <si>
    <t>Organization shall employ automated mechanisms to integrate audit review, analysis, and reporting processes to support organizational processes for investigation and response to suspicious activities.</t>
  </si>
  <si>
    <t>MLSR049_546</t>
  </si>
  <si>
    <t>Organization shall analyze and correlates audit records across different repositories to gain organization-wide situational awareness.</t>
  </si>
  <si>
    <t>MLSR049_548</t>
  </si>
  <si>
    <t>System shall have the capability to centrally review and analyze audit records from multiple components within the system.</t>
  </si>
  <si>
    <t>MLSR049_550</t>
  </si>
  <si>
    <t>Organization shall integrate analysis of audit records with analysis of vulnerability scanning information, performance data, information system monitoring information collected from other sources to further enhance the ability to identify inappropriate or unusual activity</t>
  </si>
  <si>
    <t>MLSR049_553</t>
  </si>
  <si>
    <t>Organization shall correlate information from audit records with information obtained from monitoring physical access to further enhance the ability to identify suspicious, inappropriate, unusual, or malevolent activity.</t>
  </si>
  <si>
    <t>MLSR049_555</t>
  </si>
  <si>
    <t>Organization shall allow only authorized users/roles to analyze, review and report audit information.</t>
  </si>
  <si>
    <t>MLSR049_557</t>
  </si>
  <si>
    <t>Organization shall perform a full text analysis of audited privileged commands in a physically distinct component or subsystem of the information system, or other information system that is dedicated to that analysis.</t>
  </si>
  <si>
    <t>MLSR049_559</t>
  </si>
  <si>
    <t>Organization shall correlate information from nontechnical sources with audit information to enhance organization-wide situational awareness.</t>
  </si>
  <si>
    <t>MLSR049_562</t>
  </si>
  <si>
    <t>Organization shall adjust the level of audit review, analysis, and reporting within the information system when there is a change in risk based on law enforcement information, intelligence information, or other credible sources of information.</t>
  </si>
  <si>
    <t>System shall provide an audit reduction and report generation capability that supports on-demand audit review, analysis, reporting for investigations and does not alter the original content or time ordering of audit records.</t>
  </si>
  <si>
    <t>MLSR049_565_ref</t>
  </si>
  <si>
    <t>MLSR049_567</t>
  </si>
  <si>
    <t>AU-7</t>
  </si>
  <si>
    <t>AUDIT REDUCTION AND REPORT GENERATION</t>
  </si>
  <si>
    <t>System shall provide the capability to process audit records for events of interest based on defined audit fields within audit records, events of interest can be identified by the content of specific audit record fields.</t>
  </si>
  <si>
    <t>MLSR049_569</t>
  </si>
  <si>
    <t>System shall provide the capability to sort and search audit records for events of interest based on the content of audit fields within audit records.</t>
  </si>
  <si>
    <t>MLSR049_572</t>
  </si>
  <si>
    <t>System shall use internal system clocks to generate time stamps for audit records.</t>
  </si>
  <si>
    <t>MLSR049_572_ref</t>
  </si>
  <si>
    <t>MLSR049_573</t>
  </si>
  <si>
    <t>AU-8</t>
  </si>
  <si>
    <t>TIME STAMPS</t>
  </si>
  <si>
    <t>System shall capture timestamp for audit log with Universal Time (UTC) or Greenwich Mean Time (GMT) that meets defined granularity of time measurement.</t>
  </si>
  <si>
    <t>MLSR049_575</t>
  </si>
  <si>
    <t>System shall compare and synchronizes the internal system clocks with authoritative time source when the time difference is greater than defined time period</t>
  </si>
  <si>
    <t>MLSR049_577</t>
  </si>
  <si>
    <t>System shall identify a secondary authoritative time source that is located in a different geographic region than the primary authoritative time source.</t>
  </si>
  <si>
    <t>MLSR049_579</t>
  </si>
  <si>
    <t>System shall protect audit information and audit tools from unauthorized access, modification, and deletion.</t>
  </si>
  <si>
    <t>MLSR049_587</t>
  </si>
  <si>
    <t>MLSR049_581</t>
  </si>
  <si>
    <t>AU-9</t>
  </si>
  <si>
    <t>PROTECTION OF AUDIT INFORMATION</t>
  </si>
  <si>
    <t>System shall write audit trails to hardware-enforced, write-once media.</t>
  </si>
  <si>
    <t>MLSR076_170</t>
  </si>
  <si>
    <t>MLSR049_583</t>
  </si>
  <si>
    <t>System shall backup an audit records in a separate physical system or system component other that the component being audited.</t>
  </si>
  <si>
    <t>MLSR049_910</t>
  </si>
  <si>
    <t xml:space="preserve">PR.IP-4: Backups of information are conducted, maintained, and tested </t>
  </si>
  <si>
    <t>MLSR049_585</t>
  </si>
  <si>
    <t>System shall implement cryptographic mechanisms to protect the integrity of audit information to prevent unauthorized modification.</t>
  </si>
  <si>
    <t>MLSR049_1928</t>
  </si>
  <si>
    <t>Organization shall authorize access to management of audit functionality to only defined subset of privileged users.</t>
  </si>
  <si>
    <t>MLSR049_587_ref</t>
  </si>
  <si>
    <t>MLSR049_589</t>
  </si>
  <si>
    <t>Organization shall enforce dual authorization for movement/deletion of audit information.</t>
  </si>
  <si>
    <t>MLSR049_591</t>
  </si>
  <si>
    <t>Organization shall allow read-only access to audit records for the restricted privileged user to limit the potential damage to the audit information.</t>
  </si>
  <si>
    <t>MLSR049_597</t>
  </si>
  <si>
    <t>System shall bind the identity of the information producer with the information to increase the strength of binding.</t>
  </si>
  <si>
    <t>MLSR049_602</t>
  </si>
  <si>
    <t>MLSR049_598</t>
  </si>
  <si>
    <t>AU-10</t>
  </si>
  <si>
    <t>NON-REPUDIATION</t>
  </si>
  <si>
    <t>System shall allow only authorized individuals to determine the identity of the producer of the information.</t>
  </si>
  <si>
    <t>MLSR049_600</t>
  </si>
  <si>
    <t>System shall validate the binding of the information producer identity to the information at specified interval and perform actions in the event of validation error</t>
  </si>
  <si>
    <t>System shall maintain reviewer/releaser identity and credentials within the established chain of custody for all information reviewed or released.</t>
  </si>
  <si>
    <t>MLSR049_602_ref</t>
  </si>
  <si>
    <t>MLSR049_604</t>
  </si>
  <si>
    <t>System shall validate the binding of the information reviewer identity prior to release/transfer between security domains and perform necessary action in the event of validation error.</t>
  </si>
  <si>
    <t>MLSR049_608</t>
  </si>
  <si>
    <t>Organization shall retain audit records to provide support for after-the-fact investigations of security incidents and to meet regulatory and organizational information retention requirements.</t>
  </si>
  <si>
    <t>MLSR049_610</t>
  </si>
  <si>
    <t>AU-11</t>
  </si>
  <si>
    <t>AUDIT RECORD RETENTION</t>
  </si>
  <si>
    <t>Organization shall ensure that long-term audit records generated by the information system can be retrieved.</t>
  </si>
  <si>
    <t>MLSR049_610_ref</t>
  </si>
  <si>
    <t>MLSR049_613</t>
  </si>
  <si>
    <t>System shall provide audit record generation capability for auditable events and allow personnel or roles to select which auditable events are to be audited by specific components of the information system and generate audit records for events defined.</t>
  </si>
  <si>
    <t>MLSR049_615</t>
  </si>
  <si>
    <t>AU-12</t>
  </si>
  <si>
    <t>AUDIT GENERATION</t>
  </si>
  <si>
    <t>System shall compile audit records into a system-wide audit trail that is time-correlated, the time stamps in the individual audit records can be reliably related to the time stamps in other audit records to achieve a time ordering of the records within organizational tolerances.</t>
  </si>
  <si>
    <t>MLSR049_619</t>
  </si>
  <si>
    <t>System shall provide the capability for authorized individuals to change the auditing based on selectable event criteria within time thresholds.</t>
  </si>
  <si>
    <t>MLSR049_622</t>
  </si>
  <si>
    <t>Organization shall frequently monitor the open source information sites and employ automated mechanisms to determine if any information has been disclosed in an unauthorized manner.</t>
  </si>
  <si>
    <t>MLSR049_622_ref</t>
  </si>
  <si>
    <t>MLSR049_624</t>
  </si>
  <si>
    <t>AU-13</t>
  </si>
  <si>
    <t>MONITORING FOR INFORMATION DISCLOSURE</t>
  </si>
  <si>
    <t>Organization shall employ automated mechanisms to determine if organizational information has been disclosed in an unauthorized manner.</t>
  </si>
  <si>
    <t>MLSR049_626</t>
  </si>
  <si>
    <t>Organization shall review open source information sites being monitored periodically</t>
  </si>
  <si>
    <t>MLSR049_628</t>
  </si>
  <si>
    <t>System shall provide the capability for authorized users to select a user session to capture/record or view/hear.</t>
  </si>
  <si>
    <t>MLSR049_630</t>
  </si>
  <si>
    <t>AU-14</t>
  </si>
  <si>
    <t>SESSION AUDIT</t>
  </si>
  <si>
    <t>Organization shall initiate session audits at system start-up.</t>
  </si>
  <si>
    <t>MLSR049_631</t>
  </si>
  <si>
    <t>System shall provide the capability for authorized users to capture/record and log content related to a user session.</t>
  </si>
  <si>
    <t>MLSR049_632</t>
  </si>
  <si>
    <t>System shall provide capability for authorized users to remotely view/hear all audit content related to an established user session in real time.</t>
  </si>
  <si>
    <t>MLSR049_634</t>
  </si>
  <si>
    <t>Organization shall provide an alternate audit capability in the event of a failure in primary audit capability</t>
  </si>
  <si>
    <t>MLSR049_946</t>
  </si>
  <si>
    <t>Medical facilities(e.g.: Healthcare Delivery Organization/Hospital, Operator)</t>
  </si>
  <si>
    <t>MLSR049_640</t>
  </si>
  <si>
    <t>AU-15</t>
  </si>
  <si>
    <t>ALTERNATE AUDIT CAPABILITY</t>
  </si>
  <si>
    <t>Organization shall enforce the identity of individuals to be preserved in cross-organizational audit trails to trace the actions performed by specific individual across organization.</t>
  </si>
  <si>
    <t>MLSR049_669</t>
  </si>
  <si>
    <t>AU-16</t>
  </si>
  <si>
    <t>CROSS-ORGANIZATIONAL AUDITING</t>
  </si>
  <si>
    <t>Organization shall prohibit the direct connection of an unclassified, national security system to an external network without the use of boundary protection device.</t>
  </si>
  <si>
    <t>MLSR049_669_ref</t>
  </si>
  <si>
    <t>MLSR049_671</t>
  </si>
  <si>
    <t>CA-3</t>
  </si>
  <si>
    <t>SYSTEM INTERCONNECTIONS</t>
  </si>
  <si>
    <t>Organization prohibit the direct connection of a classified, national security system to an external network without the use of organization-defined boundary protection device.</t>
  </si>
  <si>
    <t>MLSR049_673</t>
  </si>
  <si>
    <t>Organization shall prohibit the direct connection of an unclassified, non-national security system to an external network without the use of boundary protection device.</t>
  </si>
  <si>
    <t>MLSR049_675</t>
  </si>
  <si>
    <t>Organization shall prohibit the direct connection of an information system to a public network.</t>
  </si>
  <si>
    <t>MLSR049_677</t>
  </si>
  <si>
    <t>Organization shall employ allow-all, deny-by-exception, deny-all, permit-by-exception policy for allowing information system to connect to external information systems</t>
  </si>
  <si>
    <t>MLSR049_677_ref</t>
  </si>
  <si>
    <t>MLSR049_709</t>
  </si>
  <si>
    <t>Organization shall authorize internal connections of information system components or classes of components to the information system and document, for each internal connection, the interface characteristics, security requirements, and the nature of the information communicated.</t>
  </si>
  <si>
    <t>MLSR049_709_ref</t>
  </si>
  <si>
    <t>MLSR049_711</t>
  </si>
  <si>
    <t>CA-9</t>
  </si>
  <si>
    <t>INTERNAL SYSTEM CONNECTIONS</t>
  </si>
  <si>
    <t>System shall perform security compliance checks on constituent system components prior to the establishment of the internal connection.</t>
  </si>
  <si>
    <t>MLSR049_720</t>
  </si>
  <si>
    <t>Organization shall review and update the baseline configuration frequently or when required and an integral part of information system component installations and upgrades.</t>
  </si>
  <si>
    <t>MLSR049_720_ref</t>
  </si>
  <si>
    <t>PR.IP-1: A baseline configuration of information technology/industrial control systems is created and maintained incorporating security principles (e.g. concept of least functionality)</t>
  </si>
  <si>
    <t>MLSR049_722</t>
  </si>
  <si>
    <t>CM-2</t>
  </si>
  <si>
    <t>BASELINE CONFIGURATION</t>
  </si>
  <si>
    <t>Organization shall employ automated mechanisms to maintain an up-to-date, complete, accurate, and readily available baseline configuration of the information system.</t>
  </si>
  <si>
    <t>MLSR049_724</t>
  </si>
  <si>
    <t>Organization shall retains the previous versions of baseline configurations in order to support rollback mechanism.</t>
  </si>
  <si>
    <t>MLSR049_728</t>
  </si>
  <si>
    <t>Organization shall maintains a baseline configuration for information system development and test environments that is managed separately from the operational baseline configuration</t>
  </si>
  <si>
    <t>MLSR049_731</t>
  </si>
  <si>
    <t>Organization shall issue systems, system components, devices with defined configurations to individuals traveling to significant risk locations and applies security safeguards to the devices when the individuals return.</t>
  </si>
  <si>
    <t>MLSR049_735</t>
  </si>
  <si>
    <t>Organization shall determine the types of changes to the information system that are configuration-controlled and shall review proposed configuration-controlled changes to information system and approve or disapprove such changes with explicit consideration for security impact analyses.</t>
  </si>
  <si>
    <t>MLSR049_735_ref</t>
  </si>
  <si>
    <t>PR.IP-3: Configuration change control processes are in place</t>
  </si>
  <si>
    <t>MLSR049_735_1</t>
  </si>
  <si>
    <t>CM-3</t>
  </si>
  <si>
    <t>CONFIGURATION CHANGE CONTROL</t>
  </si>
  <si>
    <t>Organization shall document configuration change decisions associated with the information system and implement approved configuration-controlled changes to the information system.</t>
  </si>
  <si>
    <t>MLSR049_735_2</t>
  </si>
  <si>
    <t>Organization shall retain records of configuration-controlled changes to the information system for defined time period.</t>
  </si>
  <si>
    <t>MLSR049_735_3</t>
  </si>
  <si>
    <t>Organization shall audit and review activities associated with configuration-controlled changes to the information system.</t>
  </si>
  <si>
    <t>MLSR076_169</t>
  </si>
  <si>
    <t>MLSR049_739</t>
  </si>
  <si>
    <t>Organization shall test, validate, and document changes to the information system before implementing the changes on the operational system.</t>
  </si>
  <si>
    <t>MLSR049_741</t>
  </si>
  <si>
    <t>Organization shall employ an automated mechanisms to implement changes to the current baseline and deploys the updated baseline across the installed base.</t>
  </si>
  <si>
    <t>MLSR049_744</t>
  </si>
  <si>
    <t>Organization shall automatically implement security responses if baseline configurations are changed in an unauthorized manner.</t>
  </si>
  <si>
    <t>MLSR049_746</t>
  </si>
  <si>
    <t>Organization shall ensure that cryptographic mechanism used to provide defined security safeguards are under configuration management</t>
  </si>
  <si>
    <t>MLSR049_757</t>
  </si>
  <si>
    <t>Organization shall define, document, approve and enforce physical and logical access restrictions associated with changes to the information system.</t>
  </si>
  <si>
    <t>CM-5</t>
  </si>
  <si>
    <t>ACCESS RESTRICTIONS FOR CHANGE</t>
  </si>
  <si>
    <t>Organization shall enforce the access restrictions for any changes to the hardware, software, firmware components of information systems and supports auditing of the enforcement actions.</t>
  </si>
  <si>
    <t>MLSR049_759_ref</t>
  </si>
  <si>
    <t>MLSR049_761</t>
  </si>
  <si>
    <t>Organization shall review the information system changes frequently to determine whether unauthorized changes have occurred.</t>
  </si>
  <si>
    <t>MLSR049_763</t>
  </si>
  <si>
    <t>System shall prevent installation of software and firmware components without verification that the component has been digitally signed using a certificate that is recognized and approved by the organization.</t>
  </si>
  <si>
    <t>MLSR049_763_ref</t>
  </si>
  <si>
    <t>Organization shall enforce dual authorization for making changes to information system components and system-level information.</t>
  </si>
  <si>
    <t>MLSR049_765_ref</t>
  </si>
  <si>
    <t>MLSR049_767</t>
  </si>
  <si>
    <t>Organization shall limit privileges to change information system components and system-related information within a production or operational environment and shall also review and reevaluate privileges at specified time interval.</t>
  </si>
  <si>
    <t>MLSR049_769</t>
  </si>
  <si>
    <t>Organization shall limit privileges to change software resident within software libraries.</t>
  </si>
  <si>
    <t>MLSR049_773</t>
  </si>
  <si>
    <t>Organization shall implement and document configuration settings using defined configuration checklist and identify, monitor, approve deviation and control any changes in configuration settings using operational requirements and organization policies and procedures.</t>
  </si>
  <si>
    <t>MLSR049_778</t>
  </si>
  <si>
    <t>CM-6</t>
  </si>
  <si>
    <t>CONFIGURATION SETTINGS</t>
  </si>
  <si>
    <t>Organization shall employ automated mechanisms to centrally manage, apply, and verify configuration settings for information system components.</t>
  </si>
  <si>
    <t>MLSR049_780</t>
  </si>
  <si>
    <t>Organization shall employ a security safeguards to respond to an unauthorized changes to configuration settings by alerting authorized personnel and restore previous configuration.</t>
  </si>
  <si>
    <t>MLSR049_785</t>
  </si>
  <si>
    <t>Organization shall configure the information system to provide only essential capabilities and prohibit or restrict the use of the functions, ports, protocols, and/or services.</t>
  </si>
  <si>
    <t>MLSR049_785_ref</t>
  </si>
  <si>
    <t>PR.PT-3: The principle of least functionality is incorporated by configuring systems to provide only essential capabilities</t>
  </si>
  <si>
    <t>MLSR049_788</t>
  </si>
  <si>
    <t>CM-7</t>
  </si>
  <si>
    <t>LEAST FUNCTIONALITY</t>
  </si>
  <si>
    <t>Organization shall frequently reviews the information system to identify unnecessary and/or nonsecure functions, ports, protocols, and services and disables when it is not required or not in use.</t>
  </si>
  <si>
    <t>MLSR049_790</t>
  </si>
  <si>
    <t>System shall prevent program execution in accordance with policies regarding software program usage and restrictions, rules authorizing the terms and conditions of software program usage</t>
  </si>
  <si>
    <t>MLSR074_559</t>
  </si>
  <si>
    <t>MLSR049_792</t>
  </si>
  <si>
    <t>Organization shall ensure compliance with registration requirements for functions, ports, protocols, and services.</t>
  </si>
  <si>
    <t>MLSR049_794</t>
  </si>
  <si>
    <t>Organization shall prohibit unauthorized software programs to execute on system, employ an allow-all, deny-by-exception policy to prohibit the execution of unauthorized software programs on the information system and review and update the list of unauthorized software programs frequently.</t>
  </si>
  <si>
    <t>MLSR049_796</t>
  </si>
  <si>
    <t>Organization shall identify organization-defined software programs, authorized to execute on the information system and employ a deny-all, permit-by-exception policy to allow the execution of authorized software programs on the information system; and review and update the list of authorized software programs at organization-defined frequency.</t>
  </si>
  <si>
    <t>MLSR049_799</t>
  </si>
  <si>
    <t>Organization shall develop and document an inventory of information system that includes all components within the authorization boundary of the information system and accurately reflects the current information system.</t>
  </si>
  <si>
    <t>MLSR049_799_ref</t>
  </si>
  <si>
    <t>ID.AM-2: Software platforms and applications within the organization are inventoried</t>
  </si>
  <si>
    <t>MLSR049_800</t>
  </si>
  <si>
    <t>CM-8</t>
  </si>
  <si>
    <t xml:space="preserve"> INFORMATION SYSTEM COMPONENT INVENTORY </t>
  </si>
  <si>
    <t>Organization shall frequently reviews and updates the inventory of information system component.</t>
  </si>
  <si>
    <t>MLSR049_802</t>
  </si>
  <si>
    <t>Organization shall enforce to update the inventory of system components as part of component installations, removals and system updates.</t>
  </si>
  <si>
    <t>MLSR049_805</t>
  </si>
  <si>
    <t>Organization shall employ an automated mechanisms to detect the presence of unauthorized hardware, software, and firmware components within the information system and disable network access or/and isolates the components or/and notifies to an authorized personnel or roles upon such detection.</t>
  </si>
  <si>
    <t>MLSR307_304</t>
  </si>
  <si>
    <t>DE.CM-7: Monitoring for unauthorized personnel, connections, devices, and software is performed</t>
  </si>
  <si>
    <t>MLSR049_807</t>
  </si>
  <si>
    <t>Organization shall include the identity (name, position, role) of an authorized individual as part of information system component inventory.</t>
  </si>
  <si>
    <t>MLSR049_809</t>
  </si>
  <si>
    <t>Organization shall verify that all components within the authorization boundary of the information system are not duplicated in other information system component inventories</t>
  </si>
  <si>
    <t>MLSR049_811</t>
  </si>
  <si>
    <t>Organization shall include assessed component configurations and approved deviations to current deployed configurations in the information system component inventory.</t>
  </si>
  <si>
    <t>MLSR049_813</t>
  </si>
  <si>
    <t>Organization shall provide a centralized repository for the inventory of information system components.</t>
  </si>
  <si>
    <t>MLSR049_815</t>
  </si>
  <si>
    <t>Organization shall employ an automated mechanisms to support the tracking of information system components by geographic location.</t>
  </si>
  <si>
    <t>MLSR049_828</t>
  </si>
  <si>
    <t>CM-10</t>
  </si>
  <si>
    <t xml:space="preserve">SOFTWARE USAGE RESTRICTIONS </t>
  </si>
  <si>
    <t>Organization shall define and enforce strict restrictions on the use of open source software.</t>
  </si>
  <si>
    <t>MLSR074_341</t>
  </si>
  <si>
    <t>MLSR049_833</t>
  </si>
  <si>
    <t>System shall alert authorized user/role upon detection of unauthorized software installation.</t>
  </si>
  <si>
    <t>MLSR049_2080</t>
  </si>
  <si>
    <t>DE.DP-4: Event detection information is communicated</t>
  </si>
  <si>
    <t>MLSR049_835</t>
  </si>
  <si>
    <t xml:space="preserve">CM-11 </t>
  </si>
  <si>
    <t xml:space="preserve">USER-INSTALLED SOFTWARE </t>
  </si>
  <si>
    <t>System shall allow only authorized user or higher privileged user to install software on organization systems.</t>
  </si>
  <si>
    <t>MLSR049_878</t>
  </si>
  <si>
    <t>Organization shall have the capability to establish an alternate storage site with necessary agreements to permit the storage and retrieval of information from system backup and ensures that the alternate storage site provides information security safeguards equivalent to the primary site.</t>
  </si>
  <si>
    <t>MLSR049_880</t>
  </si>
  <si>
    <t>CP-6</t>
  </si>
  <si>
    <t xml:space="preserve">ALTERNATE STORAGE SITE </t>
  </si>
  <si>
    <t>Organization shall provide the capability to identify an alternate storage site separated from the primary storage site to reduce the susceptibility to the same threats.</t>
  </si>
  <si>
    <t>MLSR049_882</t>
  </si>
  <si>
    <t>Organization shall configure the alternate storage site to facilitate recovery operations in accordance with recovery time and recovery point objectives.</t>
  </si>
  <si>
    <t>MLSR049_883</t>
  </si>
  <si>
    <t>Organization shall identify the potential accessibility problems for the alternate storage site and provide an explicit mitigation actions such as duplicating backup information to other alternative storage sites, retrieve backup information.</t>
  </si>
  <si>
    <t>MLSR049_886</t>
  </si>
  <si>
    <t>Organization shall establish an alternate processing site including necessary agreements to permit the transfer and resumption of information system operations for essential missions/business functions within defined time period consistent with recovery time and recovery point objectives when the primary processing capabilities are unavailable.</t>
  </si>
  <si>
    <t>MLSR049_886_1</t>
  </si>
  <si>
    <t xml:space="preserve">CP-7 </t>
  </si>
  <si>
    <t xml:space="preserve">ALTERNATE PROCESSING SITE </t>
  </si>
  <si>
    <t>Organization shall ensure that equipment and supplies required to transfer and resume operations are available at the alternate processing site and ensures that the alternate processing site provides information security safeguards equivalent to those of the primary site.</t>
  </si>
  <si>
    <t>MLSR049_888</t>
  </si>
  <si>
    <t>Organization shall provide the capability to identify an alternate processing site separated from the primary processing site to reduce the susceptibility to the same threats.</t>
  </si>
  <si>
    <t>MLSR049_890</t>
  </si>
  <si>
    <t>Organization shall identify the potential accessibility problems for the alternate processing site and provide an explicit mitigation actions.</t>
  </si>
  <si>
    <t>MLSR049_897</t>
  </si>
  <si>
    <t>Organization shall plan and prepare for circumstances that preclude returning to the primary processing site.</t>
  </si>
  <si>
    <t>Organization shall conduct backups of user-level/system-level information, system/security related documentations of the information system and protects the confidentiality, integrity of backup in the information system.</t>
  </si>
  <si>
    <t>MLSR049_910_ref</t>
  </si>
  <si>
    <t>MLSR049_916</t>
  </si>
  <si>
    <t>CP-9</t>
  </si>
  <si>
    <t xml:space="preserve">INFORMATION SYSTEM BACKUP </t>
  </si>
  <si>
    <t>Organization shall store backup copies of critical information system software and other security-related information in a separate facility or in a fire-rated container that is not collocated with the operational system.</t>
  </si>
  <si>
    <t>MLSR049_919</t>
  </si>
  <si>
    <t>Organization shall transfer the system backup information to an alternate storage site at specified time period and transfer rate consistent with the recovery time and recovery point objectives.</t>
  </si>
  <si>
    <t>MLSR049_921</t>
  </si>
  <si>
    <t>Organization shall accomplish information system backup by maintaining a redundant secondary system that is not collocated with the primary system and that can be activated without loss of information or disruption to operations.</t>
  </si>
  <si>
    <t>MLSR049_923</t>
  </si>
  <si>
    <t>Organization shall enforce dual authorization for the deletion or destruction of backup information</t>
  </si>
  <si>
    <t>MLSR049_935</t>
  </si>
  <si>
    <t>Organization shall protect backup and restoration hardware, firmware, and software.</t>
  </si>
  <si>
    <t>MLSR050_153</t>
  </si>
  <si>
    <t>MLSR049_938</t>
  </si>
  <si>
    <t>CP-10</t>
  </si>
  <si>
    <t xml:space="preserve">INFORMATION SYSTEM RECOVERY AND RECONSTITUTION </t>
  </si>
  <si>
    <t>System shall provide the capability to employ an alternative communication protocol in support of maintaining continuity of operations.</t>
  </si>
  <si>
    <t>MLSR049_942</t>
  </si>
  <si>
    <t>CP-11</t>
  </si>
  <si>
    <t xml:space="preserve">ALTERNATE COMMUNICATIONS PROTOCOLS </t>
  </si>
  <si>
    <t>System shall enable a safe mode with restrictions when any malicious activities are detected.</t>
  </si>
  <si>
    <t>CP-12</t>
  </si>
  <si>
    <t xml:space="preserve">SAFE MODE </t>
  </si>
  <si>
    <t>Organization shall employ an alternative or supplemental security mechanisms when primary security function are unavailable or compromised.</t>
  </si>
  <si>
    <t>MLSR049_946_ref</t>
  </si>
  <si>
    <t xml:space="preserve"> CP-13</t>
  </si>
  <si>
    <t xml:space="preserve">ALTERNATIVE SECURITY MECHANISMS </t>
  </si>
  <si>
    <t>System shall uniquely identify and authenticate organizational users or processes acting on behalf of organizational users.</t>
  </si>
  <si>
    <t>MLSR049_954_ref</t>
  </si>
  <si>
    <t>MLSR049_957</t>
  </si>
  <si>
    <t>IA-2</t>
  </si>
  <si>
    <t xml:space="preserve">IDENTIFICATION AND AUTHENTICATION (ORGANIZATIONAL USERS) </t>
  </si>
  <si>
    <t>System shall implement multifactor authentication for network access to privileged accounts.</t>
  </si>
  <si>
    <t>MLSR049_957_ref</t>
  </si>
  <si>
    <t>MLSR049_959</t>
  </si>
  <si>
    <t>System shall implement multifactor authentication for network access to non-privileged accounts.</t>
  </si>
  <si>
    <t>MLSR049_960</t>
  </si>
  <si>
    <t>System shall implement multifactor authentication for local access to privileged accounts.</t>
  </si>
  <si>
    <t>MLSR049_962</t>
  </si>
  <si>
    <t>System shall implement multifactor authentication for local access to non-privileged accounts.</t>
  </si>
  <si>
    <t>MLSR049_963</t>
  </si>
  <si>
    <t>Organization shall authenticate individuals with an individual authenticator when a group authenticator is employed.</t>
  </si>
  <si>
    <t>MLSR049_965</t>
  </si>
  <si>
    <t>System shall implement multifactor authentication for network access to privileged accounts such that one of the factors is provided by a device separate from the system gaining access.</t>
  </si>
  <si>
    <t>MLSR049_967</t>
  </si>
  <si>
    <t>System shall implement multifactor authentication for network access to non-privileged accounts such that one of the factors is provided by a device separate from the system gaining access.</t>
  </si>
  <si>
    <t>MLSR049_968</t>
  </si>
  <si>
    <t>System shall implement replay-resistant authentication mechanisms for network access to privileged accounts.</t>
  </si>
  <si>
    <t>MLSR049_968_ref</t>
  </si>
  <si>
    <t>MLSR049_970</t>
  </si>
  <si>
    <t>System shall implement replay-resistant authentication mechanisms for network access to non-privileged accounts.</t>
  </si>
  <si>
    <t>MLSR049_972</t>
  </si>
  <si>
    <t>System shall provide a single sign-on capability for information system accounts and services.</t>
  </si>
  <si>
    <t>MLSR049_972_ref</t>
  </si>
  <si>
    <t>MLSR049_974</t>
  </si>
  <si>
    <t>System shall implement multifactor authentication for remote access to privileged and non-privileged accounts such that one of the factors is provided by a device separate from the system gaining access.</t>
  </si>
  <si>
    <t>MLSR049_976</t>
  </si>
  <si>
    <t>System shall accept and electronically verify Personal Identity Verification (PIV) credentials.</t>
  </si>
  <si>
    <t>MLSR049_976_ref</t>
  </si>
  <si>
    <t>PR.AC-6: Identities are proofed and bound to credentials and asserted in interactions</t>
  </si>
  <si>
    <t>MLSR049_978</t>
  </si>
  <si>
    <t>System shall implement out-of-band authentication when two separate communication paths are required, one to identify and authenticate users and the other to verify the authentication using out of band communication such as voice call or SMS message.</t>
  </si>
  <si>
    <t>MLSR049_978_ref</t>
  </si>
  <si>
    <t>System shall uniquely identify and authenticate devices before establishing local, remote and network connections.</t>
  </si>
  <si>
    <t>MLSR049_981_ref</t>
  </si>
  <si>
    <t>MLSR049_983</t>
  </si>
  <si>
    <t>IA-3</t>
  </si>
  <si>
    <t xml:space="preserve">DEVICE IDENTIFICATION AND AUTHENTICATION </t>
  </si>
  <si>
    <t>System shall authenticate devices before establishing local, remote and network connections using bidirectional authentication that is cryptographically based.</t>
  </si>
  <si>
    <t>MLSR049_986</t>
  </si>
  <si>
    <t>Organization shall standardize dynamic address allocation lease information and the lease duration and shall audit lease information when assigned to a device.</t>
  </si>
  <si>
    <t>MLSR049_986_ref</t>
  </si>
  <si>
    <t>PR.AC-5: Network integrity is protected (e.g., network segregation, network segmentation)</t>
  </si>
  <si>
    <t>MLSR049_988</t>
  </si>
  <si>
    <t>Organization shall ensure that device identification and authentication based on attestation is handled by configuration management process.</t>
  </si>
  <si>
    <t>MLSR049_991</t>
  </si>
  <si>
    <t>Organization shall select an identifier that identifies an individual, group, role or device and then assign to the intended individual, group, role or device after receiving authorization to manage information system identifiers such as MAC, IP address.</t>
  </si>
  <si>
    <t>MLSR076_84</t>
  </si>
  <si>
    <t>MLSR049_992</t>
  </si>
  <si>
    <t>IA-4</t>
  </si>
  <si>
    <t xml:space="preserve">IDENTIFIER MANAGEMENT </t>
  </si>
  <si>
    <t>Organization shall prevent reuse of information system identifiers that are previously assigned to another individual, group, role, or device,</t>
  </si>
  <si>
    <t>MLSR049_993</t>
  </si>
  <si>
    <t>Organization shall disable information system identifiers after a particular time period of inactivity, defined as per the organization policy.</t>
  </si>
  <si>
    <t>MLSR049_995</t>
  </si>
  <si>
    <t>Organization shall prohibit the use of information system account identifiers that are the same as public identifiers for individual electronic mail accounts.</t>
  </si>
  <si>
    <t>MLSR049_997</t>
  </si>
  <si>
    <t>Organization shall ensure that the registration process to receive an individual identifier includes supervisor authorization.</t>
  </si>
  <si>
    <t>MLSR049_998</t>
  </si>
  <si>
    <t>Organization shall ensure that multiple forms of certification of individual identification are presented to the registration authority.</t>
  </si>
  <si>
    <t>MLSR049_1002</t>
  </si>
  <si>
    <t>MLSR049_1000</t>
  </si>
  <si>
    <t>Organization shall manage individual identifiers by uniquely identifying each individual using specific characteristics that identify the individual's status.</t>
  </si>
  <si>
    <t>System shall dynamically manage identifiers through pre-established trust relationships and mechanisms with appropriate authorities to validate identities and related credentials.</t>
  </si>
  <si>
    <t>MLSR049_1002_ref</t>
  </si>
  <si>
    <t>MLSR049_1004</t>
  </si>
  <si>
    <t>Organization shall coordinate with external organizations for cross-organization management of identifiers.</t>
  </si>
  <si>
    <t>MLSR049_1006</t>
  </si>
  <si>
    <t>Organization shall ensure that the registration process to receive an individual identifier be conducted in person before a designated registration authority.</t>
  </si>
  <si>
    <t>MLSR049_1009</t>
  </si>
  <si>
    <t>Organization shall manage information system authenticators such as passwords, tokens, biometrics and PKI certificates by verifying, as part of the initial authenticator distribution, the identity of the individual, group, role, or device receiving the authenticator.</t>
  </si>
  <si>
    <t>MLSR049_1009_ref</t>
  </si>
  <si>
    <t>MLSR049_1010</t>
  </si>
  <si>
    <t>IA-5</t>
  </si>
  <si>
    <t xml:space="preserve">AUTHENTICATOR MANAGEMENT </t>
  </si>
  <si>
    <t>Organization shall ensure that authenticators have sufficient strength of mechanism for their intended use.</t>
  </si>
  <si>
    <t>MLSR049_1010_ref</t>
  </si>
  <si>
    <t>MLSR049_1011</t>
  </si>
  <si>
    <t>Organization shall establish and implement administrative procedures for initial authenticator distribution, for lost/compromised or damaged authenticators, and for revoking authenticators.</t>
  </si>
  <si>
    <t>MLSR049_1012</t>
  </si>
  <si>
    <t>Organization shall change default content of authenticators prior to information system installation.</t>
  </si>
  <si>
    <t>MLSR079_298</t>
  </si>
  <si>
    <t>MLSR049_1013</t>
  </si>
  <si>
    <t>Organization shall establish minimum and maximum lifetime restrictions and reuse conditions for authenticators; change/refresh authenticators based on specific time period defined by authenticator type and organization policy.</t>
  </si>
  <si>
    <t>MLSR049_1014</t>
  </si>
  <si>
    <t>Organization shall ensure to protect authenticator content from unauthorized disclosure and modification and mandates individuals to take, and have devices implement, specific security safeguards to protect authenticators.</t>
  </si>
  <si>
    <t>MLSR049_1015</t>
  </si>
  <si>
    <t>Organization shall change authenticators for group/role accounts when membership to those accounts changes.</t>
  </si>
  <si>
    <t>MLSR079_1057</t>
  </si>
  <si>
    <t>MLSR049_1017</t>
  </si>
  <si>
    <t>System shall implement password-based authentication and ensure to enforce minimum password complexity; enforce at least defined number of changed characters when new passwords are created; store and transmit only cryptographically-protected passwords, enforce password minimum and maximum lifetime restrictions, prohibit password reuse for defined number of generations and allow temporary password for system logons with an immediate change to a permanent password; for password-based authentication.</t>
  </si>
  <si>
    <t>MLSR049_1019</t>
  </si>
  <si>
    <t>System shall implement PKI-based authentication and ensure to validate certifications by constructing and verifying a certification path to an accepted trust anchor including checking certificate status information; enforce authorized access to the corresponding private key; map the authenticated identity to the account of the individual or group and implement a local cache of revocation data to support path discovery and validation in case of inability to access revocation information via the network.</t>
  </si>
  <si>
    <t>MLSR049_1019_ref</t>
  </si>
  <si>
    <t>MLSR049_1021</t>
  </si>
  <si>
    <t>Organization shall ensure that the registration process to receive specific authenticators, be conducted in person or by a trusted third party before registration authority, with authorization by personnel.</t>
  </si>
  <si>
    <t>MLSR049_1022</t>
  </si>
  <si>
    <t>Organization shall employ automated tools to determine if password authenticators are sufficiently strong to satisfy requirements as defined by the organization.</t>
  </si>
  <si>
    <t>MLSR049_1024</t>
  </si>
  <si>
    <t>Organization shall enforce developers/installers of information system components to provide unique authenticators or change default authenticators prior to delivery/installation.</t>
  </si>
  <si>
    <t>MLSR049_1026</t>
  </si>
  <si>
    <t>Organization shall protect authenticators commensurate with the security category of the information to which use of the authenticator permits access.</t>
  </si>
  <si>
    <t>MLSR049_1028</t>
  </si>
  <si>
    <t>Organization shall ensure that unencrypted static authenticators are not embedded in applications or access scripts or stored on function keys.</t>
  </si>
  <si>
    <t>MLSR049_1030</t>
  </si>
  <si>
    <t>Organization shall implement security safeguards by having different authenticators on all systems or implement single sign-on or one time passwords to manage the risk of compromise due to individuals having accounts on multiple information systems.</t>
  </si>
  <si>
    <t>MLSR049_1032</t>
  </si>
  <si>
    <t>Organization shall coordinate with external organizations for cross-organization management of credentials.</t>
  </si>
  <si>
    <t>MLSR049_1034</t>
  </si>
  <si>
    <t>System shall dynamically provision identities by employing authentication techniques such as smartcard credentials wherein the identity and the authenticator are bound together on the card and thus enables identity provisioning dynamically after authentication.</t>
  </si>
  <si>
    <t>MLSR049_1036</t>
  </si>
  <si>
    <t>System while using hardware token-based authentication, shall employ mechanisms like the use of PKI-based tokens, such as the U.S. Government Personal Identity Verification (PIV) card and ensure that every mechanism satisfies specific requirements defined for tokens.</t>
  </si>
  <si>
    <t>MLSR049_1038</t>
  </si>
  <si>
    <t>System while using biometric-based authentication, shall employ mechanisms that satisfy the biometric quality requirements such as acceptable crossover rates to ensure the accuracy of the biometric.</t>
  </si>
  <si>
    <t>MLSR302_167</t>
  </si>
  <si>
    <t>MLSR049_1040</t>
  </si>
  <si>
    <t>System shall prohibit the use of cached authenticators after specified time period.</t>
  </si>
  <si>
    <t>MLSR049_1041</t>
  </si>
  <si>
    <t>Organization shall employ PKI-based authentication for managing content of PKI trust stores installed across all platforms including networks, operating systems, browsers, and applications.</t>
  </si>
  <si>
    <t>MLSR049_1042</t>
  </si>
  <si>
    <t>Organization shall use only FICAM-approved path discovery and validation products and services.</t>
  </si>
  <si>
    <t>MLSR049_1045</t>
  </si>
  <si>
    <t>Organization shall obscure feedback of authentication information during the authentication process to protect the information from possible exploitation/use by unauthorized individuals.</t>
  </si>
  <si>
    <t>MLSR049_1049</t>
  </si>
  <si>
    <t xml:space="preserve">IA-6 </t>
  </si>
  <si>
    <t xml:space="preserve">AUTHENTICATOR FEEDBACK </t>
  </si>
  <si>
    <t>System shall implement mechanisms for authentication to a cryptographic module that meet the requirements of applicable federal laws, Executive Orders, directives, policies, regulations, standards, and guidance for such authentication.</t>
  </si>
  <si>
    <t>MLSR049_1049_ref</t>
  </si>
  <si>
    <t>MLSR049_1053</t>
  </si>
  <si>
    <t xml:space="preserve">IA-7 </t>
  </si>
  <si>
    <t xml:space="preserve">CRYPTOGRAPHIC MODULE AUTHENTICATION </t>
  </si>
  <si>
    <t>System shall uniquely identify and authenticate non-organizational users or processes acting on behalf of non-organizational users.</t>
  </si>
  <si>
    <t>MLSR049_1055</t>
  </si>
  <si>
    <t xml:space="preserve">IA-8 </t>
  </si>
  <si>
    <t xml:space="preserve">IDENTIFICATION AND AUTHENTICATION (NON-ORGANIZATIONAL USERS) </t>
  </si>
  <si>
    <t>System shall accept and electronically verify Personal Identity Verification (PIV) credentials from other federal agencies.</t>
  </si>
  <si>
    <t>MLSR049_1057</t>
  </si>
  <si>
    <t>System shall accept only Federal Identity, Credential, and Access Management (FICAM) approved third-party credentials.</t>
  </si>
  <si>
    <t>MLSR049_1061</t>
  </si>
  <si>
    <t>System shall conform to FICAM-issued profiles of approved FICAM authentication protocols such as SAML 2.0 and OpenID 2.0, as well as other protocols such as the FICAM Backend Attribute Exchange.</t>
  </si>
  <si>
    <t>MLSR049_1063</t>
  </si>
  <si>
    <t>System shall accept and electronically verify Personal Identity Verification-I (PIV-I) credentials.</t>
  </si>
  <si>
    <t>MLSR049_1066</t>
  </si>
  <si>
    <t>System shall identify and authenticate system services using security safeguards such as information or code signing, provenance graphs, and/or electronic signatures indicating or including the sources of services.</t>
  </si>
  <si>
    <t>MLSR049_1068</t>
  </si>
  <si>
    <t xml:space="preserve">IA-9 </t>
  </si>
  <si>
    <t xml:space="preserve">SERVICE IDENTIFICATION AND AUTHENTICATION </t>
  </si>
  <si>
    <t>Organization shall ensure that service providers receive, validate, and transmit identification and authentication information.</t>
  </si>
  <si>
    <t>MLSR049_1072</t>
  </si>
  <si>
    <t>Organization shall ensure that individuals accessing the information system employ supplemental authentication techniques or mechanisms under specific circumstances or situations.</t>
  </si>
  <si>
    <t>MLSR049_1076</t>
  </si>
  <si>
    <t xml:space="preserve">IA-10 </t>
  </si>
  <si>
    <t xml:space="preserve">ADAPTIVE IDENTIFICATION AND AUTHENTICATION </t>
  </si>
  <si>
    <t>Organization shall enforce users and devices to re-authenticate when circumstances or situations require re-authentication.</t>
  </si>
  <si>
    <t>MLSR049_1076_ref</t>
  </si>
  <si>
    <t>MLSR049_1098</t>
  </si>
  <si>
    <t xml:space="preserve">IR-4 </t>
  </si>
  <si>
    <t xml:space="preserve">INCIDENT HANDLING </t>
  </si>
  <si>
    <t xml:space="preserve">
Organization shall implement automated mechanisms such as online incident management system to support the incident handling process.</t>
  </si>
  <si>
    <t>MLSR049_1100</t>
  </si>
  <si>
    <t>PR.IP-9: Response plans (Incident Response and Business Continuity) and recovery plans (Incident Recovery and Disaster Recovery) are in place and managed</t>
  </si>
  <si>
    <t xml:space="preserve">IA-11 </t>
  </si>
  <si>
    <t xml:space="preserve">RE-AUTHENTICATION </t>
  </si>
  <si>
    <t>Organization shall implement dynamic reconfiguration of information system components as part of the incident response capability.</t>
  </si>
  <si>
    <t>MLSR049_1100_ref</t>
  </si>
  <si>
    <t>MLSR049_1106</t>
  </si>
  <si>
    <t>Organization shall implement a configurable capability to automatically disable the information system if security violations are detected.</t>
  </si>
  <si>
    <t>MLSR049_1107</t>
  </si>
  <si>
    <t>Organization shall implement incident handling capability for insider threats.</t>
  </si>
  <si>
    <t>MLSR049_1113</t>
  </si>
  <si>
    <t xml:space="preserve">
Organization shall implement dynamic response capabilities to effectively respond to security incidents. </t>
  </si>
  <si>
    <t>MLSR049_1120</t>
  </si>
  <si>
    <t xml:space="preserve">IR-5 </t>
  </si>
  <si>
    <t xml:space="preserve">INCIDENTMONITORING </t>
  </si>
  <si>
    <t>Organization shall employ automated mechanisms to assist in the tracking of security incidents and in the collection and analysis of incident information</t>
  </si>
  <si>
    <t>MLSR049_1125</t>
  </si>
  <si>
    <t>IR-6</t>
  </si>
  <si>
    <t xml:space="preserve">INCIDENT REPORTING </t>
  </si>
  <si>
    <t>Organization shall employ automated mechanisms to assist in the reporting of security incidents.</t>
  </si>
  <si>
    <t>MLSR049_1169</t>
  </si>
  <si>
    <t>Organization shall check media containing diagnostic and test programs for malicious code before the media are used in the information system.</t>
  </si>
  <si>
    <t>MLSR049_1238</t>
  </si>
  <si>
    <t>MLSR049_1173</t>
  </si>
  <si>
    <t xml:space="preserve">MA-3 </t>
  </si>
  <si>
    <t xml:space="preserve">MAINTENANCE TOOLS </t>
  </si>
  <si>
    <t>System shall restrict the use of maintenance tool to authorized personnel only.</t>
  </si>
  <si>
    <t>MLSR049_1173_ref</t>
  </si>
  <si>
    <t>PR.MA-1: Maintenance and repair of organizational assets are performed and logged, with approved and controlled tools</t>
  </si>
  <si>
    <t>MLSR049_1177</t>
  </si>
  <si>
    <t>Organization shall employ strong authenticators in the establishment of nonlocal maintenance and diagnostic sessions; terminate session and network connections when nonlocal maintenance is completed.</t>
  </si>
  <si>
    <t>MLSR049_1180</t>
  </si>
  <si>
    <t xml:space="preserve">MA-4 </t>
  </si>
  <si>
    <t xml:space="preserve">NONLOCAL MAINTENANCE </t>
  </si>
  <si>
    <t>Organization shall audit nonlocal maintenance and diagnostic sessions and review the records of the maintenance and diagnostic sessions.</t>
  </si>
  <si>
    <t>MLSR049_1185</t>
  </si>
  <si>
    <t>Organization shall protect nonlocal maintenance sessions by employing authenticators that are replay resistant and separating the maintenance sessions from other network sessions with the information system by either physically separated communication paths; or logically separated communication paths based upon encryption.</t>
  </si>
  <si>
    <t>MLSR049_1185_ref</t>
  </si>
  <si>
    <t>PR.MA-2: Remote maintenance of organizational assets is approved, logged, and performed in a manner that prevents unauthorized access</t>
  </si>
  <si>
    <t>MLSR049_1187</t>
  </si>
  <si>
    <t>Organization shall ensure approval for each nonlocal maintenance session by an organizational personnel with sufficient information security and information system knowledge and also ensure to send notification of the date and time of planned nonlocal maintenance.</t>
  </si>
  <si>
    <t>MLSR049_1187_ref</t>
  </si>
  <si>
    <t>MLSR049_1189</t>
  </si>
  <si>
    <t>System shall implement cryptographic mechanisms to protect the integrity and confidentiality of nonlocal maintenance and diagnostic communications.</t>
  </si>
  <si>
    <t>MLSR049_1191</t>
  </si>
  <si>
    <t>System shall implement remote disconnect verification at the termination of nonlocal maintenance and diagnostic sessions.</t>
  </si>
  <si>
    <t>MLSR049_1195</t>
  </si>
  <si>
    <t>Organization shall ensure that non-escorted personnel performing maintenance on the information system have required access authorizations.</t>
  </si>
  <si>
    <t>MLSR049_1196</t>
  </si>
  <si>
    <t>PR.AC-2: Physical access to assets is managed and protected</t>
  </si>
  <si>
    <t xml:space="preserve">MA-5 </t>
  </si>
  <si>
    <t xml:space="preserve">MAINTENANCE PERSONNEL </t>
  </si>
  <si>
    <t>Organization shall designate organizational personnel with required access authorizations and technical competence to supervise the maintenance activities of personnel who do not possess the required access authorizations.</t>
  </si>
  <si>
    <t>MLSR049_1196_ref</t>
  </si>
  <si>
    <t>MLSR049_1201</t>
  </si>
  <si>
    <t>Organization shall ensure that personnel performing maintenance and diagnostic activities on an information system processing, storing, or transmitting classified information possess security clearances and formal access approvals for at least the highest classification level and for all compartments of information on the system.</t>
  </si>
  <si>
    <t>MLSR049_1203</t>
  </si>
  <si>
    <t>Organization shall ensure that personnel performing maintenance and diagnostic activities on an information system processing, storing, or transmitting classified information are U.S. citizens.</t>
  </si>
  <si>
    <t>MLSR049_1205</t>
  </si>
  <si>
    <t>Organization shall ensure that cleared foreign nationals are used to conduct maintenance and diagnostic activities on classified information systems only when the systems are jointly owned and operated by the United States and foreign allied governments, or owned and operated solely by foreign allied governments; and also ensure that approvals, consents, and detailed operational conditions regarding the use of foreign nationals are fully documented within Memoranda of Agreements.</t>
  </si>
  <si>
    <t>MLSR049_1207</t>
  </si>
  <si>
    <t>Organization shall ensure that non-escorted personnel performing maintenance activities but in the physical proximity of the system have required access authorizations.</t>
  </si>
  <si>
    <t>MLSR049_1212</t>
  </si>
  <si>
    <t>Organization shall perform preventive maintenance on information system components at specific time intervals as defined by the organization.</t>
  </si>
  <si>
    <t>MLSR049_1212_ref</t>
  </si>
  <si>
    <t>MLSR049_1214</t>
  </si>
  <si>
    <t xml:space="preserve">MA-6 </t>
  </si>
  <si>
    <t xml:space="preserve">TIMELY MAINTENANCE </t>
  </si>
  <si>
    <t>Organization shall perform predictive maintenance on information system components at specific time intervals as defined by the organization.</t>
  </si>
  <si>
    <t>MLSR049_1216</t>
  </si>
  <si>
    <t>Organization shall employ automated mechanisms to transfer predictive maintenance data to a computerized maintenance management system.</t>
  </si>
  <si>
    <t>MLSR049_1223</t>
  </si>
  <si>
    <t>Organization shall restrict access to digital and/or non-digital media to authorized personnel only.</t>
  </si>
  <si>
    <t>MLSR049_1232</t>
  </si>
  <si>
    <t xml:space="preserve">MP-2 </t>
  </si>
  <si>
    <t xml:space="preserve">MEDIA ACCESS </t>
  </si>
  <si>
    <t>Organization shall physically control and securely store specific types of digital and/or non-digital media within controlled areas and protect information system media until the media are destroyed or sanitized using approved equipment, techniques, and procedures.</t>
  </si>
  <si>
    <t>MLSR049_1235</t>
  </si>
  <si>
    <t xml:space="preserve">MP-4 </t>
  </si>
  <si>
    <t>MEDIA STORAGE</t>
  </si>
  <si>
    <t>Organization shall employ automated mechanisms to restrict access to media storage areas and to audit access attempts and access granted.</t>
  </si>
  <si>
    <t>Organization shall protect and control specific types of information system media during transport outside of controlled areas using security safeguards.</t>
  </si>
  <si>
    <t>MLSR049_1238_ref</t>
  </si>
  <si>
    <t>MLSR049_1239</t>
  </si>
  <si>
    <t>MP-5</t>
  </si>
  <si>
    <t xml:space="preserve">MEDIA TRANSPORT </t>
  </si>
  <si>
    <t>Organization shall maintain accountability for information system media during transport outside of controlled areas.</t>
  </si>
  <si>
    <t>MLSR049_1240</t>
  </si>
  <si>
    <t>MP-6</t>
  </si>
  <si>
    <t>Organization shall document activities associated with the transport of information system media and restrict the activities associated with the transport of information system media to authorized personnel.</t>
  </si>
  <si>
    <t>MLSR049_1245</t>
  </si>
  <si>
    <t>MP-7</t>
  </si>
  <si>
    <t>Organization shall employ an identified custodian during transport of information system media outside of controlled areas.</t>
  </si>
  <si>
    <t>MLSR049_1247</t>
  </si>
  <si>
    <t>System shall implement cryptographic mechanisms to protect the confidentiality and integrity of information stored on digital media during transport outside of controlled areas.</t>
  </si>
  <si>
    <t>MLSR049_1250</t>
  </si>
  <si>
    <t>Organization shall sanitize information system media prior to disposal, release out of organizational control or release for reuse using sanitization techniques and procedures and employ sanitization mechanisms with strength and integrity, according to the security category or classification of information.</t>
  </si>
  <si>
    <t>MLSR049_1250_ref</t>
  </si>
  <si>
    <t>MLSR049_1257</t>
  </si>
  <si>
    <t xml:space="preserve"> MEDIA SANITIZATION </t>
  </si>
  <si>
    <t>Organization shall apply nondestructive sanitization techniques to portable storage devices when such devices are first purchased from the manufacturer or vendor prior to initial use or when organizations lose a positive chain of custody for the devices.</t>
  </si>
  <si>
    <t>MLSR049_1262</t>
  </si>
  <si>
    <t>Organizations shall enforce dual authorization for the sanitization of information system media.</t>
  </si>
  <si>
    <t>MLSR049_1264</t>
  </si>
  <si>
    <t>Organization shall provide the capability to purge/wipe information from media, information systems, system components or devices either remotely or under conditions defined as per organization.</t>
  </si>
  <si>
    <t>MLSR049_1267</t>
  </si>
  <si>
    <t>Organization shall restrict the use of specific types of information system media on specific information systems or system components using appropriate security safeguards as required.</t>
  </si>
  <si>
    <t>MLSR049_1269</t>
  </si>
  <si>
    <t xml:space="preserve">MP-7 </t>
  </si>
  <si>
    <t xml:space="preserve">MEDIA USE </t>
  </si>
  <si>
    <t>Organization shall prohibit the use of portable storage devices in organizational information systems when such devices have no identifiable owner.</t>
  </si>
  <si>
    <t>MLSR049_1271</t>
  </si>
  <si>
    <t>Organization shall prohibit the use of sanitization-resistant media in organizational information systems.</t>
  </si>
  <si>
    <t>MLSR049_1274</t>
  </si>
  <si>
    <t>Organization shall establish information system media downgrading process that includes employing downgrading mechanisms with strength and integrity</t>
  </si>
  <si>
    <t>MLSR049_1274_ref</t>
  </si>
  <si>
    <t>MLSR049_1280</t>
  </si>
  <si>
    <t>MP-8</t>
  </si>
  <si>
    <t xml:space="preserve">MEDIA DOWNGRADING </t>
  </si>
  <si>
    <t>Organization shall downgrade information system media containing Controlled Unclassified Information (CUI) prior to public release in accordance with applicable federal and organizational standards and policies.</t>
  </si>
  <si>
    <t>MLSR049_1281</t>
  </si>
  <si>
    <t>Organization shall downgrade information system media containing classified information prior to release to individuals without required access authorizations in accordance with NSA standards and policies.</t>
  </si>
  <si>
    <t>MLSR049_1304</t>
  </si>
  <si>
    <t>Organization shall enforce physical access authorizations to the information system in addition to the physical access controls for the facility at physical spaces containing one or more components of the information system such as server rooms, media storage areas, data and communications centers.</t>
  </si>
  <si>
    <t>MLSR049_1310</t>
  </si>
  <si>
    <t>PE-3</t>
  </si>
  <si>
    <t xml:space="preserve"> PHYSICAL ACCESS CONTROL </t>
  </si>
  <si>
    <t>Organization shall use lockable physical casings to protect information system components from unauthorized physical access.</t>
  </si>
  <si>
    <t>MLSR105_61</t>
  </si>
  <si>
    <t>MLSR049_1333</t>
  </si>
  <si>
    <t>Organization shall employ automated mechanisms to recognize classes/types of intrusions and initiate response actions.</t>
  </si>
  <si>
    <t>MLSR049_1333_ref</t>
  </si>
  <si>
    <t>DE.CM-1: The network is monitored to detect potential cybersecurity events</t>
  </si>
  <si>
    <t>MLSR049_1351</t>
  </si>
  <si>
    <t>PE-6</t>
  </si>
  <si>
    <t xml:space="preserve"> MONITORING PHYSICAL ACCESS </t>
  </si>
  <si>
    <t>Organization shall provide the capability of shutting off power to the information system or individual system components in emergency situations.</t>
  </si>
  <si>
    <t>MLSR049_1351_ref</t>
  </si>
  <si>
    <t>MLSR049_1352</t>
  </si>
  <si>
    <t>PE-10</t>
  </si>
  <si>
    <t xml:space="preserve"> EMERGENCY SHUTOFF </t>
  </si>
  <si>
    <t>Organization shall place emergency shutoff switches or devices in specified location by information system or system component to facilitate safe and easy access for personnel and protect emergency power shutoff capability from unauthorized activation.</t>
  </si>
  <si>
    <t>MLSR049_1418</t>
  </si>
  <si>
    <t>PE-11</t>
  </si>
  <si>
    <t>Organization shall develop an information security architecture for the information system that describes the overall philosophy, requirements, and approach to be taken with regard to protecting the confidentiality, integrity, and availability of organizational information; describe how the architecture is integrated into and supports the enterprise architecture; and describe any information security assumptions about, and dependencies on, external services.</t>
  </si>
  <si>
    <t>MLSR049_1418_ref</t>
  </si>
  <si>
    <t>MLSR049_1419</t>
  </si>
  <si>
    <t>PL-8</t>
  </si>
  <si>
    <t xml:space="preserve"> INFORMATION SECURITY ARCHITECTURE </t>
  </si>
  <si>
    <t>Organization shall ensure to periodically review and update the information security architecture to reflect updates in the enterprise architecture; and ensure that planned information security architecture changes are reflected in the security plan, the security Concept of Operations (CONOPS), and organizational procurements/acquisitions.</t>
  </si>
  <si>
    <t>MLSR049_1422</t>
  </si>
  <si>
    <t>Organization shall design security architecture using a defense-in-depth approach that allocates security safeguards to specific locations and architectural layers and ensure that the allocated security safeguards operate in a coordinated and mutually reinforcing manner.</t>
  </si>
  <si>
    <t>MLSR049_1424</t>
  </si>
  <si>
    <t>Organization shall enforce that security safeguards allocated to defined locations and architectural layers are obtained from different suppliers.</t>
  </si>
  <si>
    <t>MLSR049_1490</t>
  </si>
  <si>
    <t>Organization shall employ vulnerability scanning tools that have the capability to readily update the list of information system vulnerabilities scanned.</t>
  </si>
  <si>
    <t>MLSR049_1490_ref</t>
  </si>
  <si>
    <t>PR.IP-12: A vulnerability management plan is developed and implemented</t>
  </si>
  <si>
    <t>MLSR049_1497</t>
  </si>
  <si>
    <t>RA-5</t>
  </si>
  <si>
    <t xml:space="preserve"> VULNERABILITY SCANNING </t>
  </si>
  <si>
    <t>Organization shall implement privileged access authorization to identified information system components for selected sensitive vulnerability scanning activities</t>
  </si>
  <si>
    <t>MLSR049_1499</t>
  </si>
  <si>
    <t>Organization shall employ automated mechanisms to compare the results of vulnerability scans over time to determine trends in information system vulnerabilities.</t>
  </si>
  <si>
    <t>MLSR049_1505</t>
  </si>
  <si>
    <t>Organization shall correlate the output from vulnerability scanning tools to determine the presence of multi-vulnerability/multi-hop attack vectors.</t>
  </si>
  <si>
    <t>MLSR049_1570</t>
  </si>
  <si>
    <t>Organization shall enforce to implement integrity verification of software and firmware components through the use of tools, techniques and mechanisms like secure one-way hashes in the information system / system component / service.</t>
  </si>
  <si>
    <t>MLSR049_1570_ref</t>
  </si>
  <si>
    <t>MLSR049_1574</t>
  </si>
  <si>
    <t>SA-10</t>
  </si>
  <si>
    <t xml:space="preserve"> DEVELOPER CONFIGURATION MANAGEMENT </t>
  </si>
  <si>
    <t>Organization shall enforce to implement integrity verification of hardware components through use of tools, techniques and mechanisms like hard-to-copy labels, verifiable serial numbers and anti-tampering technologies.</t>
  </si>
  <si>
    <t>MLSR049_1969</t>
  </si>
  <si>
    <t>PR.DS-8: Integrity checking mechanisms are used to verify hardware integrity</t>
  </si>
  <si>
    <t>MLSR049_1576</t>
  </si>
  <si>
    <t>Organization shall enforce to employ tools for comparing newly generated versions of security-relevant hardware descriptions and software/firmware source and object code with previous versions in the system / system component.</t>
  </si>
  <si>
    <t>MLSR074_355</t>
  </si>
  <si>
    <t>MLSR049_1578</t>
  </si>
  <si>
    <t>Organization shall enforce to maintain the integrity between the master build and the on-site master copy of the data for the current version</t>
  </si>
  <si>
    <t>MLSR049_1580</t>
  </si>
  <si>
    <t>Organization shall enforce to ensure that security-relevant hardware, software, and firmware updates distributed are exactly as specified by the master copies maintained during development and are not tampered in the system / system component.</t>
  </si>
  <si>
    <t>MLSR049_1586</t>
  </si>
  <si>
    <t>Organization shall enforce to employ static code analysis tools to identify common flaws and document the results of the analysis of the system / system component / service.</t>
  </si>
  <si>
    <t>MLSR049_1586_ref</t>
  </si>
  <si>
    <t>MLSR049_1600</t>
  </si>
  <si>
    <t>SA-11</t>
  </si>
  <si>
    <t xml:space="preserve">DEVELOPER SECURITY TESTING AND EVALUATION </t>
  </si>
  <si>
    <t>Organization shall enforce the developer of the information system, system component, or information system service to employ dynamic code analysis tools to identify common flaws and document the results of the analysis.</t>
  </si>
  <si>
    <t>MLSR049_1621</t>
  </si>
  <si>
    <t>Organization shall employ security safeguard to validate that the information system or system component received is genuine and has not been altered.</t>
  </si>
  <si>
    <t>MLSR049_1677</t>
  </si>
  <si>
    <t>SA-12</t>
  </si>
  <si>
    <t xml:space="preserve">SUPPLY CHAIN PROTECTION </t>
  </si>
  <si>
    <t>Organization shall enforce the developer of the information system, system component, or information system service to produce a design specification and security architecture that completely describes the required security functionality, and the allocation of security controls among physical and logical components.</t>
  </si>
  <si>
    <t>MLSR049_1681</t>
  </si>
  <si>
    <t>SA-17</t>
  </si>
  <si>
    <t xml:space="preserve">DEVELOPER SECURITY ARCHITECTURE AND DESIGN </t>
  </si>
  <si>
    <t>Organization shall enforce the developer of the information system to define security-relevant hardware, software, and firmware and provide a rationale so that the definition is complete.</t>
  </si>
  <si>
    <t>MLSR049_1689</t>
  </si>
  <si>
    <t>Organization shall enforce the developer of the information system to design and structure the security-relevant hardware, software, and firmware to use a complete and conceptually simple protection mechanism with precisely defined semantics and internally structure the hardware / software / firmware with specific regard for this mechanism.</t>
  </si>
  <si>
    <t>MLSR049_1691</t>
  </si>
  <si>
    <t>Organization shall enforce the developer of the information system to structure security-relevant hardware, software, and firmware to facilitate testing.</t>
  </si>
  <si>
    <t>MLSR049_1693</t>
  </si>
  <si>
    <t>Organization shall enforce the developer of the information system to structure security-relevant hardware, software, and firmware to facilitate controlling access with least privilege during developer security architecture and design.</t>
  </si>
  <si>
    <t>MLSR049_1696</t>
  </si>
  <si>
    <t>Organization shall implement a tamper protection program for the information system, system component, or information system service.</t>
  </si>
  <si>
    <t>MLSR049_1698</t>
  </si>
  <si>
    <t>SA-18</t>
  </si>
  <si>
    <t>TAMPER RESISTANCE AND DETECTION</t>
  </si>
  <si>
    <t>Organization shall employ anti-tamper technologies and techniques during multiple phases in the system development life cycle including design, development, integration, operations, and maintenance.</t>
  </si>
  <si>
    <t>MLSR049_1706</t>
  </si>
  <si>
    <t>Organization shall maintain configuration control over information system components awaiting service/repair and serviced/repaired components awaiting return to service</t>
  </si>
  <si>
    <t>MLSR049_1707</t>
  </si>
  <si>
    <t>SA-19</t>
  </si>
  <si>
    <t xml:space="preserve"> COMPONENT AUTHENTICITY </t>
  </si>
  <si>
    <t>Organization shall dispose of information system components using defined techniques and methods.</t>
  </si>
  <si>
    <t>MLSR065_41</t>
  </si>
  <si>
    <t>PR.DS-3: Assets are formally managed throughout removal, transfers, and disposition</t>
  </si>
  <si>
    <t>MLSR049_1709</t>
  </si>
  <si>
    <t>Organization shall scan for counterfeit information system components at specified time intervals.</t>
  </si>
  <si>
    <t>MLSR049_1711</t>
  </si>
  <si>
    <t>Organization shall re-implement or custom develop critical information system components for higher assurance as applicable.</t>
  </si>
  <si>
    <t>MLSR049_1745</t>
  </si>
  <si>
    <t>MLSR049_1720</t>
  </si>
  <si>
    <t>SA-20</t>
  </si>
  <si>
    <t xml:space="preserve">CUSTOMIZED DEVELOPMENT OF CRITICAL COMPONENTS </t>
  </si>
  <si>
    <t>Organization shall replace information system components when support for the components is no longer available from the developer, vendor, or manufacturer and provides justification for it.</t>
  </si>
  <si>
    <t>MLSR049_1732</t>
  </si>
  <si>
    <t>SA-22</t>
  </si>
  <si>
    <t xml:space="preserve">UNSUPPORTED SYSTEM COMPONENTS </t>
  </si>
  <si>
    <t>System shall separate user functionality from information system management functionality.</t>
  </si>
  <si>
    <t>MLSR049_1737</t>
  </si>
  <si>
    <t>MLSR049_1734</t>
  </si>
  <si>
    <t>SC-2</t>
  </si>
  <si>
    <t xml:space="preserve"> APPLICATION PARTITIONING </t>
  </si>
  <si>
    <t>.System shall prevent the presentation of system management-related functionality at an interface for non-privileged users.</t>
  </si>
  <si>
    <t>System shall isolate security functions from nonsecurity functions by means of an isolation boundary like partitions and domains.</t>
  </si>
  <si>
    <t>MLSR049_1737_ref</t>
  </si>
  <si>
    <t>MLSR049_1739</t>
  </si>
  <si>
    <t>SC-3</t>
  </si>
  <si>
    <t xml:space="preserve"> SECURITY FUNCTION ISOLATION </t>
  </si>
  <si>
    <t>System shall utilize underlying hardware separation mechanisms to implement security function isolation.</t>
  </si>
  <si>
    <t>MLSR049_1739_ref</t>
  </si>
  <si>
    <t>MLSR049_1741</t>
  </si>
  <si>
    <t>System shall isolate security functions enforcing access and information flow control from nonsecurity functions and from other security functions.</t>
  </si>
  <si>
    <t>MLSR049_1743</t>
  </si>
  <si>
    <t>Organization shall minimize the number of nonsecurity functions included within the isolation boundary containing security functions to avoid impacting the security functions due to security-relevant errors or maliciousness in such nonsecurity functions.</t>
  </si>
  <si>
    <t>Organization shall implement security functions as largely independent modules that maximize internal cohesiveness within modules and minimize coupling between modules.</t>
  </si>
  <si>
    <t>MLSR049_1745_ref</t>
  </si>
  <si>
    <t>MLSR049_1747</t>
  </si>
  <si>
    <t>Organization shall implement security functions as a layered structure minimizing interactions between layers of the design and avoiding any dependence by lower layers on the functionality or correctness of higher layers.</t>
  </si>
  <si>
    <t>MLSR049_1750</t>
  </si>
  <si>
    <t>System shall prevent unauthorized information transfer via shared system resources like registers, main memory, hard disks.</t>
  </si>
  <si>
    <t>MLSR049_1753</t>
  </si>
  <si>
    <t xml:space="preserve">SC-4 </t>
  </si>
  <si>
    <t xml:space="preserve">INFORMATION IN SHARED RESOURCES </t>
  </si>
  <si>
    <t>System shall prevent unauthorized information transfer via shared system resources when system processing explicitly switches between different information classification levels or security categories.</t>
  </si>
  <si>
    <t>MLSR049_1756</t>
  </si>
  <si>
    <t>System shall protect against the effects of various types of denial of service attacks by employing defined security safeguards.</t>
  </si>
  <si>
    <t>MLSR049_2210</t>
  </si>
  <si>
    <t>MLSR049_1758</t>
  </si>
  <si>
    <t xml:space="preserve">SC-5 </t>
  </si>
  <si>
    <t xml:space="preserve">DENIAL OF SERVICE PROTECTION </t>
  </si>
  <si>
    <t>System shall restrict internal users to launch denial of service attacks against other information systems.</t>
  </si>
  <si>
    <t>MLSR049_1760</t>
  </si>
  <si>
    <t>System shall manage excess capacity, bandwidth, or other redundancy to limit the effects of information flooding denial of service attacks.</t>
  </si>
  <si>
    <t>MLSR049_1765</t>
  </si>
  <si>
    <t>PR.DS-4: Adequate capacity to ensure availability is maintained</t>
  </si>
  <si>
    <t>MLSR049_1762</t>
  </si>
  <si>
    <t>Organization shall employ monitoring tools to detect indicators of denial of service attacks and monitor information system resources to determine if sufficient resources exist to prevent effective denial of service attacks.</t>
  </si>
  <si>
    <t>MLSR049_2090</t>
  </si>
  <si>
    <t>System shall protect the availability of resources by allocating resources based on priority, quota by including the security safeguards.</t>
  </si>
  <si>
    <t>MLSR049_1765_ref</t>
  </si>
  <si>
    <t>MLSR049_1769</t>
  </si>
  <si>
    <t>SC-6</t>
  </si>
  <si>
    <t xml:space="preserve"> RESOURCE AVAILABILITY </t>
  </si>
  <si>
    <t>System shall monitor and control communications at the external boundary of the system and implement subnetworks for publicly accessible system components that are separated from internal organizational networks such as demilitarized zones.(DMZs)</t>
  </si>
  <si>
    <t>MLSR049_1806</t>
  </si>
  <si>
    <t>MLSR049_1773</t>
  </si>
  <si>
    <t>SC-7</t>
  </si>
  <si>
    <t xml:space="preserve"> BOUNDARY PROTECTION </t>
  </si>
  <si>
    <t>Organization shall limit the number of external network connections to the information system.</t>
  </si>
  <si>
    <t>MLSR049_1777</t>
  </si>
  <si>
    <t>System shall deny network communications traffic by default and allow network communications traffic by exception (i.e., deny all, permit by exception) at managed interfaces.</t>
  </si>
  <si>
    <t>MLSR049_1780</t>
  </si>
  <si>
    <t>System shall prevent split-tunneling in remote devices by preventing the configuration settings to be configurable by users and prohibiting connection to remote device if it is configured for split-tunneling.</t>
  </si>
  <si>
    <t>MLSR049_1782</t>
  </si>
  <si>
    <t>System shall route internal communications traffic to external networks through authenticated proxy servers at managed interfaces.</t>
  </si>
  <si>
    <t>MLSR049_1784</t>
  </si>
  <si>
    <t>System shall detect and deny outgoing communications traffic posing a threat to external information systems and audit the identity of internal users associated with denied communications.</t>
  </si>
  <si>
    <t>MLSR049_1786</t>
  </si>
  <si>
    <t>Organization shall prevent the unauthorized exfiltration of information across managed interfaces.</t>
  </si>
  <si>
    <t>MLSR049_1788</t>
  </si>
  <si>
    <t>System shall allow only incoming communications from authorized sources to be routed to authorized destinations.</t>
  </si>
  <si>
    <t>MLSR049_1790</t>
  </si>
  <si>
    <t>Organization shall implement defined host-based boundary protection mechanisms like host-based-firewalls at information system components.</t>
  </si>
  <si>
    <t>MLSR049_1790_ref</t>
  </si>
  <si>
    <t>MLSR049_1792</t>
  </si>
  <si>
    <t>Organization shall isolate security tools, mechanisms, and support components from other internal information system components by implementing physically separate subnetworks with managed interfaces.</t>
  </si>
  <si>
    <t>MLSR049_1796</t>
  </si>
  <si>
    <t>System shall route all networked, privileged accesses through a dedicated, managed interface for purposes of access control and auditing.</t>
  </si>
  <si>
    <t>MLSR049_1796_ref</t>
  </si>
  <si>
    <t>MLSR049_1798</t>
  </si>
  <si>
    <t>System shall prevent discovery of specific system components/devices composing a managed interface that helps to identify them on networks.</t>
  </si>
  <si>
    <t>MLSR049_1800</t>
  </si>
  <si>
    <t>System shall enforce adherence to protocol formats through use of deep packet inspection firewalls and XML gateways.</t>
  </si>
  <si>
    <t>MLSR049_1802</t>
  </si>
  <si>
    <t>System shall fail securely (not enter into unsecure states) in the event of an operational failure of a boundary protection device.</t>
  </si>
  <si>
    <t>MLSR076_201</t>
  </si>
  <si>
    <t>MLSR049_1804</t>
  </si>
  <si>
    <t>System shall block both inbound and outbound communications traffic between communication clients that are independently configured by end users and external service providers like instant messaging clients.</t>
  </si>
  <si>
    <t>System shall enforce to dynamically isolate/segregate information system components from other components of the system.</t>
  </si>
  <si>
    <t>MLSR049_1806_ref</t>
  </si>
  <si>
    <t>MLSR049_1808</t>
  </si>
  <si>
    <t>Organization shall employ boundary protection mechanisms to separate information system components supporting missions and/or business functions.</t>
  </si>
  <si>
    <t>MLSR049_1810</t>
  </si>
  <si>
    <t>Organization shall implement separate network addresses to connect to systems in different security domains.</t>
  </si>
  <si>
    <t>MLSR049_1812</t>
  </si>
  <si>
    <t>System shall disable feedback to senders on protocol format validation failure</t>
  </si>
  <si>
    <t>MLSR049_1815</t>
  </si>
  <si>
    <t>System shall protect the confidentiality and integrity of transmitted information.</t>
  </si>
  <si>
    <t>MLSR049_1817</t>
  </si>
  <si>
    <t>SC-8</t>
  </si>
  <si>
    <t xml:space="preserve"> TRANSMISSION CONFIDENTIALITY AND INTEGRITY </t>
  </si>
  <si>
    <t>System shall implement cryptographic mechanisms to prevent unauthorized disclosure of information, detect changes to information during transmission to protect information integrity that includes hash functions used in digital signatures, checksums and message authentication codes. unless protected by alternative physical safeguards like protected distribution systems.</t>
  </si>
  <si>
    <t>MLSR049_1819</t>
  </si>
  <si>
    <t>System shall maintain confidentiality and integrity of information during preparation for transmission and during reception such as aggregation, at protocol transformation points and during packing/unpacking information.</t>
  </si>
  <si>
    <t>MLSR049_1821</t>
  </si>
  <si>
    <t>System shall implement cryptographic mechanisms to protect message externals like message headers/routing information unless otherwise protected by alternative physical safeguards.</t>
  </si>
  <si>
    <t>MLSR049_1823</t>
  </si>
  <si>
    <t>System shall implement cryptographic mechanisms to conceal or randomize communication patterns unless otherwise protected by alternative physical safeguards.</t>
  </si>
  <si>
    <t>MLSR049_1826</t>
  </si>
  <si>
    <t>System shall terminate the network connection associated with a communication session at the end of the session or after a defined time period of inactivity.</t>
  </si>
  <si>
    <t>MLSR049_1830</t>
  </si>
  <si>
    <t>SC-10</t>
  </si>
  <si>
    <t xml:space="preserve">        NETWORK DISCONNECT </t>
  </si>
  <si>
    <t>System shall establish a trusted communications path between the user and security functions of the system.</t>
  </si>
  <si>
    <t>MLSR049_1832</t>
  </si>
  <si>
    <t>SC-11</t>
  </si>
  <si>
    <t xml:space="preserve">TRUSTED PATH </t>
  </si>
  <si>
    <t>System shall establish a trusted communications path that is logically isolated and distinguishable from other paths.</t>
  </si>
  <si>
    <t>MLSR049_1834</t>
  </si>
  <si>
    <t>System shall establish and manage cryptographic keys for required cryptography employed within the information system in accordance with requirements for key generation, distribution, storage, access and destruction.</t>
  </si>
  <si>
    <t>MLSR049_1834_ref</t>
  </si>
  <si>
    <t>MLSR049_1836</t>
  </si>
  <si>
    <t>SC-12</t>
  </si>
  <si>
    <t xml:space="preserve"> CRYPTOGRAPHIC KEY ESTABLISHMENT AND MANAGEMENT </t>
  </si>
  <si>
    <t>Organization shall maintain availability of information in the event of the loss of cryptographic keys by users.</t>
  </si>
  <si>
    <t>MLSR049_1838</t>
  </si>
  <si>
    <t>Organization shall produce, control, and distribute symmetric cryptographic keys using NIST FIPS-compliant, NSA-approved key management technology and processes.</t>
  </si>
  <si>
    <t>MLSR049_1839</t>
  </si>
  <si>
    <t>Organization shall have produce, control, and distribute asymmetric cryptographic keys using NSA-approved key management technology and processes.</t>
  </si>
  <si>
    <t>MLSR049_1842</t>
  </si>
  <si>
    <t>System shall implement defined cryptographic uses and type of cryptography required for each use in accordance with applicable policies, regulations, and standards.</t>
  </si>
  <si>
    <t>MLSR049_1861</t>
  </si>
  <si>
    <t>SC-13</t>
  </si>
  <si>
    <t xml:space="preserve"> CRYPTOGRAPHIC PROTECTION </t>
  </si>
  <si>
    <t>System shall associate security attributes with information exchanged between information systems and between system components.</t>
  </si>
  <si>
    <t>MLSR049_1863</t>
  </si>
  <si>
    <t>SC-16</t>
  </si>
  <si>
    <t xml:space="preserve"> TRANSMISSION OF SECURITY ATTRIBUTES </t>
  </si>
  <si>
    <t>System shall validate the integrity of transmitted security attributes.</t>
  </si>
  <si>
    <t>MLSR049_2138</t>
  </si>
  <si>
    <t>MLSR049_1866</t>
  </si>
  <si>
    <t>Organization shall enforce to issue public key certificates under a defined certificate policy or obtains public key certificates from an approved service provider.</t>
  </si>
  <si>
    <t>MLSR049_1866_ref</t>
  </si>
  <si>
    <t>MLSR049_1870</t>
  </si>
  <si>
    <t>SC-17</t>
  </si>
  <si>
    <t xml:space="preserve">PUBLIC KEY INFRASTRUCTURE CERTIFICATES </t>
  </si>
  <si>
    <t>Organization shall define acceptable and unacceptable mobile code and mobile code technologies, establish usage restrictions and implementation guidance for mobile code and mobile code technologies based on the potential to cause damage to the information system if used maliciously.</t>
  </si>
  <si>
    <t>MLSR049_1872</t>
  </si>
  <si>
    <t>DE.CM-5: Unauthorized mobile code is detected</t>
  </si>
  <si>
    <t>SC-18</t>
  </si>
  <si>
    <t xml:space="preserve">MOBILE CODE </t>
  </si>
  <si>
    <t>System shall identify unacceptable mobile code and takes corrective actions like blocking, quarantine or alerting administrators.</t>
  </si>
  <si>
    <t>MLSR049_1872_ref</t>
  </si>
  <si>
    <t>MLSR049_1875</t>
  </si>
  <si>
    <t>System shall detect and prevent the download and execution of unacceptable mobile code.</t>
  </si>
  <si>
    <t>MLSR049_1876</t>
  </si>
  <si>
    <t>System shall detect and prevent the automatic execution of mobile code in defined software applications and enforce defined actions like disabling auto execute features for CDs, DVDs and USB devices prior to executing the code.</t>
  </si>
  <si>
    <t>MLSR049_1878</t>
  </si>
  <si>
    <t>System shall detect and allow execution of permitted mobile code only in confined virtual machine environments.</t>
  </si>
  <si>
    <t>MLSR049_1884</t>
  </si>
  <si>
    <t>System shall indicate the security status of child zones to enable verification of a chain of trust among parent and child domains, when operating as part of a distributed, hierarchical namespace.</t>
  </si>
  <si>
    <t>MLSR049_1887</t>
  </si>
  <si>
    <t>SC-20</t>
  </si>
  <si>
    <t xml:space="preserve">SECURE NAME / ADDRESS RESOLUTION SERVICE (AUTHORITATIVE SOURCE) </t>
  </si>
  <si>
    <t>System shall provide data origin and integrity protection artifacts for internal name/address resolution queries.</t>
  </si>
  <si>
    <t>MLSR049_1889</t>
  </si>
  <si>
    <t>System shall perform data origin authentication and data integrity verification on the name/address resolution responses the system receives from authoritative sources.</t>
  </si>
  <si>
    <t>MLSR049_1893</t>
  </si>
  <si>
    <t xml:space="preserve">SC-21 </t>
  </si>
  <si>
    <t xml:space="preserve">SECURE NAME / ADDRESS RESOLUTION SERVICE (RECURSIVE OR CACHING RESOLVER) </t>
  </si>
  <si>
    <t>System shall ensure that name/address resolution service are fault-tolerant and implements internal/external role separation.</t>
  </si>
  <si>
    <t>MLSR049_1897</t>
  </si>
  <si>
    <t>SC-22</t>
  </si>
  <si>
    <t xml:space="preserve">ARCHITECTURE AND PROVISIONING FOR NAME / ADDRESS RESOLUTION SERVICE </t>
  </si>
  <si>
    <t>System shall protect the authenticity of communications sessions such that it establishes confidence at both ends of communication sessions in the identities of the endpoints and the validity of information transmitted.</t>
  </si>
  <si>
    <t>MLSR049_1899</t>
  </si>
  <si>
    <t>SC-23</t>
  </si>
  <si>
    <t xml:space="preserve">SESSION AUTHENTICITY </t>
  </si>
  <si>
    <t>System shall invalidate session identifiers upon user logout or other session termination.</t>
  </si>
  <si>
    <t>MLSR049_1902</t>
  </si>
  <si>
    <t>System shall generate a unique session identifier for each session with randomness requirements and recognizes only session identifiers that are system-generated.</t>
  </si>
  <si>
    <t>MLSR049_1905</t>
  </si>
  <si>
    <t>System shall only allow the use of certificate authorities for verification of the establishment of protected sessions.</t>
  </si>
  <si>
    <t>System shall allow to fail to a known-state for types of failures preserving defined system state information in failure.</t>
  </si>
  <si>
    <t>MLSR049_1908_ref</t>
  </si>
  <si>
    <t>MLSR049_1912</t>
  </si>
  <si>
    <t>SC-24</t>
  </si>
  <si>
    <t xml:space="preserve">FAIL IN KNOWN STATE </t>
  </si>
  <si>
    <t>Organization shall employ defined information system components with minimal functionality and information storage.</t>
  </si>
  <si>
    <t>MLSR049_1916</t>
  </si>
  <si>
    <t>SC-25</t>
  </si>
  <si>
    <t xml:space="preserve">THIN NODES </t>
  </si>
  <si>
    <t>System shall enforce to include components (honeypots) specifically designed to be the target of malicious attacks for the purpose of detecting, deflecting, and analyzing such attacks</t>
  </si>
  <si>
    <t>MLSR049_1938</t>
  </si>
  <si>
    <t>MLSR049_1921</t>
  </si>
  <si>
    <t>SC-26</t>
  </si>
  <si>
    <t xml:space="preserve">HONEYPOTS </t>
  </si>
  <si>
    <t>System shall enforce to implement platform-independent applications that can run on multiple platforms and can be ported and reconstituted on different platforms that will increase the availability of critical functions when applications running specific platforms are under attack.</t>
  </si>
  <si>
    <t>MLSR049_1921_ref</t>
  </si>
  <si>
    <t>MLSR049_1925</t>
  </si>
  <si>
    <t>SC-27</t>
  </si>
  <si>
    <t xml:space="preserve">PLATFORM-INDEPENDENT APPLICATIONS </t>
  </si>
  <si>
    <t>System shall protect the confidentiality, integrity of information at rest like information stored in storage devices, configurations or rule sets for firewalls.</t>
  </si>
  <si>
    <t>MLSR088_126</t>
  </si>
  <si>
    <t>PR.DS-1: Data-at-rest is protected</t>
  </si>
  <si>
    <t xml:space="preserve">SC-28 </t>
  </si>
  <si>
    <t xml:space="preserve">PROTECTION OF INFORMATION AT REST </t>
  </si>
  <si>
    <t>System shall implement cryptographic mechanisms to prevent unauthorized disclosure and modification of information on defined system components.</t>
  </si>
  <si>
    <t>MLSR049_1928_ref</t>
  </si>
  <si>
    <t>MLSR049_1930</t>
  </si>
  <si>
    <t>Organization shall remove organizational information from online storage and store off-line in a secure location.</t>
  </si>
  <si>
    <t>MLSR049_1933</t>
  </si>
  <si>
    <t>Organization shall employ a diverse set of information technologies for information system components in the implementation of the information system.</t>
  </si>
  <si>
    <t>MLSR049_1935</t>
  </si>
  <si>
    <t xml:space="preserve">SC-29 </t>
  </si>
  <si>
    <t xml:space="preserve">HETEROGENEITY </t>
  </si>
  <si>
    <t>Organization shall employ virtualization techniques to support the deployment of a diversity of operating systems and applications that are changed.</t>
  </si>
  <si>
    <t>Organization shall employ concealment and misdirection techniques for information systems at specified time periods to confuse and mislead adversaries</t>
  </si>
  <si>
    <t>MLSR049_1938_ref</t>
  </si>
  <si>
    <t>MLSR049_1941</t>
  </si>
  <si>
    <t>SC-30</t>
  </si>
  <si>
    <t xml:space="preserve">CONCEALMENT AND MISDIRECTION </t>
  </si>
  <si>
    <t>Organization shall employ misdirection techniques to introduce randomness into organizational operations and assets</t>
  </si>
  <si>
    <t>MLSR049_1943</t>
  </si>
  <si>
    <t>Organization shall change the location of organizational processing and storage at random time intervals.</t>
  </si>
  <si>
    <t>MLSR049_1945</t>
  </si>
  <si>
    <t>Organization shall employ realistic, but misleading information in information system components with regard to its security state or posture.</t>
  </si>
  <si>
    <t>MLSR049_1947</t>
  </si>
  <si>
    <t>Organization shall employ techniques to hide or conceal information system components</t>
  </si>
  <si>
    <t>MLSR049_1952</t>
  </si>
  <si>
    <t>Organization shall test a subset of the identified covert channels to determine which channels are exploitable</t>
  </si>
  <si>
    <t>MLSR049_1953</t>
  </si>
  <si>
    <t>SC-31</t>
  </si>
  <si>
    <t xml:space="preserve">COVERT CHANNEL ANALYSIS </t>
  </si>
  <si>
    <t>Organization shall reduce the maximum bandwidth for identified covert storage and timing channels to defined values.</t>
  </si>
  <si>
    <t>MLSR049_1953_ref</t>
  </si>
  <si>
    <t>MLSR049_1955</t>
  </si>
  <si>
    <t>Organization shall measure the bandwidth of subset of identified covert channels in the operational environment of the information system.</t>
  </si>
  <si>
    <t>MLSR049_1958</t>
  </si>
  <si>
    <t>Organization shall partition the information system into information system components residing in separate physical domains or environments based on circumstances for physical separation of components as part of defense-in-depth protection strategy.</t>
  </si>
  <si>
    <t>MLSR049_1963</t>
  </si>
  <si>
    <t>SC-32</t>
  </si>
  <si>
    <t xml:space="preserve">INFORMATION SYSTEM PARTITIONING </t>
  </si>
  <si>
    <t>System shall enforce to load and execute operating environment and applications from hardware-enforced, read-only media.</t>
  </si>
  <si>
    <t>MLSR049_1965</t>
  </si>
  <si>
    <t xml:space="preserve">SC-34 </t>
  </si>
  <si>
    <t xml:space="preserve">NON-MODIFIABLE EXECUTABLE PROGRAMS </t>
  </si>
  <si>
    <t>Organization shall employ information system components with no writeable storage that is persistent across component restart or power on/off.</t>
  </si>
  <si>
    <t>MLSR049_1967</t>
  </si>
  <si>
    <t>Organization shall protect the integrity of information prior to storage on read-only media and controls the media after such information has been recorded onto the media.</t>
  </si>
  <si>
    <t>Organization shall employ hardware-based, write-protect for information system firmware components.</t>
  </si>
  <si>
    <t>MLSR049_1969_ref</t>
  </si>
  <si>
    <t>MLSR049_1970</t>
  </si>
  <si>
    <t>Organization shall implement specific procedures for authorized individuals to manually disable hardware write-protect for firmware modifications and re-enable the write-protect prior to returning to operational mode.</t>
  </si>
  <si>
    <t>MLSR049_1972</t>
  </si>
  <si>
    <t>System shall implement components (honeyclients) that proactively seek to identify malicious websites and/or web-based malicious code</t>
  </si>
  <si>
    <t>MLSR049_1976</t>
  </si>
  <si>
    <t>SC-35</t>
  </si>
  <si>
    <t xml:space="preserve">HONEYCLIENTS </t>
  </si>
  <si>
    <t>Organization shall distribute processing and storage across multiple physical locations.</t>
  </si>
  <si>
    <t>MLSR049_1978</t>
  </si>
  <si>
    <t>SC-36</t>
  </si>
  <si>
    <t xml:space="preserve">DISTRIBUTED PROCESSING AND STORAGE </t>
  </si>
  <si>
    <t>Organization shall employ polling techniques to identify potential faults, errors, or compromises to distributed processing and storage components</t>
  </si>
  <si>
    <t>MLSR049_1981</t>
  </si>
  <si>
    <t>Organization shall employ out-of-band channels for the physical delivery or electronic transmission of information, information system components, or devices to individuals or information system.</t>
  </si>
  <si>
    <t>MLSR049_1981_ref</t>
  </si>
  <si>
    <t>MLSR049_1990</t>
  </si>
  <si>
    <t>SC-37</t>
  </si>
  <si>
    <t xml:space="preserve">OUT-OF-BAND CHANNELS </t>
  </si>
  <si>
    <t>System shall enforce to maintain a separate execution domain for each executing process by assigning each process a separate address space.</t>
  </si>
  <si>
    <t>MLSR049_1990_ref</t>
  </si>
  <si>
    <t>MLSR049_1992</t>
  </si>
  <si>
    <t>SC-39</t>
  </si>
  <si>
    <t xml:space="preserve">PROCESS ISOLATION </t>
  </si>
  <si>
    <t>System shall implement underlying hardware separation mechanisms to facilitate process separation.</t>
  </si>
  <si>
    <t>MLSR049_1994</t>
  </si>
  <si>
    <t>System shall maintain a separate execution domain for each thread in multi-threaded processing.</t>
  </si>
  <si>
    <t>MLSR049_2007</t>
  </si>
  <si>
    <t>Organization shall physically disable or remove defined connection ports or input/output devices on information systems or information system components</t>
  </si>
  <si>
    <t>MLSR049_2013</t>
  </si>
  <si>
    <t>SC-41</t>
  </si>
  <si>
    <t xml:space="preserve">PORT AND I/O DEVICE ACCESS </t>
  </si>
  <si>
    <t>Organization shall ensure that the information system is configured so that data or information collected by the sensors is only reported to authorized individuals or roles</t>
  </si>
  <si>
    <t>MLSR049_2015</t>
  </si>
  <si>
    <t>SC-42</t>
  </si>
  <si>
    <t xml:space="preserve">SENSOR CAPABILITY AND DATA </t>
  </si>
  <si>
    <t>Organization shall employ defined measures so that data or information collected by sensors is only used for authorized purposes.</t>
  </si>
  <si>
    <t>MLSR049_2021</t>
  </si>
  <si>
    <t>Organization shall authorize, monitor and control the use of information system components within the information system.</t>
  </si>
  <si>
    <t>MLSR049_2025</t>
  </si>
  <si>
    <t xml:space="preserve">SC-43 </t>
  </si>
  <si>
    <t xml:space="preserve">USAGE RESTRICTIONS </t>
  </si>
  <si>
    <t>Organization shall employ a detonation chamber capability (dynamic execution environments) within information system, system component, or location.</t>
  </si>
  <si>
    <t>MLSR049_2066</t>
  </si>
  <si>
    <t>DE.CM-4: Malicious code is detected</t>
  </si>
  <si>
    <t>MLSR049_2037</t>
  </si>
  <si>
    <t>SC-44</t>
  </si>
  <si>
    <t xml:space="preserve">DETONATION CHAMBERS </t>
  </si>
  <si>
    <t>Organization shall employ automated mechanisms at specified time interval to determine the state of information system components with regard to flaw remediation.</t>
  </si>
  <si>
    <t>MLSR049_2043</t>
  </si>
  <si>
    <t xml:space="preserve">SI-2 </t>
  </si>
  <si>
    <t xml:space="preserve">FLAW REMEDIATION </t>
  </si>
  <si>
    <t>Organization shall install security-relevant software and firmware updates automatically to information system components</t>
  </si>
  <si>
    <t>MLSR049_2045</t>
  </si>
  <si>
    <t>Organization shall remove previous versions of software and firmware components after updated versions have been installed.</t>
  </si>
  <si>
    <t>MLSR049_2045_ref</t>
  </si>
  <si>
    <t>MLSR049_2048</t>
  </si>
  <si>
    <t>Organization shall employ malicious code protection mechanisms at entry and exit point of the information system to detect and eradicate malicious code.</t>
  </si>
  <si>
    <t>MLSR049_2050</t>
  </si>
  <si>
    <t>SI-3</t>
  </si>
  <si>
    <t xml:space="preserve">MALICIOUS CODE PROTECTION </t>
  </si>
  <si>
    <t>Organization shall centrally manage malicious code protection mechanisms including planning, implementing, assessing, authorizing and monitoring the defined malicious code protection security controls.</t>
  </si>
  <si>
    <t>MLSR049_2052</t>
  </si>
  <si>
    <t>System shall update malicious code protection mechanisms like signature definitions automatically</t>
  </si>
  <si>
    <t>MLSR049_2055</t>
  </si>
  <si>
    <t>System shall update (select / approve) malicious code protection mechanisms only by a privileged user</t>
  </si>
  <si>
    <t>MLSR049_2060</t>
  </si>
  <si>
    <t>System shall implement nonsignature-based malicious code detection mechanisms such as heuristics to detect, analyze and describe the characteristics or behavior of malicious code and provide safeguards against malicious code for which signatures do not yet exist or for which existing signatures may not be effective.</t>
  </si>
  <si>
    <t>MLSR049_2062</t>
  </si>
  <si>
    <t>System shall detect unauthorized operating system commands through kernel application programming interface at information system hardware components and shall issue a warning and also shall audit and prevent the command execution.</t>
  </si>
  <si>
    <t>MLSR049_2064</t>
  </si>
  <si>
    <t>System shall implement defined security safeguards to authenticate defined remote commands.</t>
  </si>
  <si>
    <t>Organization employs defined tools and techniques to analyze characteristics and behavior of malicious code and incorporates the results from malicious code analysis into organizational incident response and flaw remediation processes.</t>
  </si>
  <si>
    <t>MLSR049_2066_ref</t>
  </si>
  <si>
    <t>MLSR049_2069</t>
  </si>
  <si>
    <t>Organization shall monitor the information system to detect attacks and indicators of potential attacks.</t>
  </si>
  <si>
    <t>MLSR049_2070</t>
  </si>
  <si>
    <t>SI-4</t>
  </si>
  <si>
    <t xml:space="preserve">INFORMATION SYSTEM MONITORING </t>
  </si>
  <si>
    <t>Organization shall deploy monitoring devices to track specific types of transactions of interest to the organization</t>
  </si>
  <si>
    <t>MLSR049_2071</t>
  </si>
  <si>
    <t>Organization shall heighten the system monitoring activity whenever there is an indication of increased risk to organizational operations and assets, individuals.</t>
  </si>
  <si>
    <t>MLSR049_2073</t>
  </si>
  <si>
    <t>Organization shall provide defined system monitoring information to authorized personnel or roles as needed with defined frequency.</t>
  </si>
  <si>
    <t>MLSR049_2075</t>
  </si>
  <si>
    <t>Organization shall connect and configure individual intrusion detection tools into an information system-wide intrusion detection system and employs automated tools to support near real-time analysis of events</t>
  </si>
  <si>
    <t>MLSR049_2077</t>
  </si>
  <si>
    <t>Organization shall employ automated tools to integrate intrusion detection tools into access control and flow control mechanisms for rapid response to attacks by enabling reconfiguration of these mechanisms in support of attack isolation and elimination.</t>
  </si>
  <si>
    <t>MLSR049_2078</t>
  </si>
  <si>
    <t>Organization shall monitor inbound and outbound communications traffic at specified time interval for unusual or unauthorized activities or conditions.</t>
  </si>
  <si>
    <t>System shall alert authorized personnel or roles when defined indications of compromise or potential compromise occur.</t>
  </si>
  <si>
    <t>MLSR049_2080_ref</t>
  </si>
  <si>
    <t>MLSR049_2083</t>
  </si>
  <si>
    <t>System shall notify incident response personnel of detected suspicious events and takes least-disruptive actions to terminate suspicious events.</t>
  </si>
  <si>
    <t>MLSR049_2088</t>
  </si>
  <si>
    <t>Organization shall make provision so that encrypted communications traffic is visible to authorized system monitoring tools</t>
  </si>
  <si>
    <t>Organization shall analyze outbound communications traffic at the external boundary of the information system and selected interior points within the system (e.g., subnetworks, subsystems) to discover anomalies like large file transfers, long-time persistent connections, unusual protocols and ports in use and attempted communications with suspected malicious external addresses.</t>
  </si>
  <si>
    <t>MLSR049_2090_ref</t>
  </si>
  <si>
    <t>MLSR049_2092</t>
  </si>
  <si>
    <t>Organization shall employ automated mechanisms to alert security personnel of the inappropriate or unusual activities with security implications activities that trigger alerts such as reports on potential insider threats.</t>
  </si>
  <si>
    <t>MLSR049_2094</t>
  </si>
  <si>
    <t>Organization shall analyze and develop communications traffic/event patterns for the information system and uses these profiles in tuning system-monitoring devices to reduce the number of false positives and the number of false negatives.</t>
  </si>
  <si>
    <t>MLSR049_2095</t>
  </si>
  <si>
    <t>Organization shall employ a wireless intrusion detection system to identify rogue wireless devices and to detect attack attempts and potential compromises/breaches to the information system.</t>
  </si>
  <si>
    <t>MLSR049_2097</t>
  </si>
  <si>
    <t>Organization shall employ an intrusion detection system to monitor wireless communications traffic as the traffic passes from wireless to wireline networks.</t>
  </si>
  <si>
    <t>MLSR049_2099</t>
  </si>
  <si>
    <t>Organization shall correlate information from monitoring tools employed throughout the information system and provide a more comprehensive view of the information system activity.</t>
  </si>
  <si>
    <t>MLSR049_2113</t>
  </si>
  <si>
    <t>DE.AE-3: Event data are collected and correlated from multiple sources and sensors</t>
  </si>
  <si>
    <t>MLSR049_2101</t>
  </si>
  <si>
    <t>Organization shall enforce to correlate information from monitoring physical, cyber, and supply chain activities to achieve integrated, organization-wide situational awareness.</t>
  </si>
  <si>
    <t>MLSR049_2103</t>
  </si>
  <si>
    <t>Organization shall enforce to analyze outbound communications traffic at the external boundary of the information system and at interior points within the system to detect covert exfiltration of information like steganography.</t>
  </si>
  <si>
    <t>MLSR049_2105</t>
  </si>
  <si>
    <t>Organization shall implement additional monitoring of individuals who have been identified by sources as posing an increased level of risk.</t>
  </si>
  <si>
    <t>MLSR049_2107</t>
  </si>
  <si>
    <t>DE.CM-3: Personnel activity is monitored to detect potential cybersecurity events</t>
  </si>
  <si>
    <t>Organization shall implement additional monitoring of privileged users.</t>
  </si>
  <si>
    <t>MLSR049_2107_ref</t>
  </si>
  <si>
    <t>MLSR049_2108</t>
  </si>
  <si>
    <t>Organization shall implement additional monitoring of individuals during probationary period.</t>
  </si>
  <si>
    <t>MLSR049_2109</t>
  </si>
  <si>
    <t>System shall detect network services that have not been authorized or approved by defined authorization or approval processes /audits and alerts authorized personnel.</t>
  </si>
  <si>
    <t>MLSR049_2111</t>
  </si>
  <si>
    <t>Organization shall implement host-based monitoring mechanisms at information system components like servers, workstations and mobile devices.</t>
  </si>
  <si>
    <t>System shall discover, collect, distribute, and use indicators of compromise like forensic artifacts from intrusions at the host or network level.</t>
  </si>
  <si>
    <t>MLSR049_2113_ref</t>
  </si>
  <si>
    <t>MLSR049_2119</t>
  </si>
  <si>
    <t>SI-5</t>
  </si>
  <si>
    <t xml:space="preserve">SECURITY ALERTS, ADVISORIES, AND DIRECTIVES </t>
  </si>
  <si>
    <t xml:space="preserve">Organization shall employ automated mechanisms to make security alert and advisory information available throughout the organization. </t>
  </si>
  <si>
    <t>MLSR049_2131</t>
  </si>
  <si>
    <t>Organization shall employ integrity verification tools to detect unauthorized changes to software, firmware, and information.</t>
  </si>
  <si>
    <t>MLSR049_2133</t>
  </si>
  <si>
    <t>SI-7</t>
  </si>
  <si>
    <t xml:space="preserve">SOFTWARE, FIRMWARE, AND INFORMATION INTEGRITY </t>
  </si>
  <si>
    <t>System shall perform an integrity check of software, firmware and information at startup, at defined transitional states (system startup, restart, shutdown, abort) or security-relevant events (new threat identified, installation of new hardware, software, firmware) in specified intervals.</t>
  </si>
  <si>
    <t>MLSR049_2135</t>
  </si>
  <si>
    <t>Organization shall employ automated tools to detect and provide notification to authorized person upon discovering discrepancies during integrity verification.</t>
  </si>
  <si>
    <t>Organization shall employ centrally managed integrity verification tools.</t>
  </si>
  <si>
    <t>MLSR049_2138_ref</t>
  </si>
  <si>
    <t>MLSR049_2141</t>
  </si>
  <si>
    <t>System shall implements automatic shut down, restart and other defined safeguards when integrity violations are discovered.</t>
  </si>
  <si>
    <t>MLSR049_2143</t>
  </si>
  <si>
    <t>System shall implement cryptographic mechanisms to detect unauthorized changes to software, firmware and information.</t>
  </si>
  <si>
    <t>MLSR049_2145</t>
  </si>
  <si>
    <t>Organization shall incorporate the detection of unauthorized security-relevant changes to the information system into the organizational incident response capability by tracking, monitoring, correcting and making those detected events/changes available for historical purposes.</t>
  </si>
  <si>
    <t>MLSR049_2147</t>
  </si>
  <si>
    <t>System shall provide capability to audit the event and initiate generation of audit record, alert current user and authorized personnel upon detection of a potential integrity violation.</t>
  </si>
  <si>
    <t>MLSR049_2149</t>
  </si>
  <si>
    <t>System shall verify the integrity of the boot process of devices with mechanisms that provide assurance that only trusted code is executed during boot processes.</t>
  </si>
  <si>
    <t>MLSR049_2149_ref</t>
  </si>
  <si>
    <t>MLSR049_2151</t>
  </si>
  <si>
    <t>System shall implement security safeguards such as verifying the authenticity of all updates to the boot firmware prior to applying changes to the boot devices and preventing unauthorized processes from modifying the boot firmware, to protect the integrity of boot firmware in devices.</t>
  </si>
  <si>
    <t>MLSR049_2153</t>
  </si>
  <si>
    <t>Organization shall enforce that user-installed software execute in a confined physical or virtual machine environment with limited privileges.</t>
  </si>
  <si>
    <t>MLSR049_2155</t>
  </si>
  <si>
    <t>Organization shall enforce that the integrity of user-installed software be verified prior to execution.</t>
  </si>
  <si>
    <t>MLSR049_2157</t>
  </si>
  <si>
    <t>Organization shall allow execution of binary or machine-executable code only in confined physical or virtual machine environments and with the explicit approval of authorized personnel.</t>
  </si>
  <si>
    <t>MLSR049_2159</t>
  </si>
  <si>
    <t>Organization shall prohibit the use of binary or machine-executable code without the provision of source code and provide exception only for compelling mission/operational requirements with the approval of the authorizing official.</t>
  </si>
  <si>
    <t>MLSR049_2161</t>
  </si>
  <si>
    <t>System shall implement cryptographic mechanisms to authenticate software or firmware components prior to installation by verifying that they have been digitally signed using certificates recognized and approved by organizations.</t>
  </si>
  <si>
    <t>MLSR049_2163</t>
  </si>
  <si>
    <t>Organization shall prohibit processes (operating system timers, automated responses) to execute without supervision for more than specified time period.</t>
  </si>
  <si>
    <t>MLSR049_2166</t>
  </si>
  <si>
    <t>Organization shall employ spam protection mechanisms at system entry and exit points to detect and take action on unsolicited messages.</t>
  </si>
  <si>
    <t>MLSR049_2169</t>
  </si>
  <si>
    <t>MLSR049_2167</t>
  </si>
  <si>
    <t>SI-8</t>
  </si>
  <si>
    <t xml:space="preserve">SPAM PROTECTION </t>
  </si>
  <si>
    <t>Organization shall enforce to update spam protection mechanisms when new releases are available in accordance with organizational configuration management policy and procedures.</t>
  </si>
  <si>
    <t>SI-9</t>
  </si>
  <si>
    <t>Organization shall centrally manages spam protection mechanisms.</t>
  </si>
  <si>
    <t>MLSR049_2169_ref</t>
  </si>
  <si>
    <t>MLSR049_2171</t>
  </si>
  <si>
    <t>Organization shall automatically updates spam protection mechanisms.</t>
  </si>
  <si>
    <t>MLSR049_2172</t>
  </si>
  <si>
    <t>System shall implement spam protection machismos with learning capability (Bayesian filters) to more effectively identify legitimate communications traffic.</t>
  </si>
  <si>
    <t>MLSR049_2176</t>
  </si>
  <si>
    <t>System shall enforce to check the validity of the system inputs like character set, length, numerical range and acceptable values and also verifies that inputs match specified definitions for format and content</t>
  </si>
  <si>
    <t>MLSR049_2176_ref</t>
  </si>
  <si>
    <t>MLSR049_2178</t>
  </si>
  <si>
    <t>SI-10</t>
  </si>
  <si>
    <t xml:space="preserve">INFORMATION INPUT VALIDATION </t>
  </si>
  <si>
    <t>System shall provide a manual override capability for input validation of inputs.</t>
  </si>
  <si>
    <t>MLSR049_2179</t>
  </si>
  <si>
    <t>System shall restrict the use of the manual override capability to only authorized individuals.</t>
  </si>
  <si>
    <t>MLSR049_2180</t>
  </si>
  <si>
    <t>System shall audit the use of the manual override capability.</t>
  </si>
  <si>
    <t>MLSR049_2182</t>
  </si>
  <si>
    <t>Organization shall ensure that input validation errors are reviewed and resolved within specified time period</t>
  </si>
  <si>
    <t>MLSR049_2184</t>
  </si>
  <si>
    <t>System shall behave in a predictable and documented manner that reflects system (and organizational) objectives when invalid inputs are received.</t>
  </si>
  <si>
    <t>MLSR049_2186</t>
  </si>
  <si>
    <t>Organization shall enforce timing interactions among system components in determining appropriate responses for invalid inputs.</t>
  </si>
  <si>
    <t>MLSR049_2188</t>
  </si>
  <si>
    <t>Organization shall restrict the use of information inputs to trusted sources and formats by applying the concept of whitelisting to inputs to reduce the probability of malicious activity.</t>
  </si>
  <si>
    <t>MLSR049_2191</t>
  </si>
  <si>
    <t>System shall generate error messages that provide information necessary for corrective information's without revealing information that could be exploited and these error messages are revealed only to authorized personnel.</t>
  </si>
  <si>
    <t>MLSR049_2191_ref</t>
  </si>
  <si>
    <t>MLSR049_2199</t>
  </si>
  <si>
    <t>SI-11</t>
  </si>
  <si>
    <t xml:space="preserve">ERROR HANDLING </t>
  </si>
  <si>
    <t>Organization shall determine mean time to failure (MTTF) and provide the substitute information system components whenever it is required.</t>
  </si>
  <si>
    <t>MLSR049_2199_ref</t>
  </si>
  <si>
    <t>MLSR049_2202</t>
  </si>
  <si>
    <t>SI-13</t>
  </si>
  <si>
    <t xml:space="preserve">PREDICTABLE FAILURE PREVENTION </t>
  </si>
  <si>
    <t>Organization shall take information system components out of service by transferring component responsibilities to substitute components no later than fraction or percentage of mean time to failure</t>
  </si>
  <si>
    <t>MLSR049_2204</t>
  </si>
  <si>
    <t>Organization shall manually initiate transfers between active and standby information system components specified frequency when the mean time to failure exceeds time period.</t>
  </si>
  <si>
    <t>MLSR049_2205</t>
  </si>
  <si>
    <t>Organization shall ensure to replace and activate standby components transparently installed within specified time period when information system component failures are detected and activates alarm or automatically shuts down the information system</t>
  </si>
  <si>
    <t>MLSR049_2207</t>
  </si>
  <si>
    <t>Organization shall provide real-time failover capability for the information system</t>
  </si>
  <si>
    <t>Organization shall implement non-persistent system components and services that are initiated in a known state and terminated upon end of session or at specified frequency mitigating advanced persistent threats that does not give sufficient time for attack and increases the work factor to compromise or breach system / system components / services.</t>
  </si>
  <si>
    <t>MLSR049_2210_ref</t>
  </si>
  <si>
    <t>MLSR049_2213</t>
  </si>
  <si>
    <t>SI-14</t>
  </si>
  <si>
    <t xml:space="preserve">NON-PERSISTENCE </t>
  </si>
  <si>
    <t>Organization shall ensure that software and data employed in systems obtain refreshes from defined trusted sources like read-only media or off-line secure storage facilities.</t>
  </si>
  <si>
    <t>MLSR049_2213_ref</t>
  </si>
  <si>
    <t>MLSR049_2216</t>
  </si>
  <si>
    <t>System shall validate information output from software programs and/or applications to ensure that the information is consistent with the expected content.</t>
  </si>
  <si>
    <t>MLSR049_2220</t>
  </si>
  <si>
    <t>SI-15</t>
  </si>
  <si>
    <t xml:space="preserve">INFORMATION OUTPUT FILTERING </t>
  </si>
  <si>
    <t>System shall implement security safeguards (data execution prevention either hardware-enforced or software-enforced, address space layout randomization) to protect its memory from unauthorized code execution.</t>
  </si>
  <si>
    <t>MLSR049_2224</t>
  </si>
  <si>
    <t>SI-16</t>
  </si>
  <si>
    <t xml:space="preserve">MEMORY PROTECTION </t>
  </si>
  <si>
    <t>System shall implement the fail-safe procedures when defined failure conditions occur such as alerting operator personnel and providing specific instructions on subsequent steps to take like reestablishing system settings, shutting down processes, restarting the system or contacting designated organizational personnel.</t>
  </si>
  <si>
    <t>MLSR049_738</t>
  </si>
  <si>
    <t xml:space="preserve">
Organization shall employ automated mechanism in configuration control to: 
(1) document, notify, highlight proposed changes to information system 
(2) prohibit changes to the information system until designated approvals are received, notify approved changes and document all changes to information system.</t>
  </si>
  <si>
    <t>MLSR049_803</t>
  </si>
  <si>
    <t>Organization shall employ automated mechanisms to maintain an up-to-date, complete, accurate, and readily available inventory of information system components.</t>
  </si>
  <si>
    <t>MLSR049_929</t>
  </si>
  <si>
    <t xml:space="preserve">Organization shall implement transaction recovery for transaction-based systems. </t>
  </si>
  <si>
    <t>MLSR049_932</t>
  </si>
  <si>
    <t>Organization shall provide the capability to restore information system components from a known state within defined restoration time-periods.</t>
  </si>
  <si>
    <t>MLSR049_1133</t>
  </si>
  <si>
    <t xml:space="preserve">IR-7 </t>
  </si>
  <si>
    <t xml:space="preserve">INCIDENT RESPONSE ASSISTANCE </t>
  </si>
  <si>
    <t xml:space="preserve">
Organization employs automated mechanisms to increase the availability of incident response-related information and support. </t>
  </si>
  <si>
    <t>MLSR049_1148</t>
  </si>
  <si>
    <t xml:space="preserve">IR-9 </t>
  </si>
  <si>
    <t xml:space="preserve">INFORMATION SPILLAGE RESPONSE </t>
  </si>
  <si>
    <t>Organization shall employ security safeguards for information exposed to unauthorized personnel.</t>
  </si>
  <si>
    <t>MLSR049_1162</t>
  </si>
  <si>
    <t xml:space="preserve">MA-2 </t>
  </si>
  <si>
    <t xml:space="preserve">CONTROLLED MAINTENANCE </t>
  </si>
  <si>
    <t xml:space="preserve">
Organization shall implement automated mechanisms to schedule, conduct, and document maintenance and repairs.</t>
  </si>
  <si>
    <t>MLSR049_1444</t>
  </si>
  <si>
    <t xml:space="preserve">PS-4 </t>
  </si>
  <si>
    <t xml:space="preserve">PERSONNEL TERMINATION </t>
  </si>
  <si>
    <t>Organization shall do the following when an inidividual's employment is terminated:
1) disable system access
2) revoke credentials
3) notify authorized personnel within defined time period</t>
  </si>
  <si>
    <t>MLSR037_208</t>
  </si>
  <si>
    <t>MLSR049_1448</t>
  </si>
  <si>
    <t>Organization shall employ automated mechanisms to notify upon termination of an individual.</t>
  </si>
  <si>
    <t>MLSR049_1486</t>
  </si>
  <si>
    <t xml:space="preserve">
Organization shall scan for vulnerabilities in system and applications at a defined frequency and when new vulnerabilities are identified and reported.
</t>
  </si>
  <si>
    <t>MLSR049_1487</t>
  </si>
  <si>
    <t xml:space="preserve">Organization shall employ vulnerability scanning tools and techniques that facilitate interoperability among tools for standards for enumerating platforms, formatting checklists and procedures and analyzing vulnerability scan reports.
</t>
  </si>
  <si>
    <t>MLSR049_1983</t>
  </si>
  <si>
    <t>Organization shall employ  security safeguards to ensure that only designated individuals or information systems receive particular information.</t>
  </si>
  <si>
    <t>MLSR049_2421</t>
  </si>
  <si>
    <t>DM-1</t>
  </si>
  <si>
    <t xml:space="preserve">MINIMIZATION OF PERSONALLY IDENTIFIABLE INFORMATION </t>
  </si>
  <si>
    <t xml:space="preserve">
Organization shall locate and remove/redact irrelevant PII and use anonymization and de-identification techniques to permit use of the retained information in order to reduce its sensitivity and reduce the risk resulting from disclosure. </t>
  </si>
  <si>
    <t>MLSR076_177</t>
  </si>
  <si>
    <t>MLSR079_283</t>
  </si>
  <si>
    <t>4.3.3.4.2</t>
  </si>
  <si>
    <t>Employ isolation or
segmentation on high risk
IACS</t>
  </si>
  <si>
    <t>Organization shall isolate high-risk system from or employ a barrier device to separate it from other zones with different security levels or risks.</t>
  </si>
  <si>
    <t>MLSR079_957</t>
  </si>
  <si>
    <t>MLSR079_284</t>
  </si>
  <si>
    <t>4.3.3.4.3</t>
  </si>
  <si>
    <t>Block non-essential
communications with
barrier devices</t>
  </si>
  <si>
    <t>Organization shall employ barrier devices that block all non-essential communications in and out of the security zone containing critical control equipment.</t>
  </si>
  <si>
    <t>MLSR079_294</t>
  </si>
  <si>
    <t>4.3.3.5.3</t>
  </si>
  <si>
    <t>Authorize account
access</t>
  </si>
  <si>
    <t>Organization shall grant, change, or terminate access on the authority of an appropriate manager.</t>
  </si>
  <si>
    <t>MLSR079_295</t>
  </si>
  <si>
    <t>4.3.3.5.4</t>
  </si>
  <si>
    <t>Record access accounts</t>
  </si>
  <si>
    <t>Organization shall maintain the record of all access accounts including the details of the individual(s) and devices authorized to use the account, their permissions and the authorizing manager.</t>
  </si>
  <si>
    <t>MLSR079_296</t>
  </si>
  <si>
    <t>4.3.3.5.5</t>
  </si>
  <si>
    <t>Suspend or remove
unneeded accounts</t>
  </si>
  <si>
    <t>Organization shall suspend or remove access accounts as soon as they are no longer needed such as job change.</t>
  </si>
  <si>
    <t>MLSR079_297</t>
  </si>
  <si>
    <t>4.3.3.5.6</t>
  </si>
  <si>
    <t>Review account
permissions</t>
  </si>
  <si>
    <t>Organization shall review regularly all established access accounts to ensure that the individual(s) and devices have only the minimum required permissions.</t>
  </si>
  <si>
    <t>4.3.3.5.7</t>
  </si>
  <si>
    <t>Change default
passwords</t>
  </si>
  <si>
    <t>Organization shall change the default passwords for access accounts before the IACS is put into service</t>
  </si>
  <si>
    <t>MLSR079_298_ref</t>
  </si>
  <si>
    <t>MLSR079_308</t>
  </si>
  <si>
    <t>4.3.3.6.1</t>
  </si>
  <si>
    <t>Develop an
authentication strategy</t>
  </si>
  <si>
    <t>Organization shall have an authentication strategy or approach that defines the method(s) of authentication to be used.</t>
  </si>
  <si>
    <t>MLSR079_309</t>
  </si>
  <si>
    <t>4.3.3.6.2</t>
  </si>
  <si>
    <t>Authenticate all users
before system use</t>
  </si>
  <si>
    <t>Organization shall authenticate all users before using the requested application, unless there are compensating combinations of entrance control technologies and administrative practices.</t>
  </si>
  <si>
    <t>MLSR079_310</t>
  </si>
  <si>
    <t>4.3.3.6.3</t>
  </si>
  <si>
    <t>Require strong
authentication methods
for system administration
and application
configuration</t>
  </si>
  <si>
    <t>Organization shall use strong authentication methods on all system administrator access accounts and application configuration access accounts.</t>
  </si>
  <si>
    <t>MLSR079_311</t>
  </si>
  <si>
    <t>4.3.3.6.4</t>
  </si>
  <si>
    <t>Log and review all
access attempts to
critical systems</t>
  </si>
  <si>
    <t>Organization shall record and review log files to critical systems whenever it is required</t>
  </si>
  <si>
    <t>MLSR079_312</t>
  </si>
  <si>
    <t>4.3.3.6.5</t>
  </si>
  <si>
    <t>Authenticate all remote
users at the appropriate
level</t>
  </si>
  <si>
    <t>Organization shall employ an authentication scheme with an appropriate level of strength to positively identify a remote interactive user.</t>
  </si>
  <si>
    <t>MLSR079_313</t>
  </si>
  <si>
    <t>4.3.3.6.6</t>
  </si>
  <si>
    <t>Develop a policy for
remote login and
connections</t>
  </si>
  <si>
    <t>Organization shall develop a policy addressing remote login by a user and/or remote connections to the control system</t>
  </si>
  <si>
    <t>MLSR079_314</t>
  </si>
  <si>
    <t>4.3.3.6.7</t>
  </si>
  <si>
    <t>Disable access account
after failed remote login
attempts</t>
  </si>
  <si>
    <t>System shall disable the access account for remote user after some number of failed login attempt</t>
  </si>
  <si>
    <t>MLSR079_315</t>
  </si>
  <si>
    <t>4.3.3.6.8</t>
  </si>
  <si>
    <t>Require re-authentication
after remote system
inactivity</t>
  </si>
  <si>
    <t>System shall re-authenticate the remote user after a defined period of inactivity before re-accessing.</t>
  </si>
  <si>
    <t>MLSR079_316</t>
  </si>
  <si>
    <t>4.3.3.6.9</t>
  </si>
  <si>
    <t>Employ authentication
for task-to-task
communication</t>
  </si>
  <si>
    <t>Systems shall employ appropriate authentication schemes for task-to-task communication between applications and devices.</t>
  </si>
  <si>
    <t>MLSR079_325</t>
  </si>
  <si>
    <t>4.3.3.7.2</t>
  </si>
  <si>
    <t>Establish appropriate
logical and physical
permission methods to
access IACS devices</t>
  </si>
  <si>
    <t>Organization shall establish appropriate logical rules that grant or deny access to known users based on their roles to access IACS devices</t>
  </si>
  <si>
    <t>MLSR079_326</t>
  </si>
  <si>
    <t>4.3.3.7.3</t>
  </si>
  <si>
    <t>Control access to
information or systems
via role-based access
accounts</t>
  </si>
  <si>
    <t>Organization shall grant the permission to access appropriate information or systems based on the role</t>
  </si>
  <si>
    <t>MLSR079_327</t>
  </si>
  <si>
    <t>4.3.3.7.4</t>
  </si>
  <si>
    <t>Employ multiple
authorization methods
for critical IACS</t>
  </si>
  <si>
    <t>Organization shall employ multiple authorization methods to limit access to the IACS in critical control environments</t>
  </si>
  <si>
    <t>MLSR079_614</t>
  </si>
  <si>
    <t>A.2.3.3.8.7</t>
  </si>
  <si>
    <t>Identifying vulnerabilities and prioritizing risks</t>
  </si>
  <si>
    <t>Organization shall identify and examine potential sources for vulnerabilities related to network connectivity that have been previously identified as weaknesses in certain systems.</t>
  </si>
  <si>
    <t>MLSR079_948</t>
  </si>
  <si>
    <t>A.3.3.4.1</t>
  </si>
  <si>
    <t>Description of element</t>
  </si>
  <si>
    <t>Organization shall enforce that the control system is architected in a manner that filters/removes unnecessary communication packets from reaching the control system devices in keeping with the principle of least privilege.</t>
  </si>
  <si>
    <t>MLSR079_956</t>
  </si>
  <si>
    <t>A.3.3.4.2.2</t>
  </si>
  <si>
    <t>Control zone</t>
  </si>
  <si>
    <t>Organization shall employ network segmentation as a countermeasure providing very significant riskreduction for medium to high-risk control systems.</t>
  </si>
  <si>
    <t>Organization shall enforce to use a barrier device such as a firewall to manage the communication across the conduit that links the control zone to the business zone</t>
  </si>
  <si>
    <t>MLSR079_957_ref</t>
  </si>
  <si>
    <t>MLSR079_959</t>
  </si>
  <si>
    <t>System shall ensure that the base configuration of the barrier device is to deny all communication by default and only allow communication by exception to meet a critical business need.</t>
  </si>
  <si>
    <t>MLSR079_960</t>
  </si>
  <si>
    <t>System shall ensure that ports and services frequently used as attack vectors are not opened through thebarrier device.</t>
  </si>
  <si>
    <t>MLSR079_961</t>
  </si>
  <si>
    <t>System shall allow only a fewer number of ports and services to be open through the barrier device.</t>
  </si>
  <si>
    <t>MLSR079_963</t>
  </si>
  <si>
    <t>A.3.3.4.2.3</t>
  </si>
  <si>
    <t>Demilitarized zone (DMZ)</t>
  </si>
  <si>
    <t>System shall enforce to use a de-militarized zone (DMZ) to eliminate or greatly reduce all directcommunication between the control zone and the business zone.</t>
  </si>
  <si>
    <t>MLSR079_989</t>
  </si>
  <si>
    <t>MLSR079_964</t>
  </si>
  <si>
    <t>System shall ensure that devices are located in the DMZ that function as a bridge or buffer between devices in the business zone and control zone</t>
  </si>
  <si>
    <t>MLSR079_974</t>
  </si>
  <si>
    <t>A.3.3.4.2.5</t>
  </si>
  <si>
    <t>Isolated IACS</t>
  </si>
  <si>
    <t>Organization shall ensure that appropriate layers of cyber and physical protection are employed to address the residual risk remaining after isolation of the IACS from the business zone.</t>
  </si>
  <si>
    <t>MLSR079_977</t>
  </si>
  <si>
    <t>A.3.3.4.4.1</t>
  </si>
  <si>
    <t>Baseline practices</t>
  </si>
  <si>
    <t>Organization shall employ barrier devices such as firewalls to segment high-risk IACS devices into controlzones.</t>
  </si>
  <si>
    <t>MLSR079_978</t>
  </si>
  <si>
    <t>Organization shall employ gateways or internal barrier devices within the control system device to separate regulatory control networks from the PCN.</t>
  </si>
  <si>
    <t>MLSR079_979</t>
  </si>
  <si>
    <t>Organization shall employ change management practices on the barrier device configuration.</t>
  </si>
  <si>
    <t>MLSR079_980</t>
  </si>
  <si>
    <t>Organization shall disconnect high-risk control system from the business zone.</t>
  </si>
  <si>
    <t>MLSR079_981</t>
  </si>
  <si>
    <t>A.3.3.4.4.2</t>
  </si>
  <si>
    <t>Additional practices</t>
  </si>
  <si>
    <t>Organization shall employ add-on, supplemental barrier devices within the control zone to further segment the network.</t>
  </si>
  <si>
    <t>MLSR079_982</t>
  </si>
  <si>
    <t>Organization shall employ a common and centrally managed security profile on all control zone barrierdevices.</t>
  </si>
  <si>
    <t>Organization shall employ a DMZ segmentation architecture.</t>
  </si>
  <si>
    <t>MLSR079_989_ref</t>
  </si>
  <si>
    <t>MLSR079_990</t>
  </si>
  <si>
    <t>Organization shall perform automated assessment tests to verify that the barrier device configuration hasbeen correctly implemented per the design specification.</t>
  </si>
  <si>
    <t>MLSR079_1002</t>
  </si>
  <si>
    <t>A.3.3.5.3.4</t>
  </si>
  <si>
    <t>Role based access accounts</t>
  </si>
  <si>
    <t>System shall ensure that accounts created are role based and grant the user only those privileges and access to resources that are needed to perform their particular job function.</t>
  </si>
  <si>
    <t>MLSR079_1003</t>
  </si>
  <si>
    <t>A.3.3.5.3.5</t>
  </si>
  <si>
    <t>Minimum privileges</t>
  </si>
  <si>
    <t>System shall ensure that users are assigned the minimum privileges and authorizations necessary to perform their tasks and access should be granted based on the need to support a particular job function</t>
  </si>
  <si>
    <t>MLSR079_1004</t>
  </si>
  <si>
    <t>A.3.3.5.3.6</t>
  </si>
  <si>
    <t>Separation of duties</t>
  </si>
  <si>
    <t>System shall ensure that the account administration process includes principles of separation of duties with separate approvers and implementers of account configuration</t>
  </si>
  <si>
    <t>MLSR079_1005</t>
  </si>
  <si>
    <t>A.3.3.5.3.7</t>
  </si>
  <si>
    <t>Identify individuals</t>
  </si>
  <si>
    <t>System shall ensure that access is controlled by an appropriate method of authentication (that is,user ID and password, personal identification numbers (PINs) or tokens) and every user is identifiable with separate access accounts.</t>
  </si>
  <si>
    <t>MLSR079_1006</t>
  </si>
  <si>
    <t>System shall ensure that an alternate identification process exists in the event of a forgotten password.</t>
  </si>
  <si>
    <t>MLSR079_1007</t>
  </si>
  <si>
    <t>A.3.3.5.3.8</t>
  </si>
  <si>
    <t>Authorization</t>
  </si>
  <si>
    <t>System shall ensure that access is granted on the authority of an appropriate manager (either from the responsible company or a partner organization)</t>
  </si>
  <si>
    <t>MLSR079_1008</t>
  </si>
  <si>
    <t>A.3.3.5.3.9</t>
  </si>
  <si>
    <t>Unneeded access accounts</t>
  </si>
  <si>
    <t>System shall ensure that user accounts are inactivated, suspended or removed and access permissions revoked as soon as they are no longer needed (for example, job change, termination, and the like).</t>
  </si>
  <si>
    <t>MLSR079_1009</t>
  </si>
  <si>
    <t>A.3.3.5.3.10</t>
  </si>
  <si>
    <t>Review access account permissions</t>
  </si>
  <si>
    <t>System shall ensure that all established access accounts should be reviewed periodically to ensure that the account is still in use, their role and access needs are still correct, the user is still authorized and only has the minimum required permissions and ensure that inactive or unneeded accounts are removed.</t>
  </si>
  <si>
    <t>MLSR079_1010</t>
  </si>
  <si>
    <t>A.3.3.5.3.11</t>
  </si>
  <si>
    <t>System shall maintain records of all access accounts, including details of the individual, their permissions and the authorizing manager.</t>
  </si>
  <si>
    <t>MLSR079_1013</t>
  </si>
  <si>
    <t>A.3.3.5.3.13</t>
  </si>
  <si>
    <t>Default passwords</t>
  </si>
  <si>
    <t>System shall ensure that the default passwords arechanged immediately upon setup and before connection to the system.</t>
  </si>
  <si>
    <t>MLSR079_1016</t>
  </si>
  <si>
    <t>A.3.3.5.4.1</t>
  </si>
  <si>
    <t>System shall assign the minimum privileges and authorizations to users necessary to perform their tasks and access shall be granted on the basis of the need to perform a particular jobfunction.</t>
  </si>
  <si>
    <t>MLSR079_1017</t>
  </si>
  <si>
    <t>System shall control identification and access for each individual user by an appropriate method ofauthentication.</t>
  </si>
  <si>
    <t>MLSR079_1018</t>
  </si>
  <si>
    <t>System shall establish an alternate identification process in the event of lost credentials or a forgotten password.</t>
  </si>
  <si>
    <t>MLSR079_1019</t>
  </si>
  <si>
    <t>System shall grant, change, or terminate access on the authority of an appropriate manager (from the organization, contracting organization, or third-party). and maintain record of all access accounts, including details of the individual, their permissions, and the authorizing manager.</t>
  </si>
  <si>
    <t>MLSR079_1020</t>
  </si>
  <si>
    <t>System shall suspend or remove all access accounts and revoke permissions as soon as theyare no longer needed (for example, job change).</t>
  </si>
  <si>
    <t>MLSR079_1021</t>
  </si>
  <si>
    <t>System shall enforce to review all established access accounts on a regular basis to ensure that they are still in use and they still require access to critical systems.</t>
  </si>
  <si>
    <t>MLSR079_1022</t>
  </si>
  <si>
    <t>System shall enforce to reconfirm the need for access accounts with the appropriate manager if the accounts are unused for an extended period of time.</t>
  </si>
  <si>
    <t>MLSR079_1023</t>
  </si>
  <si>
    <t>System shall enforce to change the default passwords to be changed immediately.</t>
  </si>
  <si>
    <t>MLSR079_1028</t>
  </si>
  <si>
    <t>A.3.3.5.4.2</t>
  </si>
  <si>
    <t>System shall allow users to have more than one access account, based on their particular job-role at that particular time.</t>
  </si>
  <si>
    <t>MLSR079_1044</t>
  </si>
  <si>
    <t>A.3.3.6.4</t>
  </si>
  <si>
    <t>Authentication for task-to-task communication</t>
  </si>
  <si>
    <t>System shall enforce critical interfaces to authenticate task-to-task communications between devices by checking the internet protocol (IP) address, checkingthe media access control (MAC) address, using a secret code or using a cryptographic key toverify that the request is coming from the expected device.</t>
  </si>
  <si>
    <t>MLSR079_1047</t>
  </si>
  <si>
    <t>A.3.3.6.5.1</t>
  </si>
  <si>
    <t>General</t>
  </si>
  <si>
    <t>System shall enforce that all users are authenticated before using the requested application and the authentication is a combination of physical and cyber authentication practices.</t>
  </si>
  <si>
    <t>MLSR079_1048</t>
  </si>
  <si>
    <t>System shall ensure that strong account user ID and password practices are used on all systemadministrator and application configuration access accounts.</t>
  </si>
  <si>
    <t>MLSR079_1049</t>
  </si>
  <si>
    <t>System shall perform all system administrator orapplication configuration functions locally at the device to reduce the potential for a network interruption causing a problem with the control of the equipment.</t>
  </si>
  <si>
    <t>MLSR079_1053</t>
  </si>
  <si>
    <t>A.3.3.6.5.2</t>
  </si>
  <si>
    <t>Authentication for local users</t>
  </si>
  <si>
    <t>System shall enforce to have individual user IDs and passwords for each operator for work-team environments.</t>
  </si>
  <si>
    <t>MLSR079_1054</t>
  </si>
  <si>
    <t>System shall restrict/control access to non-local domain controllers and active directory servers for access account authentication.</t>
  </si>
  <si>
    <t>MLSR079_1055</t>
  </si>
  <si>
    <t>System shall enforce automatic access account lockout after some number of failed login attempts.</t>
  </si>
  <si>
    <t>MLSR079_1056</t>
  </si>
  <si>
    <t>System shall enforce robust long passwords that contain a mix of alpha, numeric and special characters</t>
  </si>
  <si>
    <t>System shall enforce to change password after a specified number of days</t>
  </si>
  <si>
    <t>MLSR079_1057_ref</t>
  </si>
  <si>
    <t>System shall enforce screen savers with password protection.</t>
  </si>
  <si>
    <t>MLSR079_1058_ref</t>
  </si>
  <si>
    <t>MLSR079_1061</t>
  </si>
  <si>
    <t>A.3.3.6.5.3</t>
  </si>
  <si>
    <t>Authentication for remote users</t>
  </si>
  <si>
    <t>System shall log all access attempts to critical systems and the organization shall review these attempts whether they were successful or failed.</t>
  </si>
  <si>
    <t>MLSR079_1062</t>
  </si>
  <si>
    <t>System shall disable the user’s access account for a certain amount of time after some number of failed login attempts by a remote user.</t>
  </si>
  <si>
    <t>MLSR079_1063</t>
  </si>
  <si>
    <t>System shall enforce re-authentication for a remote user after a defined period of inactivity, before the system can be accessed again.</t>
  </si>
  <si>
    <t>MLSR079_1067</t>
  </si>
  <si>
    <t>System shall enforce strong authentication using physical token or smart card two factor authentication that requires both a physical device and unique knowledge (for example, a Personal Identifier Number, PIN) in the possession of the user.</t>
  </si>
  <si>
    <t>MLSR079_1070</t>
  </si>
  <si>
    <t>A.3.3.6.5.4</t>
  </si>
  <si>
    <t>System shall employ technical solution to authenticate each device or network.</t>
  </si>
  <si>
    <t>MLSR079_1074</t>
  </si>
  <si>
    <t>A.3.3.6.6.1</t>
  </si>
  <si>
    <t>System shall authenticate all users prior to being allowed use of a particular application.</t>
  </si>
  <si>
    <t>MLSR079_1075</t>
  </si>
  <si>
    <t>System shall enforce at least a manually entered user ID and password as the minimum level of electronic authentication.</t>
  </si>
  <si>
    <t>MLSR079_1076</t>
  </si>
  <si>
    <t>System shall authenticate task-to-task communication by knowing the MAC and/or IP address for the device, a specific electronic key, the device name, and the like.</t>
  </si>
  <si>
    <t>A.3.4.4.3.2</t>
  </si>
  <si>
    <t>Organization shall encrypt all communications over the Internet involving private information with securesocket layer (SSL) or equivalent strength encryption.</t>
  </si>
  <si>
    <t>MLSR079_1309_ref</t>
  </si>
  <si>
    <t>MLSR065_33</t>
  </si>
  <si>
    <t>4.3.1</t>
  </si>
  <si>
    <t>APPLICATION SECURITY IN INFRASTRUCTURE AS A SERVICE</t>
  </si>
  <si>
    <t>Organization shall prohibit to implement custom implementations of authorization, authentication and accounting as these can become weak if not properly implemented.</t>
  </si>
  <si>
    <t>NOTE TO GOVERNMENTS</t>
  </si>
  <si>
    <t>Organization shall ensure that the provider fully erases storage, memory and other data traces before machines are reallocated</t>
  </si>
  <si>
    <t>MLSR065_41_ref</t>
  </si>
  <si>
    <t>MLSR065_42</t>
  </si>
  <si>
    <t>Organization shall ensure that the provider support or even mandate physical token based 2-factor authentication for client access.</t>
  </si>
  <si>
    <t>MLSR065_56</t>
  </si>
  <si>
    <t>OPERATIONAL SECURITY</t>
  </si>
  <si>
    <t>Organization shall maintain separate environment for development, test and operational environment to reduce the impact of dependency component issues.</t>
  </si>
  <si>
    <t>MLSR065_56_ref</t>
  </si>
  <si>
    <t>PR.DS-7: The development and testing environment(s) are separate from the production environment</t>
  </si>
  <si>
    <t>MLSR065_58</t>
  </si>
  <si>
    <t>Organization shall ensure to specify appropriate controls used to protect against malicious code.</t>
  </si>
  <si>
    <t>MLSR065_59</t>
  </si>
  <si>
    <t>System shall enable/deploy a secure configuration to only allow execution of authorized mobile code and authorized functionality.</t>
  </si>
  <si>
    <t>MLSR065_61</t>
  </si>
  <si>
    <t>Organization shall ensure the availability of audit logs for troubleshooting and to use in the event of an incident requiring investigation.</t>
  </si>
  <si>
    <t>MLSR065_62</t>
  </si>
  <si>
    <t>Organization shall provide details on what information is recorded within audit logs and shall specify the data retention period as well.</t>
  </si>
  <si>
    <t>MLSR065_63</t>
  </si>
  <si>
    <t>Organization shall provide details on controls employed to protect logs from unauthorised access or tampering.</t>
  </si>
  <si>
    <t>MLSR065_64</t>
  </si>
  <si>
    <t>Organization shall provide details on methods used to check and protect the integrity of audit logs.</t>
  </si>
  <si>
    <t>MLSR065_64_ref</t>
  </si>
  <si>
    <t>MLSR065_66</t>
  </si>
  <si>
    <t>Organization shall ensure to use appropriate time source to synchronise systems and provide accurate audit log time stamping.</t>
  </si>
  <si>
    <t>MLSR065_67</t>
  </si>
  <si>
    <t>6.3.1</t>
  </si>
  <si>
    <t>SOFTWARE ASSURANCE</t>
  </si>
  <si>
    <t>Organization shall define the security controls and guidelines used to protect the integrity of operating systems and application software's used.</t>
  </si>
  <si>
    <t>MLSR065_69</t>
  </si>
  <si>
    <t>Organization shall ensure to employ appropriate security mechanisms to keep the applications safe in the cloud environment.</t>
  </si>
  <si>
    <t>MLSR065_69_ref</t>
  </si>
  <si>
    <t>Third Party(e.g:Vendor, Supplier, Contractor, Sub-Contractor etc.)</t>
  </si>
  <si>
    <t>MLSR065_72</t>
  </si>
  <si>
    <t>6.3.3</t>
  </si>
  <si>
    <t>NETWORK ARCHITECTURE CONTROLS</t>
  </si>
  <si>
    <t>Organization shall define the controls for cloud environment to mitigate DDoS (distributed denial–of-service) attacks that includes defenses against 'internal' attacks as well as external attacks.</t>
  </si>
  <si>
    <t>MLSR065_73</t>
  </si>
  <si>
    <t>Cloud provider shall implement strong isolation level for virtual machines, physical machines, network and storage to prevent unauthorized access to other cloud hosted systems.</t>
  </si>
  <si>
    <t>MLSR076_209</t>
  </si>
  <si>
    <t>MLSR065_74</t>
  </si>
  <si>
    <t>Organization shall ensure that the application architecture support continued operation from the cloud even when the company is separated from the service provider and vice versa.</t>
  </si>
  <si>
    <t>MLSR065_75</t>
  </si>
  <si>
    <t>Organization shall ensure that the virtual network infrastructure used by cloud providers are secured to vendor and protected against attacks like MAC spoofing, poisoning attacks via specific security configuration.</t>
  </si>
  <si>
    <t>MLSR065_78</t>
  </si>
  <si>
    <t>6.3.4</t>
  </si>
  <si>
    <t>HOST ARCHITECTURE</t>
  </si>
  <si>
    <t>Organization shall ensure to run the host firewall with only minimum ports necessary to support services within the virtual instance.</t>
  </si>
  <si>
    <t>MLSR065_79</t>
  </si>
  <si>
    <t>Organization shall ensure to run the host-based intrusion prevention service (IPS) in the virtual instance, in order to monitor and analyze the internals of a system as well as the network packets on its network interfaces.</t>
  </si>
  <si>
    <t>MLSR065_93</t>
  </si>
  <si>
    <t>6.4.1</t>
  </si>
  <si>
    <t>AUTHORISATION</t>
  </si>
  <si>
    <t>Organization shall ensure that the cloud provider shall carefully provision read/write/delete permissions to accounts which have system-wide privileges for the entire cloud system.</t>
  </si>
  <si>
    <t>MLSR065_94</t>
  </si>
  <si>
    <t>Organization shall ensure that the cloud provider shall properly authenticate and manage all the accounts with the highest level of privilege on the cloud system.</t>
  </si>
  <si>
    <t>MLSR065_95</t>
  </si>
  <si>
    <t>Organization shall ensure that the cloud provider shall specify in their identity and access management system on how are the most critical decisions authorized, single or dual, and by which roles within the organization.</t>
  </si>
  <si>
    <t>MLSR065_96</t>
  </si>
  <si>
    <t>Organization shall ensure that the cloud provider allocates high privilege roles appropriately to a user such that the allocation ensures proper segregation of duties or least privilege rules as required.</t>
  </si>
  <si>
    <t>MLSR065_97</t>
  </si>
  <si>
    <t>Organization shall ensure that the cloud provider implement Role based access control and least privilege principle as a part of Identity and Access Management to protect the data.</t>
  </si>
  <si>
    <t>MLSR065_98</t>
  </si>
  <si>
    <t>Organization shall ensure that the cloud provider implement required changes in administrator privileges and roles to allow for extraordinary access in the event of an emergency.</t>
  </si>
  <si>
    <t>MLSR065_98_ref</t>
  </si>
  <si>
    <t>MLSR065_99</t>
  </si>
  <si>
    <t>Organization shall ensure that the cloud provider is able to provision ‘administrator’ role for the customer which has access to limited features only, like "add new user" and others as required.</t>
  </si>
  <si>
    <t>MLSR065_100</t>
  </si>
  <si>
    <t>6.4.2</t>
  </si>
  <si>
    <t>IDENTITY PROVISIONING</t>
  </si>
  <si>
    <t>Organization shall ensure that the cloud provider shall verify the identity of user accounts at registration, based on specific standards/framework and also provision identities using different levels of identity checks based on the resources required.</t>
  </si>
  <si>
    <t>MLSR065_101</t>
  </si>
  <si>
    <t>Organization shall ensure that the cloud provider shall have process defined for de-provisioning of credentials.</t>
  </si>
  <si>
    <t>MLSR065_102</t>
  </si>
  <si>
    <t>Organization shall ensure that the cloud provider shall provision and de-provision credentials simultaneously throughout the cloud system and mitigate any associated risks while de-provisioning them across multiple geographically distributed locations.</t>
  </si>
  <si>
    <t>MLSR065_103</t>
  </si>
  <si>
    <t>6.4.3</t>
  </si>
  <si>
    <t>MANAGEMENT OF PERSONAL DATA</t>
  </si>
  <si>
    <t>Organization shall ensure that the cloud provider shall implement data storage and protection controls to the user directory and manage access to it appropriately.</t>
  </si>
  <si>
    <t>MLSR065_104</t>
  </si>
  <si>
    <t>Organization shall ensure that the cloud provider shall enable features to export user directory data in an interoperable format as required.</t>
  </si>
  <si>
    <t>MLSR065_125</t>
  </si>
  <si>
    <t>MLSR065_105</t>
  </si>
  <si>
    <t>Organization shall ensure that the cloud provider follows the need to know principle for granting access to the customer data within the cloud.</t>
  </si>
  <si>
    <t>MLSR065_107</t>
  </si>
  <si>
    <t>6.4.4</t>
  </si>
  <si>
    <t>KEY MANAGEMENT</t>
  </si>
  <si>
    <t>Organization shall ensure that the cloud provider shall implement strong security controls such as strong password policies, keys stored in a separate system, hardware security modules (HSM) for root certificate keys, smart card based authentication, direct shielded access to storage and short key lifetime, for reading and writing the Keys which are stored in the cloud.</t>
  </si>
  <si>
    <t>MLSR065_108</t>
  </si>
  <si>
    <t>Organization shall ensure that the cloud provider shall implement security controls for using keys to sign and encrypt data.</t>
  </si>
  <si>
    <t>MLSR065_109</t>
  </si>
  <si>
    <t>Organization shall ensure that the cloud provider shall have procedures in place, to handle the situation when a key is compromised.</t>
  </si>
  <si>
    <t>MLSR065_110</t>
  </si>
  <si>
    <t>Organization shall ensure that the cloud provider shall implement key revocation to deal with simultaneity issues for multiple sites.</t>
  </si>
  <si>
    <t>MLSR065_111</t>
  </si>
  <si>
    <t>Organization shall ensure that the cloud provider shall protect or encrypt the customer system images.</t>
  </si>
  <si>
    <t>MLSR065_113</t>
  </si>
  <si>
    <t>6.4.5</t>
  </si>
  <si>
    <t>ENCRYPTION</t>
  </si>
  <si>
    <t>Cloud system shall encrypt the data in transit.</t>
  </si>
  <si>
    <t>MLSR065_114</t>
  </si>
  <si>
    <t>Cloud system shall encrypt the data at rest.</t>
  </si>
  <si>
    <t>MLSR065_115</t>
  </si>
  <si>
    <t>Cloud system shall encrypt the data in processor or memory.</t>
  </si>
  <si>
    <t>MLSR065_116</t>
  </si>
  <si>
    <t>Cloud system shall encrypt the user name and passwords.</t>
  </si>
  <si>
    <t>MLSR065_119</t>
  </si>
  <si>
    <t>Organization shall ensure that the cloud provider implement strong security mechanisms to protect the keys stored on cloud environment.</t>
  </si>
  <si>
    <t>MLSR065_120</t>
  </si>
  <si>
    <t>6.4.6</t>
  </si>
  <si>
    <t>AUTHENTICATION</t>
  </si>
  <si>
    <t>Organization shall ensure that the cloud provider implement two factor authentication to manage critical components within the infrastructure, such as firewalls.</t>
  </si>
  <si>
    <t>MLSR065_121</t>
  </si>
  <si>
    <t>6.4.7</t>
  </si>
  <si>
    <t>CREDENTIAL COMPROMISE OR THEFT</t>
  </si>
  <si>
    <t>Organization shall ensure that the cloud provider builds anomaly detection capabilities to spot unusual and potentially malicious IP traffic and user such as analysis of failed and successful logins, unusual time of day, and multiple logins.</t>
  </si>
  <si>
    <t>MLSR065_122</t>
  </si>
  <si>
    <t>Organization shall ensure that the cloud provider builds capabilities to detect, revoke and trace evidence for actions, in the event of the theft of customer’s credentials.</t>
  </si>
  <si>
    <t>MLSR065_124</t>
  </si>
  <si>
    <t>6.4.8.1</t>
  </si>
  <si>
    <t>IDENTITY MANAGEMENT FRAMEWORKS</t>
  </si>
  <si>
    <t>System shall ensure to allow for a federated IDM infrastructure which is interoperable both for high assurance such as OTP systems and low assurance such as username and password alone.</t>
  </si>
  <si>
    <t>Organization shall ensure that the cloud provider is interoperable with third party identity providers.</t>
  </si>
  <si>
    <t>MLSR065_125_ref</t>
  </si>
  <si>
    <t>MLSR065_126</t>
  </si>
  <si>
    <t>Organization shall ensure that the cloud provider is able to incorporate single sign-on capabilities to enable secure authentication on multiple applications with one set of login credentials.</t>
  </si>
  <si>
    <t>MLSR065_127</t>
  </si>
  <si>
    <t>6.4.8.2</t>
  </si>
  <si>
    <t>ACCESS CONTROL</t>
  </si>
  <si>
    <t>System managing client credentials shall allow for the separation of roles and responsibilities and for multiple domains.</t>
  </si>
  <si>
    <t>MLSR065_128</t>
  </si>
  <si>
    <t>Cloud provider shall manage access to the customer system images and shall ensure that the authentication and cryptographic keys are not contained within in them.</t>
  </si>
  <si>
    <t>MLSR065_129</t>
  </si>
  <si>
    <t>6.4.8.3</t>
  </si>
  <si>
    <t>Cloud provider shall enable mutual authentication to identify itself to the customer, when the customer sends any API commands or tries to login into the management interface.</t>
  </si>
  <si>
    <t>MLSR065_130</t>
  </si>
  <si>
    <t>Cloud provider shall support a federated mechanism for authentication.</t>
  </si>
  <si>
    <t>MLSR065_131</t>
  </si>
  <si>
    <t>ASSET MANAGEMENT</t>
  </si>
  <si>
    <t>Cloud provider shall have automated system to inventory all assets and list of assets that customer has used over a specific period of time for appropriate management and also to avoid systems being used as a backdoor into the infrastructure.</t>
  </si>
  <si>
    <t>MLSR065_135</t>
  </si>
  <si>
    <t>Cloud provider shall ensure to employ appropriate segregation between systems with different classifications and for a single customer who has systems with different security classifications, in order to provide additional protection while deploying assets that carry sensitive/critical data.</t>
  </si>
  <si>
    <t>MLSR065_135_ref</t>
  </si>
  <si>
    <t xml:space="preserve">ID.AM-5: Resources (e.g., hardware, devices, data, time, personnel, and software) are prioritized based on their classification, criticality, and business value </t>
  </si>
  <si>
    <t>MLSR065_136</t>
  </si>
  <si>
    <t>DATA AND SERVICES PORTABILITY</t>
  </si>
  <si>
    <t>Organization shall ensure that the cloud provider provides documented procedures and APIs for exporting data from the cloud and also provide interoperable export formats for all data stored within the cloud.</t>
  </si>
  <si>
    <t>MLSR065_137</t>
  </si>
  <si>
    <t>Organization shall ensure that the cloud provider shall use API interfaces that are standardized while using software as a service.</t>
  </si>
  <si>
    <t>MLSR065_138</t>
  </si>
  <si>
    <t>Organization shall ensure that the cloud provider shall enable export of user-created applications in a standard format.</t>
  </si>
  <si>
    <t>MLSR065_139</t>
  </si>
  <si>
    <t>Organization shall ensure that the cloud provider enables processes for testing that data can be exported to another cloud provider.</t>
  </si>
  <si>
    <t>MLSR065_140</t>
  </si>
  <si>
    <t>Organization shall ensure that the cloud provider expose features to perform own data extraction in order to verify that the format is universal and is capable of being migrated to another cloud provider.</t>
  </si>
  <si>
    <t>MLSR065_152</t>
  </si>
  <si>
    <t>6.7.1</t>
  </si>
  <si>
    <t>INCIDENT MANAGEMENT AND RESPONSE</t>
  </si>
  <si>
    <t>Cloud provider shall ensure to build capabilities for a cloud customer to report anomalies and security events during a disruption.</t>
  </si>
  <si>
    <t>MLSR065_153</t>
  </si>
  <si>
    <t>Cloud provider shall ensure to build capabilities for customer-selected third party real time security monitoring(RTSM) services to intervene in their systems or to co-ordinate incident response capabilities with the cloud provider.</t>
  </si>
  <si>
    <t>MLSR065_153_ref</t>
  </si>
  <si>
    <t>DE.CM-6: External service provider activity is monitored to detect potential cybersecurity events</t>
  </si>
  <si>
    <t>MLSR065_154</t>
  </si>
  <si>
    <t>Cloud provider shall ensure to run real time security monitoring (RTSM) services on the cloud for incident management and if its outsourced, ensure to provide information on the kind of parameters and services that are monitored.</t>
  </si>
  <si>
    <t>MLSR065_156</t>
  </si>
  <si>
    <t>Cloud provider shall ensure to store the security logs securely to prevent unauthorized access and also provide details on the retention period of security logs.</t>
  </si>
  <si>
    <t>MLSR065_157</t>
  </si>
  <si>
    <t>Cloud provider shall allow customer to build a HIPS/HIDS in the virtual machine image and also provide capability to integrate the information collected by the intrusion detection and prevention systems of the customer into the RTSM service of the cloud provider or that of a third party.</t>
  </si>
  <si>
    <t>MLSR065_161</t>
  </si>
  <si>
    <t>Cloud providers shall ensure that security controls are in place to prevent malicious activities by insiders</t>
  </si>
  <si>
    <t>MLSR065_162</t>
  </si>
  <si>
    <t>Cloud provider shall offer the customer a forensic image of the virtual machine upon request.</t>
  </si>
  <si>
    <t>MLSR065_193</t>
  </si>
  <si>
    <t>ENVIRONMENTAL CONTROLS</t>
  </si>
  <si>
    <t>Organization shall ensure to clean data on a equipment first, before the equipment is sent away for repair.</t>
  </si>
  <si>
    <t>MLSR076_61</t>
  </si>
  <si>
    <t>Delineation of Vendor and Health Care Organization Responsibilities</t>
  </si>
  <si>
    <t>Manufacturer shall implement authentication and authorization of the vendor’s personnel and ensure that default settings allow only the minimum data necessary for each purpose to be collected, and that the data are not accessible to unauthorized individuals.</t>
  </si>
  <si>
    <t>MLSR076_62</t>
  </si>
  <si>
    <t>Manufacturer shall ensure the data collected by the vendor are de-identified or disposed once the purpose is completed without any delay.</t>
  </si>
  <si>
    <t>MLSR076_62_ref</t>
  </si>
  <si>
    <t>MLSR076_69</t>
  </si>
  <si>
    <t>System shall implement appropriate backup as needed</t>
  </si>
  <si>
    <t>MLSR076_78</t>
  </si>
  <si>
    <t>4.1.1</t>
  </si>
  <si>
    <t>Identity and Account Management</t>
  </si>
  <si>
    <t>System shall ensure the user account/temporary account are terminated once the user leave the organization or the end of the temporary period.</t>
  </si>
  <si>
    <t>MLSR076_79</t>
  </si>
  <si>
    <t>System shall review the user accounts to identify the valid accounts.</t>
  </si>
  <si>
    <t>MLSR076_80</t>
  </si>
  <si>
    <t>Manufacturer shall have mechanism that support procedures for creating, changing, safeguarding, and terminating accounts when IVD systems is not using a commercial off-the-shelf (COTS) operating system (OS) or a COTS that supports account management</t>
  </si>
  <si>
    <t>MLSR076_81</t>
  </si>
  <si>
    <t>Manufacturer shall have the mechanisms that support procedures for creating, changing, safeguarding, and terminating accounts when IVD systems is using a COTS OS that support account management</t>
  </si>
  <si>
    <t>4.1.2</t>
  </si>
  <si>
    <t>Unique User Identification</t>
  </si>
  <si>
    <t>Manufacturer shall implement "unique user identification” to track and identify local and remote users</t>
  </si>
  <si>
    <t>MLSR076_84_ref</t>
  </si>
  <si>
    <t>MLSR076_87</t>
  </si>
  <si>
    <t>Health Care Organization (HCO) shall implement technical policies and procedures allowing access only to those persons or software programs that have been granted access rights .</t>
  </si>
  <si>
    <t>MLSR076_88</t>
  </si>
  <si>
    <t>4.1.3</t>
  </si>
  <si>
    <t>Authentication Mechanisms</t>
  </si>
  <si>
    <t>System shall implement a authentication mechanism to control the user access when creating a new user session or unlocking an existing user session. authentication mechanisms shall be based on password management, biometry, tokens, challenge/response.</t>
  </si>
  <si>
    <t>MLSR076_90</t>
  </si>
  <si>
    <t>4.1.3.1</t>
  </si>
  <si>
    <t>Password Creation and Modification</t>
  </si>
  <si>
    <t>System shall use strong passwords with criteria such as length, characters, case sensitivity and reuse history</t>
  </si>
  <si>
    <t>MLSR076_91</t>
  </si>
  <si>
    <t>4.1.3.2</t>
  </si>
  <si>
    <t>Password Protection, Disclosure, and Control</t>
  </si>
  <si>
    <t>System shall protect the password from disclosure and maintain the confidentiality of the password.</t>
  </si>
  <si>
    <t>MLSR076_92</t>
  </si>
  <si>
    <t>Organization shall ensure that passwords are not recorded where they are accessible or recognizable by any individual other than the originator.</t>
  </si>
  <si>
    <t>MLSR076_93</t>
  </si>
  <si>
    <t>System shall prohibit to use the same password for IVD system access and for personal access and passwords shall not be shared or used by individuals other than the originator.</t>
  </si>
  <si>
    <t>MLSR076_94</t>
  </si>
  <si>
    <t>System shall prohibit to use the “Remember Password” feature on any application or system and immediately change password if compromised.</t>
  </si>
  <si>
    <t>MLSR076_95</t>
  </si>
  <si>
    <t>System shall enforce to change the password periodically as required by regulatory agencies and enforce to change the default password for vendor and HCO user accounts before an IVD system is moved into a production environment</t>
  </si>
  <si>
    <t>MLSR076_96</t>
  </si>
  <si>
    <t>System shall disable the user account after a configured number of continuous unsuccessful login attempts.</t>
  </si>
  <si>
    <t>MLSR076_97</t>
  </si>
  <si>
    <t>System shall enforce to follow established guidelines to reset password and distribute to authorized users in a secure manner.</t>
  </si>
  <si>
    <t>MLSR076_98</t>
  </si>
  <si>
    <t>4.1.4</t>
  </si>
  <si>
    <t>Login Procedures Including Monitoring</t>
  </si>
  <si>
    <t>System shall use two-factor authentication which requires two of the authentication methods to establish a user session.</t>
  </si>
  <si>
    <t>MLSR076_99</t>
  </si>
  <si>
    <t>System shall capture audit log with successful and unsuccessful log-on attempts.</t>
  </si>
  <si>
    <t>MLSR076_100</t>
  </si>
  <si>
    <t>System shall capture and monitor audit log from user login to logout and local and remote access attempts.</t>
  </si>
  <si>
    <t>MLSR076_101</t>
  </si>
  <si>
    <t>4.1.5</t>
  </si>
  <si>
    <t>Authorizing Access</t>
  </si>
  <si>
    <t>System shall provide authorization mechanism when system provides the capability for multiple user roles.</t>
  </si>
  <si>
    <t>MLSR076_103</t>
  </si>
  <si>
    <t>4.1.6</t>
  </si>
  <si>
    <t>Vendor Access to an In Vitro Diagnostic System</t>
  </si>
  <si>
    <t>Organization shall manage the authentication and authorization of the vendor personnel, once the HCO grants the vendor personnel physical or IT access to the IVD system.</t>
  </si>
  <si>
    <t>MLSR076_104</t>
  </si>
  <si>
    <t>4.1.7</t>
  </si>
  <si>
    <t>Emergency Access Procedure</t>
  </si>
  <si>
    <t>System shall implement procedure for emergency access to obtain necessary electronic PHI data during an emergency.</t>
  </si>
  <si>
    <t>MLSR076_106</t>
  </si>
  <si>
    <t>4.1.8</t>
  </si>
  <si>
    <t>Automatic Logoff</t>
  </si>
  <si>
    <t>System shall logout the user after a defined period of inactivity of local or remote user</t>
  </si>
  <si>
    <t>MLSR076_107</t>
  </si>
  <si>
    <t>4.1.9</t>
  </si>
  <si>
    <t>Automatic Session Lockout</t>
  </si>
  <si>
    <t>System shall automatically lock the user session after a defined period of inactivity.</t>
  </si>
  <si>
    <t>MLSR076_108</t>
  </si>
  <si>
    <t>Preventing Unauthorized Access to the Operating System</t>
  </si>
  <si>
    <t>Manufacturer shall prevent the unauthorized access to OS features when user has privilege to access OS of the system</t>
  </si>
  <si>
    <t>MLSR076_108_ref</t>
  </si>
  <si>
    <t>MLSR076_109</t>
  </si>
  <si>
    <t>Manufacturer and HCO shall implement security measures to control access to the OS based on user credentials, when a system uses a separate IT security infrastructure from the OS.</t>
  </si>
  <si>
    <t>MLSR076_110</t>
  </si>
  <si>
    <t>System shall allow access to an authorized user to OS features and be kept minimum so that changes that compromise system security are prevented.</t>
  </si>
  <si>
    <t>MLSR076_113</t>
  </si>
  <si>
    <t>Network Security</t>
  </si>
  <si>
    <t>Organization shall evaluate the network exposure and provide network security controls for the IVD system data communication.</t>
  </si>
  <si>
    <t>MLSR076_114</t>
  </si>
  <si>
    <t>Organizations shall evaluate the network exposure of the deployed system and configure appropriate network security for the system data communication.</t>
  </si>
  <si>
    <t>MLSR076_115</t>
  </si>
  <si>
    <t>System shall implement building barriers such as firewalls between the IVD system, HCO network, and the Internet to restrict the inbound and outbound traffic.</t>
  </si>
  <si>
    <t>MLSR076_116</t>
  </si>
  <si>
    <t>System shall limit the use of remote computers, ports, and communication types to protect unauthorized access.</t>
  </si>
  <si>
    <t>MLSR076_117</t>
  </si>
  <si>
    <t>System shall segment the network into multiple sub networks and limit communication between the networks, possibly using technologies such as virtual LANs and demilitarized zones.</t>
  </si>
  <si>
    <t>MLSR076_118</t>
  </si>
  <si>
    <t>System shall prevent the use of externally addressable Internet protocol (IP) addresses in order to limit exposure to threats from the Internet.</t>
  </si>
  <si>
    <t>MLSR076_119</t>
  </si>
  <si>
    <t>System shall initialize transmission control protocol/IP (TCP/IP) filtering and/or IP security (IPsec) on network interface cards.</t>
  </si>
  <si>
    <t>MLSR076_120</t>
  </si>
  <si>
    <t>System shall encrypt communications through the use of IPsec tunnel mode to create virtual private networks (VPNs).</t>
  </si>
  <si>
    <t>MLSR076_121</t>
  </si>
  <si>
    <t>System shall authenticate network servers and clients through the use of Transport Layer Security (TLS)</t>
  </si>
  <si>
    <t>MLSR076_122</t>
  </si>
  <si>
    <t>System shall encrypt payloads through the use of approved standards (e.g., Advanced Encryption Standard)</t>
  </si>
  <si>
    <t>MLSR076_125</t>
  </si>
  <si>
    <t>4.3.2</t>
  </si>
  <si>
    <t>System Platform Hardening</t>
  </si>
  <si>
    <t>Manufacturer shall evaluate system platform including hardware, firmware, OS, and application software for security features and hardened as appropriate</t>
  </si>
  <si>
    <t>MLSR076_125_ref</t>
  </si>
  <si>
    <t>MLSR076_126</t>
  </si>
  <si>
    <t>HCO shall provide an environment that minimizes security threats against networked IVD systems as part of platform hardening.</t>
  </si>
  <si>
    <t>MLSR076_128</t>
  </si>
  <si>
    <t>4.3.3</t>
  </si>
  <si>
    <t>Security of Data Storage</t>
  </si>
  <si>
    <t>System shall store PHI securely such that it is accessible only by authenticated personnel with corresponding access rights.</t>
  </si>
  <si>
    <t>MLSR076_128_ref</t>
  </si>
  <si>
    <t>MLSR076_132</t>
  </si>
  <si>
    <t>System shall encrypt file system, back up certificates and store them in secure location</t>
  </si>
  <si>
    <t>MLSR076_132_1</t>
  </si>
  <si>
    <t>System shall encrypt backup file or backup partition, as well as backup data transferred through open networks</t>
  </si>
  <si>
    <t>MLSR076_132_2</t>
  </si>
  <si>
    <t>System shall store key used to encrypt data or authentication credentials external to the database</t>
  </si>
  <si>
    <t>MLSR076_132_3</t>
  </si>
  <si>
    <t>System shall use current industry standard cryptographic algorithms for database encryption</t>
  </si>
  <si>
    <t>MLSR076_133</t>
  </si>
  <si>
    <t>4.3.4</t>
  </si>
  <si>
    <t>Authentication of Data Sources</t>
  </si>
  <si>
    <t>Manufacturer shall implement mechanisms and procedures for authenticating data source.</t>
  </si>
  <si>
    <t>MLSR076_136</t>
  </si>
  <si>
    <t>4.3.5</t>
  </si>
  <si>
    <t>Transmission Security/ Encryption</t>
  </si>
  <si>
    <t>System shall implement technical security measures (such as encryption, secure protocols or secure payload, physically protected serial cable.) to protect the PHI data transmitted between systems from unauthorized access.</t>
  </si>
  <si>
    <t>MLSR076_139</t>
  </si>
  <si>
    <t>System shall encrypt communications using only specified encryption implementations such as FIPS and validate sender and recipient of a message using cryptography</t>
  </si>
  <si>
    <t>MLSR076_140</t>
  </si>
  <si>
    <t>System shall implement secure communication paths between source and destination via encryption tools/protocols such as SSH, TLS, VPN and emphasize use of protective measures when using less secure communication channels, when the data being transmitted contain PHI</t>
  </si>
  <si>
    <t>MLSR076_141</t>
  </si>
  <si>
    <t>4.3.6</t>
  </si>
  <si>
    <t>Transmission Integrity Controls</t>
  </si>
  <si>
    <t>System shall implement procedures and mechanisms to ensure the integrity of data transmitted between systems.</t>
  </si>
  <si>
    <t>MLSR076_144</t>
  </si>
  <si>
    <t>4.3.7</t>
  </si>
  <si>
    <t>Limit Access to Physical Input/Output</t>
  </si>
  <si>
    <t>Manufacturer shall protect IVD systems from unwanted access via external I/O devices.</t>
  </si>
  <si>
    <t>MLSR076_145</t>
  </si>
  <si>
    <t>System shall restrict the use of removable disk drives (floppy drives, CD/digital video disk drives), restrict use of peripheral ports to prevent the execution of unwanted software onto the computer.</t>
  </si>
  <si>
    <t>MLSR076_146</t>
  </si>
  <si>
    <t>4.3.8</t>
  </si>
  <si>
    <t>Tamper-Resistant Hardware</t>
  </si>
  <si>
    <t>Organization shall protect their computer hardware(IVD systems) from unwanted access to the physical computer components.</t>
  </si>
  <si>
    <t>MLSR076_147</t>
  </si>
  <si>
    <t>Protection From Malicious Software</t>
  </si>
  <si>
    <t>System shall implement technologies and procedures to detect and report malicious software.</t>
  </si>
  <si>
    <t>MLSR076_149</t>
  </si>
  <si>
    <t>4.4.1</t>
  </si>
  <si>
    <t>Operating System Vulnerabilities</t>
  </si>
  <si>
    <t>Manufacturer shall publish patches once the vulnerabilities are discovered</t>
  </si>
  <si>
    <t>MLSR076_152</t>
  </si>
  <si>
    <t>4.4.2</t>
  </si>
  <si>
    <t>Antivirus and Antispyware Software</t>
  </si>
  <si>
    <t>Organization shall use antivirus and antispyware software to protect computer systems from infection by computer viruses and related malicious software.</t>
  </si>
  <si>
    <t>MLSR016_154</t>
  </si>
  <si>
    <t>MLSR076_153</t>
  </si>
  <si>
    <t>System shall update and configure antispyware software similarly to antivirus software.</t>
  </si>
  <si>
    <t>MLSR076_156</t>
  </si>
  <si>
    <t>4.4.3</t>
  </si>
  <si>
    <t>Protection During Manufacturing, Transport, and Installation</t>
  </si>
  <si>
    <t>Manufacturers shall take necessary measures to protect systems from unauthorized access and malicious software during product development, manufacturing, transportation, and installation</t>
  </si>
  <si>
    <t>MLSR076_159</t>
  </si>
  <si>
    <t>Best Practice:</t>
  </si>
  <si>
    <t>System shall ensure only necessary access given to the employees who design, manufacture, and install systems to prevent gaining unneeded access to computer software and hardware.</t>
  </si>
  <si>
    <t>MLSR076_160</t>
  </si>
  <si>
    <t>Manufacturer shall perform final antivirus and antispyware scans before packaging of the system for transport</t>
  </si>
  <si>
    <t>MLSR076_163</t>
  </si>
  <si>
    <t>Manufacturer shall perform antivirus and antispyware scan upon installation of instrument to set a “clean” baseline for customers.</t>
  </si>
  <si>
    <t>MLSR076_164</t>
  </si>
  <si>
    <t>4.4.4</t>
  </si>
  <si>
    <t>Limit General Purpose Usage</t>
  </si>
  <si>
    <t>System shall prohibit to use unnecessary software on IVD systems and allow software for installation based on whitelisting.</t>
  </si>
  <si>
    <t>4.5.1</t>
  </si>
  <si>
    <t>Audit Controls/Accountability</t>
  </si>
  <si>
    <t>Manufacturer shall implement hardware, software and/or procedural mechanisms that record and examine the activity in the IVD system.</t>
  </si>
  <si>
    <t>MLSR076_169_ref</t>
  </si>
  <si>
    <t>System shall cover all operations in audit trail on sensitive information including protected health information and other data that impact instrument operation.</t>
  </si>
  <si>
    <t>MLSR076_170_ref</t>
  </si>
  <si>
    <t>MLSR076_171</t>
  </si>
  <si>
    <t>System shall capture the audit trail to track user sessions, access or modification of data and access or modification of PHI and critical functions</t>
  </si>
  <si>
    <t>MLSR076_173</t>
  </si>
  <si>
    <t>System shall capture the sensitive data as part of the audit trail with proper security mechanism, including the unique ID of the user performing this operation, the time, and the operation.</t>
  </si>
  <si>
    <t>MLSR076_174</t>
  </si>
  <si>
    <t>System shall capture the audit trail with general operations that may change the performance of the system or content of the data (e.g., any system access by power-users or administrators)</t>
  </si>
  <si>
    <t>MLSR076_175</t>
  </si>
  <si>
    <t>System shall be capable to archive the audit information and archiving time is defined by the vendor during product development and depends on the validity of the data to which the audit trail is related.</t>
  </si>
  <si>
    <t>System shall de-identify user information logged in audit trail while distributing to other institutions and also support reversible de-identification.</t>
  </si>
  <si>
    <t>MLSR076_177_ref</t>
  </si>
  <si>
    <t>MLSR076_179</t>
  </si>
  <si>
    <t>4.5.2</t>
  </si>
  <si>
    <t>Security Incident Reporting</t>
  </si>
  <si>
    <t>System shall implement mechanism to support detection of the security incidents and breaches as part of incident reporting.</t>
  </si>
  <si>
    <t>MLSR076_181</t>
  </si>
  <si>
    <t>System shall implement mechanisms or procedures for detecting and reporting security incidents to authorized individuals.</t>
  </si>
  <si>
    <t>MLSR076_184</t>
  </si>
  <si>
    <t>4.5.3</t>
  </si>
  <si>
    <t>Verify Data Integrity</t>
  </si>
  <si>
    <t>System shall implement mechanisms and procedures for ensuring integrity of data stored and processed.</t>
  </si>
  <si>
    <t>MLSR076_188</t>
  </si>
  <si>
    <t>System shall ensure the software updates are digitally signed during release/production and the signature and the origin of the certificate should be checked during installation.</t>
  </si>
  <si>
    <t>MLSR076_190</t>
  </si>
  <si>
    <t>System shall ensure the backup/archive data are digitally signed and the signature should be checked during retrieval</t>
  </si>
  <si>
    <t>MLSR076_191</t>
  </si>
  <si>
    <t>4.5.4</t>
  </si>
  <si>
    <t>Verify Application Integrity</t>
  </si>
  <si>
    <t>System shall implement a mechanism for verifying the integrity of the application and its components.</t>
  </si>
  <si>
    <t>MLSR076_199</t>
  </si>
  <si>
    <t>4.6.1</t>
  </si>
  <si>
    <t>Data Backup and Storage</t>
  </si>
  <si>
    <t>System shall have a secure backup and restore mechanism and procedures to create a retrievable, exact copy of the system data.</t>
  </si>
  <si>
    <t>4.6.2</t>
  </si>
  <si>
    <t>Fail Open</t>
  </si>
  <si>
    <t>Manufacturer of IVD systems shall design systems to “fail open” in the event when the security infrastructure malfunctions.</t>
  </si>
  <si>
    <t>MLSR076_201_ref</t>
  </si>
  <si>
    <t>MLSR076_204</t>
  </si>
  <si>
    <t>Manufacturer shall design system to recover from disk drives when the rest of the system is down and allow only authorized users to access those disks.</t>
  </si>
  <si>
    <t>4.7.2</t>
  </si>
  <si>
    <t>Data Segregation for Cloud-based In Vitro Diagnostic Systems</t>
  </si>
  <si>
    <t>Cloud based IVD systems shall ensure the data stored in cloud is isolated from other data and available only to the HCO and Business associates.</t>
  </si>
  <si>
    <t>MLSR076_209_ref</t>
  </si>
  <si>
    <t>MLSR076_210</t>
  </si>
  <si>
    <t>Cloud based system shall ensure that data owned by the HCO and stored in the cloud cannot be accessed by administrators of the cloud application and its environment</t>
  </si>
  <si>
    <t>MLSR076_222</t>
  </si>
  <si>
    <t>4.7.5</t>
  </si>
  <si>
    <t>Third Party Cloud Providers</t>
  </si>
  <si>
    <t>System shall ensure that the data stored does not violate any legal constraints on data transmission across border when using a third party cloud provider.</t>
  </si>
  <si>
    <t>MLSR076_231</t>
  </si>
  <si>
    <t>4.8.1</t>
  </si>
  <si>
    <t>Connection of the Mobile Device to the In Vitro Diagnostic System</t>
  </si>
  <si>
    <t>IVD system shall be designed to permit connection only to mutually authenticated mobile devices.</t>
  </si>
  <si>
    <t>MLSR305_158</t>
  </si>
  <si>
    <t>MLSR076_232</t>
  </si>
  <si>
    <t>System shall reduce potential misuse of the connection by maintaining the integrity and confidentiality of the transmission</t>
  </si>
  <si>
    <t>MLSR076_238</t>
  </si>
  <si>
    <t>Assumption:</t>
  </si>
  <si>
    <t>System shall ensure connection of mobile devices to maintain confidentiality, integrity, and authenticity of transmitted data</t>
  </si>
  <si>
    <t>MLSR305_135</t>
  </si>
  <si>
    <t>MLSR076_239</t>
  </si>
  <si>
    <t>IVD application on mobile device connecting to IVD system shall be authenticated.</t>
  </si>
  <si>
    <t>MLSR076_240</t>
  </si>
  <si>
    <t>IVD systems connecting to IVD applications on mobile devices shall be authenticated.</t>
  </si>
  <si>
    <t>wireless</t>
  </si>
  <si>
    <t>MLSR076_243</t>
  </si>
  <si>
    <t>4.8.2</t>
  </si>
  <si>
    <t>Mobile Device User Access of the In Vitro Diagnostic System</t>
  </si>
  <si>
    <t>System shall authenticate the user connecting from mobile device to the IVD system</t>
  </si>
  <si>
    <t>MLSR076_250</t>
  </si>
  <si>
    <t>4.8.3</t>
  </si>
  <si>
    <t>In Vitro Diagnostic System Data Storage on Mobile Devices</t>
  </si>
  <si>
    <t>System shall encrypt IVD system data in application on mobile device.</t>
  </si>
  <si>
    <t>MLSR076_251</t>
  </si>
  <si>
    <t>System shall limit the validity of system data stored on mobile devices to the current user session.</t>
  </si>
  <si>
    <t>MLSR076_251_ref</t>
  </si>
  <si>
    <t>MLSR076_252</t>
  </si>
  <si>
    <t>System shall remove the data stored on mobile devices at the end of the current user session.</t>
  </si>
  <si>
    <t>MLSR076_262</t>
  </si>
  <si>
    <t>4.8.4</t>
  </si>
  <si>
    <t>Monitoring and Controlling Operation of an In Vitro Diagnostic Instrument From Mobile Devices</t>
  </si>
  <si>
    <t>Device shall have the capability to limit access to the operational monitoring data dependent on the system context-specific user authorization</t>
  </si>
  <si>
    <t>MLSR076_263</t>
  </si>
  <si>
    <t>Mobile applications used for monitoring the operation of device shall have capability to limit viewing the operational monitoring data dependent on the system context-specific user authorization.</t>
  </si>
  <si>
    <t>MLSR076_270</t>
  </si>
  <si>
    <t>Device shall have the capability to limit access enabling changing of the operational parameters dependent on the system context–specific user authorization</t>
  </si>
  <si>
    <t>MLSR076_271</t>
  </si>
  <si>
    <t>Device shall have the capability to limit access triggering action on the device dependent on the system context–specific user authorization</t>
  </si>
  <si>
    <t>MLSR076_272</t>
  </si>
  <si>
    <t>Mobile applications controlling the operation of device shall have the capability to limit the user interaction related to changing of operational parameters or triggering actions of the device based on the system context–specific user authorization.</t>
  </si>
  <si>
    <t>MLSR076_277</t>
  </si>
  <si>
    <t>4.8.5</t>
  </si>
  <si>
    <t>Presenting and Editing of Specimen Data on Mobile Devices</t>
  </si>
  <si>
    <t>Systems shall have capability to limit access for viewing and editing data based on specimen context–specific user authorization.</t>
  </si>
  <si>
    <t>MLSR076_278</t>
  </si>
  <si>
    <t>Mobile application for presenting the data shall have capability to limit the viewing and editing data based on specimen context–specific user authorization.</t>
  </si>
  <si>
    <t>MLSR076_321</t>
  </si>
  <si>
    <t>5.1.1</t>
  </si>
  <si>
    <t>System shall validate input from all sources both on the client side and the server side.</t>
  </si>
  <si>
    <t>MLSR076_328</t>
  </si>
  <si>
    <t>System shall encode all data using well-established algorithms in a trusted environment.</t>
  </si>
  <si>
    <t>MLSR076_328_ref</t>
  </si>
  <si>
    <t>MLSR076_329</t>
  </si>
  <si>
    <t>System shall implement a secure session management for data stored.</t>
  </si>
  <si>
    <t>MLSR076_330</t>
  </si>
  <si>
    <t>System shall use strongly typed parameterized queries to avoid SQL injection</t>
  </si>
  <si>
    <t>MLSR076_331</t>
  </si>
  <si>
    <t>System shall implement procedures to prevent cross-site scripting</t>
  </si>
  <si>
    <t>MLSR076_332</t>
  </si>
  <si>
    <t>Organisation shall identify and avoid unsafe application programming interface calls.</t>
  </si>
  <si>
    <t>MLSR076_371</t>
  </si>
  <si>
    <t>Preventive Actions (Software Patches, Virus Definitions)</t>
  </si>
  <si>
    <t>System shall prevent unauthorized network access through the use of firewall protection.</t>
  </si>
  <si>
    <t>MLSR076_372</t>
  </si>
  <si>
    <t>System shall disable unnecessary services.</t>
  </si>
  <si>
    <t>MLSR076_373</t>
  </si>
  <si>
    <t>System shall limit or prevent users from directly accessing external or internet systems</t>
  </si>
  <si>
    <t>MLSR050_53</t>
  </si>
  <si>
    <t>Sec Req</t>
  </si>
  <si>
    <t>3.1.1</t>
  </si>
  <si>
    <t>System shall limit access to authorized users, processes acting on behalf of authorized users, and devices (including other systems)</t>
  </si>
  <si>
    <t>MLSR050_54</t>
  </si>
  <si>
    <t>3.1.2</t>
  </si>
  <si>
    <t>System shall limit access to the types of transactions and functions that authorized users are permitted to execute.</t>
  </si>
  <si>
    <t>MLSR050_56</t>
  </si>
  <si>
    <t>System shall control the flow of CUI through firewalls, in accordance with approved authorizations at external boundaries.</t>
  </si>
  <si>
    <t>MLSR050_57</t>
  </si>
  <si>
    <t xml:space="preserve">3.1.4 </t>
  </si>
  <si>
    <t>System shall separate the duties of individuals to reduce the risk of malevolent activity without collusion.</t>
  </si>
  <si>
    <t>MLSR050_58</t>
  </si>
  <si>
    <t xml:space="preserve">3.1.5 </t>
  </si>
  <si>
    <t>System shall employ the principle of least privilege, including for specific security functions and privileged accounts which are necessary to accomplish tasks.</t>
  </si>
  <si>
    <t>MLSR050_59</t>
  </si>
  <si>
    <t xml:space="preserve">3.1.6 </t>
  </si>
  <si>
    <t>System shall use non-privileged accounts/roles when accessing non-security functions.</t>
  </si>
  <si>
    <t>MLSR050_60</t>
  </si>
  <si>
    <t xml:space="preserve">3.1.7 </t>
  </si>
  <si>
    <t>System shall prevent non-privileged users from executing privileged functions in order to maintain the system integrity, capture those execution in audit logs.</t>
  </si>
  <si>
    <t>MLSR050_61</t>
  </si>
  <si>
    <t xml:space="preserve">3.1.8 </t>
  </si>
  <si>
    <t>System shall limit unsuccessful login attempts such as automatic lockouts, delay algorithm.</t>
  </si>
  <si>
    <t>MLSR050_62</t>
  </si>
  <si>
    <t xml:space="preserve">3.1.9 </t>
  </si>
  <si>
    <t>System shall provide privacy and security notices consistent with applicable CUI rules used only for access via logon interfaces</t>
  </si>
  <si>
    <t>MLSR050_63</t>
  </si>
  <si>
    <t>3.1.10</t>
  </si>
  <si>
    <t>System shall use session lock with pattern-hiding displays to prevent access and viewing of data after a period of inactivity</t>
  </si>
  <si>
    <t>MLSR050_64</t>
  </si>
  <si>
    <t>3.1.11</t>
  </si>
  <si>
    <t>System shall automatically terminate a user session after a defined condition.</t>
  </si>
  <si>
    <t>MLSR050_65</t>
  </si>
  <si>
    <t>3.1.12</t>
  </si>
  <si>
    <t>System shall monitor and control remote access sessions to prevent from cyber-attacks.</t>
  </si>
  <si>
    <t>MLSR050_66</t>
  </si>
  <si>
    <t>3.1.13</t>
  </si>
  <si>
    <t>System shall employ cryptographic mechanism to protect the confidentiality of remote access sessions.</t>
  </si>
  <si>
    <t>MLSR050_67</t>
  </si>
  <si>
    <t>3.1.14</t>
  </si>
  <si>
    <t>System shall route the remote access via managed access control points to avoid unauthorized access.</t>
  </si>
  <si>
    <t>MLSR050_68</t>
  </si>
  <si>
    <t>3.1.15</t>
  </si>
  <si>
    <t>System shall authorize remote execution of privileged commands and remote access to security related information to prevent unauthorized modifications/access.</t>
  </si>
  <si>
    <t>MLSR050_69</t>
  </si>
  <si>
    <t>3.1.16</t>
  </si>
  <si>
    <t>System shall authorize wireless access prior to allowing such connections.</t>
  </si>
  <si>
    <t>MLSR050_70</t>
  </si>
  <si>
    <t>3.1.17</t>
  </si>
  <si>
    <t>System shall use authentication and encryption to protect the wireless access.</t>
  </si>
  <si>
    <t>MLSR050_71</t>
  </si>
  <si>
    <t>3.1.18</t>
  </si>
  <si>
    <t>System shall control the connection of mobile device by applying usage restrictions and implementation guidelines.</t>
  </si>
  <si>
    <t>MLSR050_72</t>
  </si>
  <si>
    <t>3.1.19</t>
  </si>
  <si>
    <t>System shall encrypt controlled unclassified information on mobile devices and mobile computing platforms</t>
  </si>
  <si>
    <t>MLSR050_73</t>
  </si>
  <si>
    <t>3.1.20</t>
  </si>
  <si>
    <t>System shall verify and control/limit connections to and use of external system.</t>
  </si>
  <si>
    <t>MLSR050_74</t>
  </si>
  <si>
    <t>3.1.21</t>
  </si>
  <si>
    <t>System shall limit use of portable storage devices on external systems to prevent from unauthorized user</t>
  </si>
  <si>
    <t>MLSR050_75</t>
  </si>
  <si>
    <t>3.1.22</t>
  </si>
  <si>
    <t>System shall control CUI posted or processed on publicly accessible systems</t>
  </si>
  <si>
    <t>MLSR050_86</t>
  </si>
  <si>
    <t>3.3.1</t>
  </si>
  <si>
    <t>System shall capture and retain audit logs and records to the extent needed, enable the monitoring, analysis, investigation, and reporting of unlawful or unauthorized system activity.</t>
  </si>
  <si>
    <t>MLSR050_87</t>
  </si>
  <si>
    <t>3.3.2</t>
  </si>
  <si>
    <t>System shall ensure the actions of individual users are uniquely traced so that they can be accountable for their actions</t>
  </si>
  <si>
    <t>MLSR050_89</t>
  </si>
  <si>
    <t>3.3.3</t>
  </si>
  <si>
    <t>System shall frequently review and update the logged events</t>
  </si>
  <si>
    <t>MLSR050_90</t>
  </si>
  <si>
    <t>3.3.4</t>
  </si>
  <si>
    <t>System shall alert in the event of an audit logging process failure.</t>
  </si>
  <si>
    <t>MLSR050_91</t>
  </si>
  <si>
    <t>3.3.5</t>
  </si>
  <si>
    <t>System shall correlate audit record review, analysis, and reporting processes for investigation and to identify suspicious activities.</t>
  </si>
  <si>
    <t>MLSR050_92</t>
  </si>
  <si>
    <t>3.3.6</t>
  </si>
  <si>
    <t>System shall provide audit record reduction and report generation to support on-demand analysis and reporting</t>
  </si>
  <si>
    <t>MLSR050_93</t>
  </si>
  <si>
    <t>3.3.7</t>
  </si>
  <si>
    <t>System shall provide capability that compares and synchronizes internal system clocks with an authoritative source to generate time stamps for audit records.</t>
  </si>
  <si>
    <t>MLSR050_94</t>
  </si>
  <si>
    <t>3.3.8</t>
  </si>
  <si>
    <t>System shall protect audit information and audit logging tools from unauthorized access, modification, and deletion.</t>
  </si>
  <si>
    <t>MLSR050_95</t>
  </si>
  <si>
    <t>3.3.9</t>
  </si>
  <si>
    <t>System shall limit management of audit logging functionality to a subset of privileged users.</t>
  </si>
  <si>
    <t>MLSR050_99</t>
  </si>
  <si>
    <t>3.4.1</t>
  </si>
  <si>
    <t>System shall establish and maintain baseline configurations and inventories of organizational systems throughout the respective system development life cycles.</t>
  </si>
  <si>
    <t>MLSR050_100</t>
  </si>
  <si>
    <t>3.4.2</t>
  </si>
  <si>
    <t>System shall establish and enforce security configuration settings for information technology products employed in organizational systems.</t>
  </si>
  <si>
    <t>MLSR050_102</t>
  </si>
  <si>
    <t>3.4.3</t>
  </si>
  <si>
    <t>System shall implement configuration change control to track, review, approve or disapprove and log changes to organizational systems.</t>
  </si>
  <si>
    <t>MLSR050_105</t>
  </si>
  <si>
    <t>3.4.6</t>
  </si>
  <si>
    <t>System shall employ the principle of least functionality by configuring organizational systems to provide only essential capabilities</t>
  </si>
  <si>
    <t>MLSR050_107</t>
  </si>
  <si>
    <t>3.4.8</t>
  </si>
  <si>
    <t>System shall apply deny-by-exception (blacklisting) policy to prevent the use of unauthorized software or deny-all, permit-by-exception (whitelisting) policy to allow the execution of authorized software.</t>
  </si>
  <si>
    <t>MLSR050_108</t>
  </si>
  <si>
    <t>3.4.9</t>
  </si>
  <si>
    <t>System shall control and monitor user-installed software.</t>
  </si>
  <si>
    <t>MLSR050_112</t>
  </si>
  <si>
    <t>3.5.1</t>
  </si>
  <si>
    <t>System shall identify system users, processes acting on behalf of users, and devices.</t>
  </si>
  <si>
    <t>MLSR050_113</t>
  </si>
  <si>
    <t>3.5.2</t>
  </si>
  <si>
    <t>System shall authenticate or verify the identities of users, processes, or devices, as a prerequisite to allowing access to organizational systems</t>
  </si>
  <si>
    <t>MLSR050_115</t>
  </si>
  <si>
    <t>3.5.3</t>
  </si>
  <si>
    <t>System shall use multifactor authentication for local and network access to privileged accounts and for network access to non-privileged accounts.</t>
  </si>
  <si>
    <t>MLSR050_116</t>
  </si>
  <si>
    <t>3.5.4</t>
  </si>
  <si>
    <t>System shall employ replay-resistant authentication mechanisms for network access to privileged and non-privileged accounts.</t>
  </si>
  <si>
    <t>MLSR050_117</t>
  </si>
  <si>
    <t xml:space="preserve">3.5.5 </t>
  </si>
  <si>
    <t>System shall prevent reuse of identifiers for a defined period such as prohibit to use previously used individual, group, role, or device identifiers to different individuals, groups, roles, or devices for a defined time period.</t>
  </si>
  <si>
    <t>MLSR050_118</t>
  </si>
  <si>
    <t xml:space="preserve">3.5.6 </t>
  </si>
  <si>
    <t>System shall disable identifiers after a defined period of inactivity.</t>
  </si>
  <si>
    <t>MLSR050_119</t>
  </si>
  <si>
    <t xml:space="preserve">3.5.7 </t>
  </si>
  <si>
    <t>System shall enforce a minimum password complexity and change of characters when new passwords are created.</t>
  </si>
  <si>
    <t>MLSR050_120</t>
  </si>
  <si>
    <t xml:space="preserve">3.5.8 </t>
  </si>
  <si>
    <t>System shall prohibit password reused for a specified number of generations</t>
  </si>
  <si>
    <t>MLSR050_121</t>
  </si>
  <si>
    <t xml:space="preserve">3.5.9 </t>
  </si>
  <si>
    <t>System shall allow temporary password use for system logons and enforce to immediate change to a permanent password.</t>
  </si>
  <si>
    <t>MLSR050_122</t>
  </si>
  <si>
    <t>3.5.10</t>
  </si>
  <si>
    <t>System shall store and transmit only cryptographically-protected passwords.</t>
  </si>
  <si>
    <t>MLSR050_123</t>
  </si>
  <si>
    <t>3.5.11</t>
  </si>
  <si>
    <t>System shall obscure feedback of authentication information to prevent from unauthorized individuals.</t>
  </si>
  <si>
    <t>MLSR050_128</t>
  </si>
  <si>
    <t>3.6.2</t>
  </si>
  <si>
    <t>System shall track, document, and report incidents to designated officials and/or authorities both internal and external to the organization</t>
  </si>
  <si>
    <t>MLSR050_137</t>
  </si>
  <si>
    <t>3.7.3</t>
  </si>
  <si>
    <t>System shall sanitize the CUI stored in equipment before removed for off-site maintenance.</t>
  </si>
  <si>
    <t>MLSR050_138</t>
  </si>
  <si>
    <t>3.7.4</t>
  </si>
  <si>
    <t>System shall check media containing diagnostic and test programs for malicious code before using in organizational systems.</t>
  </si>
  <si>
    <t>MLSR050_139</t>
  </si>
  <si>
    <t>3.7.5</t>
  </si>
  <si>
    <t>System shall use multifactor authentication to establish nonlocal maintenance sessions via external network connections and terminate such connections when nonlocal maintenance is complete.</t>
  </si>
  <si>
    <t>MLSR050_140</t>
  </si>
  <si>
    <t>3.7.6</t>
  </si>
  <si>
    <t>System shall supervise the maintenance activities of maintenance personnel without required access authorization.</t>
  </si>
  <si>
    <t>MLSR050_144</t>
  </si>
  <si>
    <t>3.8.1</t>
  </si>
  <si>
    <t>System shall protect system media containing CUI, both paper and digital.</t>
  </si>
  <si>
    <t>MLSR050_146</t>
  </si>
  <si>
    <t>3.8.3</t>
  </si>
  <si>
    <t>System shall sanitize or destroy media containing CUI before disposal or release for reuse.</t>
  </si>
  <si>
    <t>MLSR050_149</t>
  </si>
  <si>
    <t>3.8.5</t>
  </si>
  <si>
    <t>System shall control access to media containing CUI and maintain accountability for media during transport outside of controlled areas.</t>
  </si>
  <si>
    <t>MLSR050_150</t>
  </si>
  <si>
    <t>3.8.6</t>
  </si>
  <si>
    <t>System shall implement cryptographic mechanisms to protect the confidentiality of CUI stored on digital media during transport unless otherwise protected by alternative physical safeguards.</t>
  </si>
  <si>
    <t>MLSR050_151</t>
  </si>
  <si>
    <t>3.8.7</t>
  </si>
  <si>
    <t>System shall control the use of removable media on system components.</t>
  </si>
  <si>
    <t>MLSR050_152</t>
  </si>
  <si>
    <t>3.8.8</t>
  </si>
  <si>
    <t>System shall prohibit the use of portable storage devices when such devices have no identifiable owner.</t>
  </si>
  <si>
    <t>3.8.9</t>
  </si>
  <si>
    <t>System shall protect the confidentiality of backup CUI at storage locations.</t>
  </si>
  <si>
    <t>MLSR050_153_ref</t>
  </si>
  <si>
    <t>MLSR050_158</t>
  </si>
  <si>
    <t>3.9.2</t>
  </si>
  <si>
    <t>Organization shall protect CUI by disabling system access during and after personnel actions such as terminations and transfers.</t>
  </si>
  <si>
    <t>MLSR050_175</t>
  </si>
  <si>
    <t>3.11.2</t>
  </si>
  <si>
    <t>Organization shall scan the systems and applications for vulnerabilities at a defined frequency or when new vulnerabilities are identified.</t>
  </si>
  <si>
    <t>MLSR050_182</t>
  </si>
  <si>
    <t>3.12.3</t>
  </si>
  <si>
    <t>System shall frequently monitor security controls to ensure the continued effectiveness of the controls.</t>
  </si>
  <si>
    <t>MLSR050_189</t>
  </si>
  <si>
    <t>3.13.1</t>
  </si>
  <si>
    <t>System shall monitor, control, protect communications at the external boundaries and key internal boundaries of organizational systems.</t>
  </si>
  <si>
    <t>MLSR050_193</t>
  </si>
  <si>
    <t xml:space="preserve">3.13.4 </t>
  </si>
  <si>
    <t>System shall prevent unauthorized and unintended information transfer via shared system resources</t>
  </si>
  <si>
    <t>MLSR050_194</t>
  </si>
  <si>
    <t>3.13.5</t>
  </si>
  <si>
    <t>System shall implement subnetworks for publicly accessible system components that are physically or logically separated from internal networks.</t>
  </si>
  <si>
    <t>MLSR050_195</t>
  </si>
  <si>
    <t xml:space="preserve">3.13.6 </t>
  </si>
  <si>
    <t>System shall deny network communication traffic by default and allow network communications traffic by exception through managed interfaces.</t>
  </si>
  <si>
    <t>MLSR050_196</t>
  </si>
  <si>
    <t xml:space="preserve">3.13.7 </t>
  </si>
  <si>
    <t>System shall prevent remote devices from establishing non-remote connections and communicating via some other connection to resources in external networks.</t>
  </si>
  <si>
    <t>MLSR050_197</t>
  </si>
  <si>
    <t>3.13.8</t>
  </si>
  <si>
    <t>System shall implement cryptographic mechanisms to prevent unauthorized information disclosure of CUI during data transmission.</t>
  </si>
  <si>
    <t>MLSR050_198</t>
  </si>
  <si>
    <t xml:space="preserve">3.13.9 </t>
  </si>
  <si>
    <t>System shall terminate network connections associated with communications sessions at the end of the sessions or after a defined period of inactivity.</t>
  </si>
  <si>
    <t>MLSR050_199</t>
  </si>
  <si>
    <t>3.13.10</t>
  </si>
  <si>
    <t>System shall implement and manage cryptographic keys for cryptography employed in organizational systems.</t>
  </si>
  <si>
    <t>MLSR050_200</t>
  </si>
  <si>
    <t>3.13.11</t>
  </si>
  <si>
    <t>System shall employ FIPS-validated cryptography to protect the confidentiality of CUI.</t>
  </si>
  <si>
    <t>MLSR050_202</t>
  </si>
  <si>
    <t>3.13.13</t>
  </si>
  <si>
    <t>System shall control and monitor the use of mobile code</t>
  </si>
  <si>
    <t>MLSR050_204</t>
  </si>
  <si>
    <t>3.13.15</t>
  </si>
  <si>
    <t>System shall protect the authenticity of communications sessions.</t>
  </si>
  <si>
    <t>MLSR050_205</t>
  </si>
  <si>
    <t>3.13.16</t>
  </si>
  <si>
    <t>System shall protect the confidentiality of CUI at rest</t>
  </si>
  <si>
    <t>MLSR050_210</t>
  </si>
  <si>
    <t>3.14.2</t>
  </si>
  <si>
    <t>System shall provide protection from malicious code at designated locations within organizational systems</t>
  </si>
  <si>
    <t>MLSR050_211</t>
  </si>
  <si>
    <t>3.14.3</t>
  </si>
  <si>
    <t>System shall monitor security alerts, advisories and take appropriate actions in response</t>
  </si>
  <si>
    <t>MLSR050_212</t>
  </si>
  <si>
    <t>3.14.4</t>
  </si>
  <si>
    <t>System shall update malicious code protection mechanisms when new releases are available.</t>
  </si>
  <si>
    <t>MLSR050_213</t>
  </si>
  <si>
    <t>3.14.5</t>
  </si>
  <si>
    <t>System shall perform periodic scans of organizational systems and real-time scans of files from external sources as files are downloaded, opened, or executed.</t>
  </si>
  <si>
    <t>MLSR050_214</t>
  </si>
  <si>
    <t>3.14.6</t>
  </si>
  <si>
    <t>System shall monitor organizational systems, including inbound and outbound communications traffic, to detect attacks and indicators of potential attacks.</t>
  </si>
  <si>
    <t>MLSR050_215</t>
  </si>
  <si>
    <t>3.14.7</t>
  </si>
  <si>
    <t>System shall identify unauthorized use of organizational systems.</t>
  </si>
  <si>
    <t>MLSR074_228</t>
  </si>
  <si>
    <t>8.3.3</t>
  </si>
  <si>
    <t>Control</t>
  </si>
  <si>
    <t>Organization shall ensure that media containing information is protected against unauthorized access, misuse or corruption during transportation.</t>
  </si>
  <si>
    <t>MLSR074_251</t>
  </si>
  <si>
    <t>9.1.2</t>
  </si>
  <si>
    <t>System shall provide access to network and network services that users are specifically authorized to use.</t>
  </si>
  <si>
    <t>MLSR074_259</t>
  </si>
  <si>
    <t>9.2.1</t>
  </si>
  <si>
    <t>System shall implement a formal user registration and de-registration process to enable assignment of access rights.</t>
  </si>
  <si>
    <t>MLSR074_268</t>
  </si>
  <si>
    <t>9.2.3</t>
  </si>
  <si>
    <t>System shall restrict and control the allocation and use of privileged access rights</t>
  </si>
  <si>
    <t>MLSR074_269</t>
  </si>
  <si>
    <t>Implementation guidance</t>
  </si>
  <si>
    <t>System shall identify the privileged access rights associated with each system or process, e.g. operating system, database management system and each application and the users to whom they need to be allocated</t>
  </si>
  <si>
    <t>MLSR074_270</t>
  </si>
  <si>
    <t>System shall implement authorization process and maintain a record of all privileges allocated.</t>
  </si>
  <si>
    <t>MLSR074_276</t>
  </si>
  <si>
    <t>9.2.4</t>
  </si>
  <si>
    <t>System shall ensure that when users are required to maintain their own secret authentication information they are provided initially with secure temporary secret authentication information`, which they are forced to change on first use;</t>
  </si>
  <si>
    <t>MLSR074_277</t>
  </si>
  <si>
    <t>System shall ensure that temporary secret authentication information is given to users in a secure manner; the use of external parties or unprotected (clear text) electronic mail messages are avoided</t>
  </si>
  <si>
    <t>MLSR080_239</t>
  </si>
  <si>
    <t>MLSR074_278</t>
  </si>
  <si>
    <t>System shall ensure that temporary secret authentication information is unique to an individual and is not guessable;</t>
  </si>
  <si>
    <t>MLSR074_279</t>
  </si>
  <si>
    <t>System shall ensure that users acknowledge receipt of secret authentication information</t>
  </si>
  <si>
    <t>MLSR074_280</t>
  </si>
  <si>
    <t>System shall ensure that default vendor secret authentication information is altered following installation of systems or software.</t>
  </si>
  <si>
    <t>MLSR074_283</t>
  </si>
  <si>
    <t>9.2.5</t>
  </si>
  <si>
    <t>System shall implement mechanisms such that asset owners can review users’ access rights at regular intervals.</t>
  </si>
  <si>
    <t>System shall have capability to review users’ access rights at regular intervals and after any changes, such as promotion, demotion or termination of employment.</t>
  </si>
  <si>
    <t>MLSR074_284_ref</t>
  </si>
  <si>
    <t>MLSR074_285</t>
  </si>
  <si>
    <t>System shall have capability to review and re-allocate user access rights when moving from one role to another within the same organization.</t>
  </si>
  <si>
    <t>MLSR074_286</t>
  </si>
  <si>
    <t>System shall ensure that authorizations for privileged access rights are reviewed at more frequent intervals;</t>
  </si>
  <si>
    <t>MLSR074_287</t>
  </si>
  <si>
    <t>System shall ensure that privilege allocations are checked at regular intervals to ensure that unauthorized privileges have not been obtained;</t>
  </si>
  <si>
    <t>MLSR074_288</t>
  </si>
  <si>
    <t>System shall log changes to privileged accounts for periodic review.</t>
  </si>
  <si>
    <t>MLSR074_291</t>
  </si>
  <si>
    <t>9.2.6</t>
  </si>
  <si>
    <t>Organization shall ensure that the access rights of all employees and external party users to information and information processing facilities are removed upon termination of their employment, contract or agreement, or adjusted upon change.</t>
  </si>
  <si>
    <t>MLSR074_310</t>
  </si>
  <si>
    <t>9.4.2</t>
  </si>
  <si>
    <t>System shall ensure that access to systems and applications is controlled by a secure log-on procedure according to the access control policy.</t>
  </si>
  <si>
    <t>MLSR074_313</t>
  </si>
  <si>
    <t>System shall prohibit to display system or application identifiers until the log-on process has been successfully completed.</t>
  </si>
  <si>
    <t>MLSR074_314</t>
  </si>
  <si>
    <t>System shall display a general notice warning that the computer should only be accessed by authorized users as part of secure logon procedures</t>
  </si>
  <si>
    <t>MLSR074_315</t>
  </si>
  <si>
    <t>System shall prohibit to provide help messages during the log-on procedure that would aid an unauthorized user;</t>
  </si>
  <si>
    <t>MLSR074_316</t>
  </si>
  <si>
    <t>System shall validate the log-on information only on completion of all input data and it shall not indicate which part of the data is correct or incorrect.</t>
  </si>
  <si>
    <t>MLSR074_317</t>
  </si>
  <si>
    <t>System shall protect against brute force log-on attempts</t>
  </si>
  <si>
    <t>MLSR074_318</t>
  </si>
  <si>
    <t>System shall log unsuccessful and successful attempts</t>
  </si>
  <si>
    <t>MLSR074_319</t>
  </si>
  <si>
    <t>System shall raise a security event if a potential attempted or successful breach of log-on controls is detected</t>
  </si>
  <si>
    <t>MLSR074_320</t>
  </si>
  <si>
    <t>System shall display date and time of the previous successful log-on details of any unsuccessful log-on attempts since the last successful log-on.</t>
  </si>
  <si>
    <t>MLSR074_321</t>
  </si>
  <si>
    <t>System shall prohibit display of password being entered;</t>
  </si>
  <si>
    <t>MLSR074_322</t>
  </si>
  <si>
    <t>System shall not transmit passwords in clear text over a network;</t>
  </si>
  <si>
    <t>MLSR074_323</t>
  </si>
  <si>
    <t>System shall terminate inactive sessions after a defined period of inactivity, especially in high risk locations such as public or external areas outside the organization’s security management or on mobile devices;</t>
  </si>
  <si>
    <t>MLSR074_324</t>
  </si>
  <si>
    <t>System shall restrict connection times to provide additional security for high-risk applications and reduce the window of opportunity for unauthorized access.</t>
  </si>
  <si>
    <t>MLSR074_329</t>
  </si>
  <si>
    <t>9.4.3</t>
  </si>
  <si>
    <t>System shall enforce the use of individual user IDs and passwords to maintain accountability;</t>
  </si>
  <si>
    <t>MLSR074_330</t>
  </si>
  <si>
    <t>System shall allow users to select and change their own passwords and include a confirmation procedure to allow for input errors;</t>
  </si>
  <si>
    <t>MLSR074_331</t>
  </si>
  <si>
    <t>System shall enforce a choice of quality passwords;</t>
  </si>
  <si>
    <t>MLSR074_332</t>
  </si>
  <si>
    <t>System force users to change their passwords at the first log-on;</t>
  </si>
  <si>
    <t>MLSR074_333</t>
  </si>
  <si>
    <t>System shall enforce regular password changes and as needed;</t>
  </si>
  <si>
    <t>MLSR074_334</t>
  </si>
  <si>
    <t>System shall maintain a record of previously used passwords and prevent re-use;</t>
  </si>
  <si>
    <t>MLSR074_335</t>
  </si>
  <si>
    <t>System shall not display passwords on the screen when being entered;</t>
  </si>
  <si>
    <t>MLSR074_336</t>
  </si>
  <si>
    <t>System shall store password files separately from application system data;</t>
  </si>
  <si>
    <t>MLSR074_337</t>
  </si>
  <si>
    <t>System shall store and transmit passwords in protected form.</t>
  </si>
  <si>
    <t>MLSR074_340</t>
  </si>
  <si>
    <t>9.4.4</t>
  </si>
  <si>
    <t>System shall restrict and tightly control the use of utility programs that might be capable of overriding system and application controls</t>
  </si>
  <si>
    <t>System shall use identification, authentication and authorization procedures for utility programs</t>
  </si>
  <si>
    <t>MLSR074_341_ref</t>
  </si>
  <si>
    <t>MLSR074_342</t>
  </si>
  <si>
    <t>System shall segregate utility programs from applications software;</t>
  </si>
  <si>
    <t>MLSR074_343</t>
  </si>
  <si>
    <t>System shall limit the use of utility programs to the minimum practical number of trusted, authorized users</t>
  </si>
  <si>
    <t>MLSR074_344</t>
  </si>
  <si>
    <t>System shall authorize for ad hoc use of utility programs;</t>
  </si>
  <si>
    <t>MLSR074_345</t>
  </si>
  <si>
    <t>System shall limit the availability of utility programs, e.g. for the duration of an authorized change;</t>
  </si>
  <si>
    <t>MLSR074_346</t>
  </si>
  <si>
    <t>System shall log all use of utility programs.</t>
  </si>
  <si>
    <t>MLSR074_348</t>
  </si>
  <si>
    <t>System shall remove or disable all unnecessary utility programs;</t>
  </si>
  <si>
    <t>MLSR074_349</t>
  </si>
  <si>
    <t>System shall prohibit utility programs availability to users who have access to applications on systems where segregation of duties is required.</t>
  </si>
  <si>
    <t>MLSR074_352</t>
  </si>
  <si>
    <t>9.4.5</t>
  </si>
  <si>
    <t>System shall ensure that program source code and associated items (such as designs, specifications, verification plans and validation plans) shall be strictly controlled/restricted in order to prevent the introduction of unauthorized functionality and to avoid unintentional changes as well as to maintain the confidentiality of valuable intellectual property.</t>
  </si>
  <si>
    <t>MLSR074_354</t>
  </si>
  <si>
    <t>System shall ensure that program source libraries are not in operational systems.</t>
  </si>
  <si>
    <t>System shall ensure that the program source code and the program source libraries are managed according to established procedures.</t>
  </si>
  <si>
    <t>MLSR074_355_ref</t>
  </si>
  <si>
    <t>MLSR074_356</t>
  </si>
  <si>
    <t>System shall ensure that support personnel does not have unrestricted access to program source libraries.</t>
  </si>
  <si>
    <t>MLSR074_357</t>
  </si>
  <si>
    <t>Organization shall ensure that updating of program source libraries and associated items and the issuing of program sources to programmers are performed after appropriate authorization.</t>
  </si>
  <si>
    <t>MLSR074_358</t>
  </si>
  <si>
    <t>System shall ensure that program listings are held in a secure environment.</t>
  </si>
  <si>
    <t>MLSR074_359</t>
  </si>
  <si>
    <t>System shall ensure that an audit log is maintained of all accesses to program source libraries;</t>
  </si>
  <si>
    <t>MLSR074_384</t>
  </si>
  <si>
    <t>10.1.2</t>
  </si>
  <si>
    <t>System shall ensure that all cryptographic keys are protected against modification and loss and In addition, secret and private keys are protected against unauthorized use as well as disclosure.</t>
  </si>
  <si>
    <t>MLSR074_470</t>
  </si>
  <si>
    <t>11.2.4</t>
  </si>
  <si>
    <t>Organization shall ensure that records are kept of all suspected or actual faults, and of all preventive and corrective maintenance</t>
  </si>
  <si>
    <t>MLSR074_471</t>
  </si>
  <si>
    <t>Organization shall ensure that appropriate controls are implemented when equipment is scheduled for maintenance, taking into account whether this maintenance is performed by personnel on site or external to the organization.</t>
  </si>
  <si>
    <t>MLSR074_475</t>
  </si>
  <si>
    <t>11.2.5</t>
  </si>
  <si>
    <t>Organization shall ensure that equipment, information or software are not taken off-site without prior authorization.</t>
  </si>
  <si>
    <t>MLSR074_489</t>
  </si>
  <si>
    <t>11.2.6</t>
  </si>
  <si>
    <t>Organization shall ensure that when off-premises equipment is transferred among different individuals or external parties, a log is maintained that defines the chain of custody for the equipment including at least namesand organizations of those who are responsible for the equipment.</t>
  </si>
  <si>
    <t>MLSR074_494</t>
  </si>
  <si>
    <t>11.2.7</t>
  </si>
  <si>
    <t>Organization shall ensure that all items of equipment containing storage media are verified to ensure that any sensitive data and licensed software has been removed or securely overwritten prior to disposal or re-use.</t>
  </si>
  <si>
    <t>MLSR074_495</t>
  </si>
  <si>
    <t>Organization shall ensure that equipment is verified to ensure whether or not storage media is contained prior to disposal or re-use.</t>
  </si>
  <si>
    <t>MLSR074_496</t>
  </si>
  <si>
    <t>Organization shall ensure that storage media containing confidential or copyrighted information is physically destroyed or the information is destroyed, deleted or overwritten using techniques to make the originalinformation non-retrievable rather than using the standard delete or format function.</t>
  </si>
  <si>
    <t>MLSR074_498</t>
  </si>
  <si>
    <t>Other information</t>
  </si>
  <si>
    <t>Organization shall ensure that the encryption process on storage media is sufficiently strong and covers the entire disk (including slack space, swapfiles, etc.);</t>
  </si>
  <si>
    <t>MLSR074_499</t>
  </si>
  <si>
    <t>Organization shall ensure in the encryption process on storage media, the encryption keys are long enough to resist brute force attacks.</t>
  </si>
  <si>
    <t>MLSR074_500</t>
  </si>
  <si>
    <t>Organization shall ensure in the encryption process on storage media, the encryption keys are themselves kept confidential (e.g. never stored on the same disk).</t>
  </si>
  <si>
    <t>MLSR074_504</t>
  </si>
  <si>
    <t>11.2.8</t>
  </si>
  <si>
    <t>System shall have capability such that users terminate active sessions when finished, unless they can be secured by an appropriate locking mechanism, e.g. a password protected screen saver;</t>
  </si>
  <si>
    <t>MLSR074_505</t>
  </si>
  <si>
    <t>System shall have capability such that users log-off from applications or network services when no longer needed;</t>
  </si>
  <si>
    <t>MLSR074_506</t>
  </si>
  <si>
    <t>System shall have capability such that users secure computers or mobile devices from unauthorized use by a key lock or an equivalent control.</t>
  </si>
  <si>
    <t>MLSR074_511</t>
  </si>
  <si>
    <t>11.2.9</t>
  </si>
  <si>
    <t>System shall ensure that computers and terminals are left logged off or protected with a screen and keyboard locking mechanism controlled by a password, token or similar user authentication mechanism whenunattended and is protected by key locks, passwords or other controls when not in use.</t>
  </si>
  <si>
    <t>MLSR074_539</t>
  </si>
  <si>
    <t>12.1.3</t>
  </si>
  <si>
    <t>Organization shall manage capacity demand by deleting of obsolete data (disk space); decommissioning of applications, systems, databases or environments, optimizing batch processes and schedules, optimizing application logic or database queries, denying or restricting bandwidth for resource-hungry services if these are not business critical (e.g. video streaming)</t>
  </si>
  <si>
    <t>MLSR074_546</t>
  </si>
  <si>
    <t>12.1.4</t>
  </si>
  <si>
    <t>System shall have development and operational software run on different systems or computer processors and in different domains or directories;</t>
  </si>
  <si>
    <t>MLSR074_547</t>
  </si>
  <si>
    <t>System shall have capability to test changes to operational systems and applications in a testing or staging environment prior to being applied to operational systems;</t>
  </si>
  <si>
    <t>MLSR074_549</t>
  </si>
  <si>
    <t>System shall ensure that compilers, editors and other development tools or system utilities are not accessible from operational systems when not required;</t>
  </si>
  <si>
    <t>MLSR074_550</t>
  </si>
  <si>
    <t>System shall have capability such that users use different user profiles for operational and testing systems, and menus display appropriate identification messages to reduce the risk of error;</t>
  </si>
  <si>
    <t>MLSR074_551</t>
  </si>
  <si>
    <t>System shall ensure that sensitive data is not copied into the testing system environment unless equivalent controls are provided for the testing system</t>
  </si>
  <si>
    <t>MLSR074_557</t>
  </si>
  <si>
    <t>12.2.1</t>
  </si>
  <si>
    <t>Organization shall ensure that detection, prevention and recovery controls to protect against malware are implemented, combined with appropriate user awareness</t>
  </si>
  <si>
    <t>System shall implement controls that prevent or detect the use of unauthorized software such as application whitelisting controls.</t>
  </si>
  <si>
    <t>MLSR074_559_ref</t>
  </si>
  <si>
    <t>MLSR074_560</t>
  </si>
  <si>
    <t>System shall implement controls that prevent or detect the use of known or suspected malicious websites such as blacklisting controls.</t>
  </si>
  <si>
    <t>MLSR074_564</t>
  </si>
  <si>
    <t>Organization shall ensure to install and regularly update malware detection and repair software to scan computers and media as a precautionary control, or on a routine basis;</t>
  </si>
  <si>
    <t>MLSR074_565</t>
  </si>
  <si>
    <t>System shall scan any files received over networks or via any form of storage medium, for malware before use;</t>
  </si>
  <si>
    <t>MLSR074_566</t>
  </si>
  <si>
    <t>System shall scan electronic mail attachments and downloads for malware before use and this scan shall be carried out at different places, e.g. at electronic mail servers, desk top computers and when entering the network of the organization</t>
  </si>
  <si>
    <t>MLSR074_567</t>
  </si>
  <si>
    <t>System shall scan web pages for malware.</t>
  </si>
  <si>
    <t>MLSR074_579</t>
  </si>
  <si>
    <t>12.3.1</t>
  </si>
  <si>
    <t>System shall backup copies of information, software and system images shall be taken and tested regularly in accordance with an agreed backup policy.</t>
  </si>
  <si>
    <t>MLSR074_584</t>
  </si>
  <si>
    <t>System shall have the capability for the extent (e.g. full or differential backup) and frequency of backups that reflects the business requirements of the organization, the security requirements of the information involved and thecriticality of the information to the continued operation of the organization;</t>
  </si>
  <si>
    <t>MLSR074_585</t>
  </si>
  <si>
    <t>System shall have the ability to store the backups in a remote location, at a sufficient distance to escape any damage from a disaster at the main site;</t>
  </si>
  <si>
    <t>MLSR074_586</t>
  </si>
  <si>
    <t>System shall have the ability to provide backup information the appropriate level of physical and environmental protection</t>
  </si>
  <si>
    <t>MLSR074_588</t>
  </si>
  <si>
    <t>System shall ensure that backups are protected by means of encryption</t>
  </si>
  <si>
    <t>MLSR074_591</t>
  </si>
  <si>
    <t>System shall define the retention period for essential business information taking into account any requirement for archive copies to be permanently retained.</t>
  </si>
  <si>
    <t>MLSR074_591_ref</t>
  </si>
  <si>
    <t>MLSR074_594</t>
  </si>
  <si>
    <t>12.4.1</t>
  </si>
  <si>
    <t>System shall have capability to produce and keep event logs recording user activities, exceptions, faults and information security events and ensure that they are regularly reviewed.</t>
  </si>
  <si>
    <t>MLSR074_595</t>
  </si>
  <si>
    <t>System shall capture event logs with user IDs, system activities, dates, times and details of key events, e.g. log-on and log-off, device identity or location, system identifier, records of successful and rejected system access attempts, records of successful and rejected data and other resource access, changes to system configuration, user of privileges, use of system utilities and applications, files accessed and the kind of access, network addresses and protocols, alarms raised by the access control system, activation and deactivation of protection systems such as anti-virus systems and intrusion detection systems, records of transactions executed by users in applications.</t>
  </si>
  <si>
    <t>MLSR074_601</t>
  </si>
  <si>
    <t>System shall prohibit system administrators to erase or de-activate logs of their own activities</t>
  </si>
  <si>
    <t>MLSR074_603</t>
  </si>
  <si>
    <t>12.4.2</t>
  </si>
  <si>
    <t>System shall have capability for logging and log information shall be protected against tampering and unauthorized access.</t>
  </si>
  <si>
    <t>MLSR074_604</t>
  </si>
  <si>
    <t>System shall prohibit alterations to the message types that are recorded in a log.</t>
  </si>
  <si>
    <t>MLSR074_608</t>
  </si>
  <si>
    <t>12.4.3</t>
  </si>
  <si>
    <t>System shall have capability to log system administrator and system operator activities the logs shall be protected and regularly reviewed.</t>
  </si>
  <si>
    <t>MLSR074_612</t>
  </si>
  <si>
    <t>12.4.4</t>
  </si>
  <si>
    <t>Organization shall ensure that the clocks of all relevant information processing systems within an organization or security domain are synchronized to a single reference time source.</t>
  </si>
  <si>
    <t>MLSR074_615</t>
  </si>
  <si>
    <t>System shall provide capability such that the clock linked to a radio time broadcast from a national atomic clock can be used as the master clock for logging systems and a network time protocol is used to keep all of the servers in synchronization with the master clock.</t>
  </si>
  <si>
    <t>MLSR074_619</t>
  </si>
  <si>
    <t>12.5.1</t>
  </si>
  <si>
    <t>System shall have capability for the updation of the operation software, applications and program libraries only performed by trained administrators upon appropriate management authorization.</t>
  </si>
  <si>
    <t>MLSR074_620</t>
  </si>
  <si>
    <t>System shall ensure that operational systems only hold approved executable code and not development code or compilers;</t>
  </si>
  <si>
    <t>MLSR074_624</t>
  </si>
  <si>
    <t>System shall archive old versions of software together with all required information and parameters</t>
  </si>
  <si>
    <t>MLSR074_626</t>
  </si>
  <si>
    <t>System shall ensure that software patches are applied when they can help to remove or reduce information security weaknesses</t>
  </si>
  <si>
    <t>MLSR074_627</t>
  </si>
  <si>
    <t>System shall provide physical or logical access to suppliers for support purposes when necessary and with management approval and the supplier’s activities should be monitored.</t>
  </si>
  <si>
    <t>MLSR074_640</t>
  </si>
  <si>
    <t>12.6.1</t>
  </si>
  <si>
    <t>System shall implement an audit log for all procedures undertaken;</t>
  </si>
  <si>
    <t>MLSR074_657</t>
  </si>
  <si>
    <t>12.7.1</t>
  </si>
  <si>
    <t>System shall monitor all access and log to produce a reference trail.</t>
  </si>
  <si>
    <t>MLSR074_661</t>
  </si>
  <si>
    <t>13.1.1</t>
  </si>
  <si>
    <t>System shall ensure that networks are managed and controlled to protect information in systems and applications.</t>
  </si>
  <si>
    <t>MLSR074_663</t>
  </si>
  <si>
    <t>System shall have special controls to safeguard the confidentiality and integrity of data passing over public networks or over wireless networks and to protect the connected systems and applications special controls may also be required to maintain the availability of the network services and computers connected;</t>
  </si>
  <si>
    <t>MLSR074_676</t>
  </si>
  <si>
    <t>13.1.3</t>
  </si>
  <si>
    <t>System shall segregate groups of information services, users and information systems on networks.</t>
  </si>
  <si>
    <t>13.2.3</t>
  </si>
  <si>
    <t>Organization shall ensure that Information involved in electronic messaging is appropriately protected</t>
  </si>
  <si>
    <t>MLSR074_709_ref</t>
  </si>
  <si>
    <t>MLSR074_710</t>
  </si>
  <si>
    <t>System shall protect messages from unauthorized access, modification or denial of service commensurate with the classification scheme adopted by the organization.</t>
  </si>
  <si>
    <t>MLSR074_711</t>
  </si>
  <si>
    <t>System shall ensure correct addressing and transportation of the message.</t>
  </si>
  <si>
    <t>MLSR074_712</t>
  </si>
  <si>
    <t>System shall ensure reliability and availability of the service</t>
  </si>
  <si>
    <t>MLSR074_713</t>
  </si>
  <si>
    <t>Organization shall obtain approval prior to using external public services such as instant messaging, social networking or file sharing.</t>
  </si>
  <si>
    <t>MLSR074_714</t>
  </si>
  <si>
    <t>System shall implement stronger levels of authentication controlling access from publicly accessible networks.</t>
  </si>
  <si>
    <t>MLSR074_742</t>
  </si>
  <si>
    <t>14.1.2</t>
  </si>
  <si>
    <t>Organization shall ensure that information involved in application services passing over public networks should be protected from fraudulent activity, contract dispute and unauthorized disclosure and modification</t>
  </si>
  <si>
    <t>MLSR074_743</t>
  </si>
  <si>
    <t>System shall ensure the level of confidence each party requires in each other’s claimed identity, e.g. through authentication over public networks.</t>
  </si>
  <si>
    <t>MLSR074_744</t>
  </si>
  <si>
    <t>System shall implement authorization processes associated with who may approve contents of , issue or sign key transactional documents.</t>
  </si>
  <si>
    <t>MLSR074_747</t>
  </si>
  <si>
    <t>System shall ensure the level of trust required in the integrity of key documents.</t>
  </si>
  <si>
    <t>MLSR074_748</t>
  </si>
  <si>
    <t>System shall include the protection requirements of any confidential information.</t>
  </si>
  <si>
    <t>MLSR074_761</t>
  </si>
  <si>
    <t>14.1.3</t>
  </si>
  <si>
    <t>Organization shall ensure that Information involved in application service transactions is protected to prevent incomplete transmission, mis-routing, unauthorized message alteration, unauthorized disclosure, unauthorized message duplication or replay.</t>
  </si>
  <si>
    <t>MLSR074_762</t>
  </si>
  <si>
    <t>System shall ensure to use electronic signatures by each of the parties involved in the application service transaction</t>
  </si>
  <si>
    <t>MLSR074_763</t>
  </si>
  <si>
    <t>System shall ensure that user's secret authentication information of all parties are valid and verified, transaction remains confidential and the privacy associated with all parties involved is retained.</t>
  </si>
  <si>
    <t>MLSR074_764</t>
  </si>
  <si>
    <t>System shall ensure that communications path between all involved parties is encrypted and protocols used to communicate between all involved parties are secured</t>
  </si>
  <si>
    <t>MLSR074_765</t>
  </si>
  <si>
    <t>System shall ensure that the storage of the transaction details is located outside of any publicly accessible environment, e.g. on a storage platform existing on the organizational intranet, and not retained and exposed on a storage medium directly accessible from the Internet.</t>
  </si>
  <si>
    <t>MLSR074_846</t>
  </si>
  <si>
    <t>14.3.1</t>
  </si>
  <si>
    <t>Organization shall ensure that the copying and use of operational information should be logged to provide an audit trail</t>
  </si>
  <si>
    <t>MLSR074_1014</t>
  </si>
  <si>
    <t>18.1.2</t>
  </si>
  <si>
    <t>Organization shall implement controls to ensure that any maximum number of users permitted within the license is not exceeded</t>
  </si>
  <si>
    <t>MLSR074_1026</t>
  </si>
  <si>
    <t>18.1.3</t>
  </si>
  <si>
    <t>System shall have capability such that records are categorized into record types, e.g. accounting records, database records, transaction logs, audit logs and operational procedures, each with details of retention periods and type of allowable storage media, e.g. paper, microfiche, magnetic, optical and any related cryptographic keys and programs associated with encrypted archives or digital signatures, are also stored to enable decryption of the records for the length of time the records are retained.</t>
  </si>
  <si>
    <t>MLSR074_1029</t>
  </si>
  <si>
    <t>Organization shall choose data storage systems such that required data can be retrieved in an acceptable timeframe and format, depending on the requirements to be fulfilled.</t>
  </si>
  <si>
    <t>MLSR074_1029_ref</t>
  </si>
  <si>
    <t>MLSR074_1032</t>
  </si>
  <si>
    <t>System shall define a retention schedule for identifying records and the period of time for which they should be retained;</t>
  </si>
  <si>
    <t>MLSR074_1033</t>
  </si>
  <si>
    <t>System shall maintain an inventory of sources of key information.</t>
  </si>
  <si>
    <t>MLSR074_1036</t>
  </si>
  <si>
    <t>18.1.4</t>
  </si>
  <si>
    <t>System shall ensure the privacy and protection of personally identifiable information as required in relevant legislation and regulation where applicable.</t>
  </si>
  <si>
    <t>MLSR074_1041</t>
  </si>
  <si>
    <t>18.1.5</t>
  </si>
  <si>
    <t>System shall have cryptographic controls used in compliance with all relevant agreements, legislation and regulations.</t>
  </si>
  <si>
    <t>MLSR080_191</t>
  </si>
  <si>
    <t>5.2.2</t>
  </si>
  <si>
    <t>Security vulnerabilities addressed by this technology</t>
  </si>
  <si>
    <t>System shall implement RBAC to manage access to plant floor devices.</t>
  </si>
  <si>
    <t>MLSR080_216</t>
  </si>
  <si>
    <t>5.3.2</t>
  </si>
  <si>
    <t>System shall use passwords to limit requests for services and functions to authorized users.</t>
  </si>
  <si>
    <t>MLSR080_220</t>
  </si>
  <si>
    <t>5.3.4</t>
  </si>
  <si>
    <t>Known issues and weaknesses</t>
  </si>
  <si>
    <t>System shall validate the password strength by validating its length and entropy.</t>
  </si>
  <si>
    <t>MLSR080_236</t>
  </si>
  <si>
    <t>5.3.6</t>
  </si>
  <si>
    <t>Future directions</t>
  </si>
  <si>
    <t>System shall allow a simple emergency password to be used by the operator for logon purposes in emergency situation</t>
  </si>
  <si>
    <t>5.3.7</t>
  </si>
  <si>
    <t>Recommendations and guidance</t>
  </si>
  <si>
    <t>System shall ensure that initial passwords and passwords that have been reset are securely transmitted to the intended receiver</t>
  </si>
  <si>
    <t>MLSR080_239_ref</t>
  </si>
  <si>
    <t>MLSR080_241</t>
  </si>
  <si>
    <t>System shall ensure that authority to change higher-level password is limited to trusted employees.</t>
  </si>
  <si>
    <t>MLSR080_242</t>
  </si>
  <si>
    <t>System shall enforce challenge/response or two-factor authentication using biometric or physical tokens supplementing password authentication for high risk environments.</t>
  </si>
  <si>
    <t>MLSR080_243</t>
  </si>
  <si>
    <t>System shall transmit the passwords in secured encryption format over network.</t>
  </si>
  <si>
    <t>MLSR080_261</t>
  </si>
  <si>
    <t>5.4.6</t>
  </si>
  <si>
    <t>System shall use CHAP for remote users, routers, and network access servers to provide authentication before providing connectivity.</t>
  </si>
  <si>
    <t>MLSR080_267</t>
  </si>
  <si>
    <t>5.5.1</t>
  </si>
  <si>
    <t xml:space="preserve"> Overview</t>
  </si>
  <si>
    <t>System shall enforce dual factor authentication when physical token authentication is used.</t>
  </si>
  <si>
    <t>MLSR080_283</t>
  </si>
  <si>
    <t>5.6.1</t>
  </si>
  <si>
    <t>Organization shall use smart card authentication to support building access, computer dual-factor or triple-factor authentication, and cashless vending on a single card, while also acting as the company photo ID for the individual.</t>
  </si>
  <si>
    <t>MLSR080_323</t>
  </si>
  <si>
    <t>5.8.1</t>
  </si>
  <si>
    <t>System shall use location/geography as additional factor to existing authentication to ensure that the requestor is where he or she claims to be or is within an area known to be physically secure.</t>
  </si>
  <si>
    <t>MLSR080_391</t>
  </si>
  <si>
    <t xml:space="preserve">6.2.1 </t>
  </si>
  <si>
    <t>Overview</t>
  </si>
  <si>
    <t>Organization shall use firewalls to control access to and from a network and protect attached computers from unauthorized uses.</t>
  </si>
  <si>
    <t>MLSR080_393</t>
  </si>
  <si>
    <t>Organization shall ensure to place the servers that the control system LAN needs to access on the enterprise network between firewalls in a demilitarized zone (DMZ) arrangement.</t>
  </si>
  <si>
    <t>MLSR080_411</t>
  </si>
  <si>
    <t>6.2.7</t>
  </si>
  <si>
    <t xml:space="preserve"> Recommendations and guidance</t>
  </si>
  <si>
    <t>Organization shall ensure that the firewall should only be open for traffic from the process control network to theadministrative network, or the DMZ.</t>
  </si>
  <si>
    <t>MLSR080_411_1</t>
  </si>
  <si>
    <t>Organization shall ensure that there is only open traffic from the administrative network in the building (IP-segment) tothe DMZ and selected servers on the process network.</t>
  </si>
  <si>
    <t>MLSR080_411_2</t>
  </si>
  <si>
    <t>Organization shall ensure that network components on the process control network can be managed centrally.</t>
  </si>
  <si>
    <t>MLSR080_420</t>
  </si>
  <si>
    <t xml:space="preserve"> Typical deployment</t>
  </si>
  <si>
    <t>System shall use Host-based firewalls to protect application-level software from many DoS attacks by filtering out bad packets at the network interface card or TCP/IP stack level.</t>
  </si>
  <si>
    <t>MLSR080_432</t>
  </si>
  <si>
    <t>6.3.7</t>
  </si>
  <si>
    <t>System shall employ micro-firewalls in addition to network based firewalls to offer a second layer of defense by protecting the system from attacks originating within the process control network.</t>
  </si>
  <si>
    <t>MLSR080_441</t>
  </si>
  <si>
    <t xml:space="preserve">6.4.2 </t>
  </si>
  <si>
    <t>Organization shall ensure to properly configure VLANS to allow switches to enforce security policies and segregate traffic at the Ethernet layer.</t>
  </si>
  <si>
    <t>MLSR080_441_1</t>
  </si>
  <si>
    <t>Organization shall ensure to properly segment networks in order to mitigate the risks of broadcast storms that may result from port scanning or worm activity</t>
  </si>
  <si>
    <t>MLSR080_482</t>
  </si>
  <si>
    <t xml:space="preserve">7.2.7 </t>
  </si>
  <si>
    <t>System shall ensure that the cryptographic key should be long enough such that guessing it takes more effort, time, and cost than the value of the protected asset.</t>
  </si>
  <si>
    <t>MLSR080_484</t>
  </si>
  <si>
    <t>System shall use separate plaintext and ciphertext ports unless the network absolutely requires the restriction to pass both plaintext and ciphertext through each port while protecting highly valuable control system data and information through cryptography.</t>
  </si>
  <si>
    <t>MLSR080_485</t>
  </si>
  <si>
    <t>System shall ensure to use only units that can be certified to comply with a standard, such as FIPS 140-2 (Federal Information Processing Standard) through the CMVP(Cryptographic Module Validation Program) which guarantees that cryptographic systems were studied carefully for weaknesses by a wide range of experts.</t>
  </si>
  <si>
    <t>MLSR080_541</t>
  </si>
  <si>
    <t>7.4.3</t>
  </si>
  <si>
    <t>Organization shall enforce network administrators to use SSH to remotely control Web and other types of servers.</t>
  </si>
  <si>
    <t>MLSR080_568</t>
  </si>
  <si>
    <t xml:space="preserve">8.2.2 </t>
  </si>
  <si>
    <t>System shall use a security audit logging tool to monitor events such as Account events, Directory related events, Logon events, Object access events, Policy events, Privilege events, Process related events, Security Account Manager events and system events.</t>
  </si>
  <si>
    <t>MLSR080_591</t>
  </si>
  <si>
    <t>Virus and malicious code detection systems</t>
  </si>
  <si>
    <t>Organization shall ensure that code detection systems are comprehensive enough to cover all the possibleways a file can enter a system, and flexible enough to provide defense in depth and in methodto avoid common-mode failure of protection.</t>
  </si>
  <si>
    <t>MLSR080_593</t>
  </si>
  <si>
    <t>Organization shall ensure to employ Virus detection systems (VDS) that can monitor and respond to one or more of the indicators such as Interface indicators, system indicators, file indicators, network indicators and custom indicators which can result directly from a specific virus payload, as a side effect of the virus payload, or as a result of the virus’s attempt to spread.</t>
  </si>
  <si>
    <t>MLSR080_614</t>
  </si>
  <si>
    <t xml:space="preserve">8.4.2 </t>
  </si>
  <si>
    <t>System shall employ an intrusion detection system (IDS) for monitoring access to and from a network; recording information useful for traffic monitoring and threat analysis; detecting, alarming, responding, or preventing attacks on the network or computers on the network.</t>
  </si>
  <si>
    <t>MLSR080_638</t>
  </si>
  <si>
    <t xml:space="preserve">8.5.1 </t>
  </si>
  <si>
    <t>System shall employ vulnerability scanners to identify weaknesses across the enterprise, generate security reports for each system or security statistics for the enterprise, and deploy patches or security configuration changes to vulnerable systems.</t>
  </si>
  <si>
    <t>MLSR080_639</t>
  </si>
  <si>
    <t>System shall verify the security on specific high-risk systems by performing targeted scans against specific high-risk hosts or appliances and then vulnerabilities detected on the hosts are individually assessed for criticality and weighed against the functionality requirements of each system.</t>
  </si>
  <si>
    <t>MLSR080_641</t>
  </si>
  <si>
    <t>Organization shall employ vulnerability scanners with four primary components such as Vulnerability database, Scanning engine, Agent with local administrative privileges and Reporting mechanism.</t>
  </si>
  <si>
    <t>MLSR080_648</t>
  </si>
  <si>
    <t>8.5.2</t>
  </si>
  <si>
    <t>Organization shall ensure that vulnerability scanners shall check three types of security issues such as security policy weaknesses, misconfigurations and software flaws.</t>
  </si>
  <si>
    <t>MLSR080_651</t>
  </si>
  <si>
    <t>Organization shall resolve vulnerabilities such as software flaws by installing patches or updates released by the vendor or use an external protection, such as a packet scrubber, to block access to the hole.</t>
  </si>
  <si>
    <t>MLSR080_662</t>
  </si>
  <si>
    <t xml:space="preserve">8.5.7 </t>
  </si>
  <si>
    <t>Organization shall ensure that vulnerability scanners employed in control system environments are carefully monitored on a backup network in order to minimize the chance of taking a production network offline.</t>
  </si>
  <si>
    <t>MLSR080_690</t>
  </si>
  <si>
    <t xml:space="preserve">8.6.7 </t>
  </si>
  <si>
    <t>System shall use Forensics and analysis tools (FAT) in tandem with an active Intrusion and Detection System (IDS).</t>
  </si>
  <si>
    <t>MLSR080_695</t>
  </si>
  <si>
    <t xml:space="preserve">8.7.1 </t>
  </si>
  <si>
    <t>Organization shall use host configuration management (HCM) tools to manage resources centrally, control access to systems, and set a general level of security for each host on a network.</t>
  </si>
  <si>
    <t>MLSR080_714</t>
  </si>
  <si>
    <t>8.8.1</t>
  </si>
  <si>
    <t>Organization shall use a automated software management (ASM) tool to deploy major software packages across the network, application version control, patch management and update components of major COTS software vendors across the network.</t>
  </si>
  <si>
    <t>MLSR080_721</t>
  </si>
  <si>
    <t>8.8.2</t>
  </si>
  <si>
    <t xml:space="preserve"> Security vulnerabilities addressed by this technology</t>
  </si>
  <si>
    <t>System shall use automated software management (ASM) tools to facilitate the deployment of security updates and patches for operating systems andapplications, fixing holes through which attackers can penetrate a network.</t>
  </si>
  <si>
    <t>MLSR080_753</t>
  </si>
  <si>
    <t xml:space="preserve"> Future directions</t>
  </si>
  <si>
    <t>Organization shall ensure to use highly secure OS versions which incorporate security concepts such as encrypted file systems, disabling of unnecessary network ports, client-side firewalls, Strong process isolation, Sealed storage, Secure channels, Attestation, Mandatory access control, Isolated security domains and System event auditing.</t>
  </si>
  <si>
    <t>MLSR080_754</t>
  </si>
  <si>
    <t xml:space="preserve">9.2.7 </t>
  </si>
  <si>
    <t>Organization shall ensure to disable all unnecessary services and change the vendor’s default passwords to secure the server and workstation operating systems.</t>
  </si>
  <si>
    <t>MLSR080_759</t>
  </si>
  <si>
    <t xml:space="preserve">9.3.2 </t>
  </si>
  <si>
    <t>System shall have a login password mechanism if the embedded device has a user interface.</t>
  </si>
  <si>
    <t>MLSR080_774</t>
  </si>
  <si>
    <t>9.3.7</t>
  </si>
  <si>
    <t>Organization shall ensure to separate time-critical application traffic from information traffic such as loading, diagnostics, and resource management; in order to limit vulnerability and possibility of attack.</t>
  </si>
  <si>
    <t>MLSR203_18</t>
  </si>
  <si>
    <t>Product life cycle</t>
  </si>
  <si>
    <t>Manufacturers shall ensure that the test code or undocumented entry points are removed from the final release of the product.</t>
  </si>
  <si>
    <t>MLSR307_153</t>
  </si>
  <si>
    <t>MLSR203_22</t>
  </si>
  <si>
    <t>Manufacturers shall implement product patches and updates quickly with sufficient time period that is enough to eliminate detected vulnerabilities or to mitigate the consequences of the vulnerabilities.</t>
  </si>
  <si>
    <t>MLSR203_24</t>
  </si>
  <si>
    <t>Manufacturers shall provide patches, updates and dependent software to run the product.</t>
  </si>
  <si>
    <t>MLSR203_27</t>
  </si>
  <si>
    <t>Manufacturers shall implement processes that define which log data will be collected, how it will be analyzed and which log entries require response.</t>
  </si>
  <si>
    <t>MLSR203_41</t>
  </si>
  <si>
    <t>Cyber security recommendations for all operating modes</t>
  </si>
  <si>
    <t>Manufacturers shall implement validation on interfaces to detect unexpected signals received to avoid damage</t>
  </si>
  <si>
    <t>MLSR203_44</t>
  </si>
  <si>
    <t>Manufacturers shall implement processes to include all the applications in use to be subject to essential system hardening and use only operationally essential applications.</t>
  </si>
  <si>
    <t>MLSR203_48</t>
  </si>
  <si>
    <t>Manufacturers shall ensure that accepted algorithms and standard implementation for cryptographic procedures are used.</t>
  </si>
  <si>
    <t>MLSR203_49</t>
  </si>
  <si>
    <t>Manufacturers shall ensure that BSI Technical guideline TR-02102 (on cryptographic methods) is met during the implementation and use.</t>
  </si>
  <si>
    <t>MLSR203_50</t>
  </si>
  <si>
    <t>Manufacturers shall ensure that integrity checks are in place for data that can affect safety.</t>
  </si>
  <si>
    <t>MLSR203_51</t>
  </si>
  <si>
    <t>Manufacturers shall ensure that all interfaces to the devices have been secured with sufficient input validation to prevent manipulation.</t>
  </si>
  <si>
    <t>MLSR203_52</t>
  </si>
  <si>
    <t>Manufacturer shall design the network to be hardened.</t>
  </si>
  <si>
    <t>MLSR203_53</t>
  </si>
  <si>
    <t>Organization shall segment the network by default and keep configuration data separate from the device's medical functions</t>
  </si>
  <si>
    <t>MLSR203_54</t>
  </si>
  <si>
    <t>Manufacturers shall de-activate services that are not needed for the operation of the device.</t>
  </si>
  <si>
    <t>MLSR203_55</t>
  </si>
  <si>
    <t>Manufacturers shall enforce hardening of all the deployed services to the greatest extent possible.</t>
  </si>
  <si>
    <t>MLSR203_56</t>
  </si>
  <si>
    <t>Manufacturers shall validate parameters (such as session cookies) on the client side and on the server side as well</t>
  </si>
  <si>
    <t>MLSR203_57</t>
  </si>
  <si>
    <t>Manufacturers shall implement granular access control and sufficient user management mechanisms to protect sensitive data from unauthorized access.</t>
  </si>
  <si>
    <t>MLSR203_58</t>
  </si>
  <si>
    <t>Manufacturers shall ensure that credentials of the user are stored as encrypted rather than as plain text in the product.</t>
  </si>
  <si>
    <t>MLSR203_59</t>
  </si>
  <si>
    <t>Manufacturers shall enforce that generic error message(s) will be shown without revealing specific details of errors.</t>
  </si>
  <si>
    <t>MLSR203_60</t>
  </si>
  <si>
    <t>Manufacturers shall restrict access to specific MAC addresses, IP addresses or IP-ranges.</t>
  </si>
  <si>
    <t>MLSR203_61</t>
  </si>
  <si>
    <t>Manufacturers shall enforce additional security mechanisms like dual-control principle for critical actions on the product.</t>
  </si>
  <si>
    <t>MLSR203_62</t>
  </si>
  <si>
    <t>Manufacturers shall ensure that applications and process that are running with system privileges are protected against attacks.</t>
  </si>
  <si>
    <t>Manufacturers shall implement secure session management when the product is accessed by several persons.</t>
  </si>
  <si>
    <t>MLSR203_63_ref</t>
  </si>
  <si>
    <t>MLSR203_64</t>
  </si>
  <si>
    <t>Manufacturers shall ensure that critical functions can be executed only by users with the required rights (privileges).</t>
  </si>
  <si>
    <t>MLSR203_65</t>
  </si>
  <si>
    <t>Manufacturers shall ensure that isolation of sessions is achieved during operations.</t>
  </si>
  <si>
    <t>MLSR203_66</t>
  </si>
  <si>
    <t>Manufacturers shall implement time-outs for sessions and ensure that they are configurable.</t>
  </si>
  <si>
    <t>MLSR203_67</t>
  </si>
  <si>
    <t>Manufacturers shall implement measures that prevent denial of service (DoS) attack by opening many connections or sessions.</t>
  </si>
  <si>
    <t>MLSR203_68</t>
  </si>
  <si>
    <t>Organization shall implement detection and protection measures for malware attacks.</t>
  </si>
  <si>
    <t>MLSR203_69</t>
  </si>
  <si>
    <t>Manufacturers shall implement measures that will preserve the basic functionality of the product and resume normal operations after a denial-of-service attack.</t>
  </si>
  <si>
    <t>MLSR203_70</t>
  </si>
  <si>
    <t>Manufacturers shall implement secure remote update mechanism for software and firmware updates.</t>
  </si>
  <si>
    <t>MLSR203_71</t>
  </si>
  <si>
    <t>Manufacturers shall implement integrity checks to provide appropriate authentication/protection via signatures</t>
  </si>
  <si>
    <t>MLSR203_72</t>
  </si>
  <si>
    <t>Manufacturers shall ensure secure, user-friendly mechanisms or interfaces are available and documented for standard backup and restore procedures.</t>
  </si>
  <si>
    <t>MLSR203_74</t>
  </si>
  <si>
    <t>Manufacturers shall ensure that critical and confidential information that is logged in the product are protected against unauthorized access.</t>
  </si>
  <si>
    <t>MLSR203_75</t>
  </si>
  <si>
    <t>Manufacturers shall implement automated alarm trigger while logging critical system events or states</t>
  </si>
  <si>
    <t>MLSR203_76</t>
  </si>
  <si>
    <t>Manufacturers shall implement mechanisms to issue warning messages in the product when a brute force attack occurs in the login.</t>
  </si>
  <si>
    <t>MLSR203_78</t>
  </si>
  <si>
    <t>Cyber security recommendations for product configuration</t>
  </si>
  <si>
    <t>Manufacturer shall implement authentication mechanism for modifying the configuration in the product.</t>
  </si>
  <si>
    <t>MLSR203_79</t>
  </si>
  <si>
    <t>Manufacturer shall ensure that the delivered configuration for the product is "secure by default".</t>
  </si>
  <si>
    <t>MLSR203_80</t>
  </si>
  <si>
    <t>Manufacturers shall ensure credentials and certificates are changeable for all the services used</t>
  </si>
  <si>
    <t>MLSR203_81</t>
  </si>
  <si>
    <t>Manufacturers shall implement integrity check mechanisms for configurations of the product to protect against unauthorized manipulation.</t>
  </si>
  <si>
    <t>MLSR203_83</t>
  </si>
  <si>
    <t>Manufacturers shall ensure that automatic logoff is implemented in the product to prevent unauthorized persons from making configuration changes in case user forgot to logout.</t>
  </si>
  <si>
    <t>MLSR203_85</t>
  </si>
  <si>
    <t>Cyber security recommendations 
for maintenance operations</t>
  </si>
  <si>
    <t>Manufacturers shall ensure that all interfaces that are used in the product for maintenance purposes have been protected against unauthorized access.</t>
  </si>
  <si>
    <t>MLSR203_86</t>
  </si>
  <si>
    <t>Manufacturers shall ensure that measures are in place such that the components being used does not affect the product/device's actual operation when remote maintenance is performed.</t>
  </si>
  <si>
    <t>MLSR203_87</t>
  </si>
  <si>
    <t>Manufacturers shall ensure that remote maintenance or write access to the device or component is possible only when explicitly activated for a limited time with explicit authorization.</t>
  </si>
  <si>
    <t>MLSR082_66</t>
  </si>
  <si>
    <t>7.1.5</t>
  </si>
  <si>
    <t>Remediation development</t>
  </si>
  <si>
    <t>Organization shall ensure that the vendor provides remediation through patches, fixes, upgrades, documentation or configuration changes for addressing the vulnerability including actions such as, taking web pages offline or revoking a vendor's application.</t>
  </si>
  <si>
    <t>MLSR106_35</t>
  </si>
  <si>
    <t>Section V.B</t>
  </si>
  <si>
    <t>Postmarket Considerations</t>
  </si>
  <si>
    <t>Manufacturer shall monitor cybersecurity information sources for identifying and detecting the vulnerabilities and risk sources.</t>
  </si>
  <si>
    <t>MLSR106_36</t>
  </si>
  <si>
    <t>Manufacturer shall monitor third party software components for new vulnerabilities throughout the device’s product lifecycle.</t>
  </si>
  <si>
    <t>MLSR088_63</t>
  </si>
  <si>
    <t>Requirement goal</t>
  </si>
  <si>
    <t>System shall ensure to reduce the risk of unauthorized access to HEALTH DATA from an unattended workspot.</t>
  </si>
  <si>
    <t>MLSR037_281</t>
  </si>
  <si>
    <t>MLSR088_63_1</t>
  </si>
  <si>
    <t>System shall enforce to lock the system and display a screen saver if the system is idle for more than a pre-configured duration defined by the local authorized IT administrator to prevent the unauthorized access to the health data.</t>
  </si>
  <si>
    <t>MLSR088_66</t>
  </si>
  <si>
    <t>User need</t>
  </si>
  <si>
    <t>System shall ensure that all health data are cleared from display if the system is idle for more than a pre-configured duration without logging out the user.</t>
  </si>
  <si>
    <t>MLSR088_69</t>
  </si>
  <si>
    <t>Audit controls – AUDT -Requirement goal:</t>
  </si>
  <si>
    <t>System shall audit the user activities and allow health delivery organization (HDO) IT to monitor this using public frameworks, standards and technology.</t>
  </si>
  <si>
    <t>MLSR088_70</t>
  </si>
  <si>
    <t>Audit controls – AUDT - User need</t>
  </si>
  <si>
    <t>System shall capture system activates in audit trails to track the system and health data access, modification, deletion.</t>
  </si>
  <si>
    <t>MLSR088_71</t>
  </si>
  <si>
    <t>System shall use stand-alone repository or central repository to store audit files to provide the secure accessibility.</t>
  </si>
  <si>
    <t>MLSR088_72</t>
  </si>
  <si>
    <t>System shall ensure to secure audit data especially when it contains personal data.</t>
  </si>
  <si>
    <t>MLSR088_73</t>
  </si>
  <si>
    <t>System shall be designed in such a way to avoid editing and deleting of audit data.</t>
  </si>
  <si>
    <t>MLSR088_74</t>
  </si>
  <si>
    <t>System shall have appropriate security controls to protect the audit data that contains personal/health data while processing, storing and transmitting.</t>
  </si>
  <si>
    <t>MLSR088_76</t>
  </si>
  <si>
    <t>Authorization – AUTH - Requirement goal:</t>
  </si>
  <si>
    <t>System shall control/limit the access to health data and functions only as necessary to perform the tasks required by the HDO consistent.</t>
  </si>
  <si>
    <t>MLSR088_77</t>
  </si>
  <si>
    <t>Authorization – AUTH - User need:</t>
  </si>
  <si>
    <t>System shall avoid unauthorized access to data and functions to preserve system and data confidentiality, integrity and availability.</t>
  </si>
  <si>
    <t>MLSR088_77_1</t>
  </si>
  <si>
    <t>N/A</t>
  </si>
  <si>
    <t>System shall implement role-based access control and allow users to access only approved data and perform approved functions assigned to their roles on the device</t>
  </si>
  <si>
    <t>MLSR088_77_2</t>
  </si>
  <si>
    <t>System shall implement role based access control (RBAC) that provide access to system functions and data appropriate to the role(s) of the individual in the HDO.</t>
  </si>
  <si>
    <t>MLSR088_80</t>
  </si>
  <si>
    <t>Configuration of security features – CNFS -  User need:</t>
  </si>
  <si>
    <t>System shall allow the authorized IT administrator to select the product security capabilities.</t>
  </si>
  <si>
    <t>MLSR088_87</t>
  </si>
  <si>
    <t>HEALTH DATA de-identification – DIDT - Requirement goal</t>
  </si>
  <si>
    <t>Organization shall ensure to perform data scrubbing on equipment prior to shipping back to factory.</t>
  </si>
  <si>
    <t>MLSR088_88</t>
  </si>
  <si>
    <t>HEALTH DATA de-identification – DIDT - User need:</t>
  </si>
  <si>
    <t>System shall have capability to hide PATIENT identity from Clinical user, service engineers who are accessing HEALTH DATA for various purposes.</t>
  </si>
  <si>
    <t>MLSR088_91</t>
  </si>
  <si>
    <t>Data backup and disaster recovery – DTBK - User need:</t>
  </si>
  <si>
    <t>System shall provide the capability to restore the health data after a system failure or compromise occurs.</t>
  </si>
  <si>
    <t>MLSR088_93</t>
  </si>
  <si>
    <t>Requirement goal:</t>
  </si>
  <si>
    <t>System shall ensure that access to the protected heath data is possible in case of an emergency situation requiring immediate access to stored heath data.</t>
  </si>
  <si>
    <t>MLSR088_94</t>
  </si>
  <si>
    <t>User need:</t>
  </si>
  <si>
    <t>System shall allow the clinical user to access HEALTH DATA without personal user id and authentication during emergency situations.</t>
  </si>
  <si>
    <t>MLSR088_95</t>
  </si>
  <si>
    <t>System shall have the capability to detect, record and report emergency access.</t>
  </si>
  <si>
    <t>MLSR088_97</t>
  </si>
  <si>
    <t>System shall allow the administrator to enable/disable any emergency functionalities provided by the product dependent on technical or procedural controls.</t>
  </si>
  <si>
    <t>MLSR088_99</t>
  </si>
  <si>
    <t>4.1 0</t>
  </si>
  <si>
    <t>System shall assure the integrity of health data has not been altered or destroyed in non-authorized manner and is from the originator.</t>
  </si>
  <si>
    <t>MLSR088_102</t>
  </si>
  <si>
    <t>System shall prevent, detect malwares and remove if any malware found and frequently check for malware software updates and update software if new version found.</t>
  </si>
  <si>
    <t>MLSR088_103</t>
  </si>
  <si>
    <t>System shall have capability to detect traditional malware as well as unauthorized software.</t>
  </si>
  <si>
    <t>MLSR088_106</t>
  </si>
  <si>
    <t>Manufacturer shall implement capability to manage cross-machine accounts on a modality to protect health data and implement node authentication according to industry standards.</t>
  </si>
  <si>
    <t>MLSR088_108</t>
  </si>
  <si>
    <t>System shall implement authentication when providing access to health data, to control access to devices, network resources and to generate non- repudiable audit trails.</t>
  </si>
  <si>
    <t>MLSR088_109</t>
  </si>
  <si>
    <t>System shall implement single sign-on mechanism with same password on all workspots to avoid redundant logins and to detect, prevent person falsification.</t>
  </si>
  <si>
    <t>MLSR088_118</t>
  </si>
  <si>
    <t>System shall provide only services specified and required according to its intended use with a minimum ofmaintenance activities.</t>
  </si>
  <si>
    <t>MLSR088_118_1</t>
  </si>
  <si>
    <t>HDO IT requires systems connected to their network to be secure on delivery and hardened against misuse and attacks</t>
  </si>
  <si>
    <t>MLSR088_125</t>
  </si>
  <si>
    <t>System shall ensure reasonable assurance to health data stored on products or media stays secure.</t>
  </si>
  <si>
    <t>System shall encrypt the health data stored on medical device based on risk analysis.</t>
  </si>
  <si>
    <t>MLSR088_126_ref</t>
  </si>
  <si>
    <t>MLSR088_130</t>
  </si>
  <si>
    <t>System shall ensure HEALTH DATA confidentiality is maintained during transmission between authenticated nodes.</t>
  </si>
  <si>
    <t>MLSR201_15</t>
  </si>
  <si>
    <t>IV.</t>
  </si>
  <si>
    <t>Patient-Specific Information Sharing Policy</t>
  </si>
  <si>
    <t>Manufacturer shall enable healthcare provider to fetch patient-specific information from medical device based on patient request, alternatively, patients may contact the manufacturer directly and request access to their patient-specific information.</t>
  </si>
  <si>
    <t>MLSR201_20</t>
  </si>
  <si>
    <t>Manufacturer shall redesign devices to gain access to patient-specific information if the devices record and retain information in a closed system that is not accessible by the manufacturer.</t>
  </si>
  <si>
    <t>MLSR104_18</t>
  </si>
  <si>
    <t>V</t>
  </si>
  <si>
    <t>Design Considerations for Interoperable Medical
Devices</t>
  </si>
  <si>
    <t>Manufacturers shall consider the information model, functional model, and architectural model during the design and development of an interoperable medical device.</t>
  </si>
  <si>
    <t>MLSR104_29</t>
  </si>
  <si>
    <t>A</t>
  </si>
  <si>
    <t>Purpose of the Electronic Interface</t>
  </si>
  <si>
    <t>Manufacturers shall consider level of interoperability for interface and sufficient labelling detail to allow anticipated users to connect, use the medical device and its interface as it is intended.</t>
  </si>
  <si>
    <t>MLSR104_43</t>
  </si>
  <si>
    <t>C</t>
  </si>
  <si>
    <t>Risk Management Consideration</t>
  </si>
  <si>
    <t>Manufacturer shall design an interoperable medical device that can appropriately mitigate risks associated with possible error scenarios such as failures or malfunctions caused by direct or indirect connection of intended devices, malfunctions caused by invalid commands, malfunctions caused by receiving and processing erroneous data or commands, malfunctions caused by not adhering to the non-functional requirements of the communication specification.</t>
  </si>
  <si>
    <t>MLSR104_50</t>
  </si>
  <si>
    <t>D</t>
  </si>
  <si>
    <t>Verification and Validation Considerations</t>
  </si>
  <si>
    <t>Manufacturers shall verify and validate the interoperable medical devices by considering applicable scenarios such as data corruption, fail safe states and safe operations of device.</t>
  </si>
  <si>
    <t>MLSR103_51</t>
  </si>
  <si>
    <t>Table 1</t>
  </si>
  <si>
    <t>Secure Communications</t>
  </si>
  <si>
    <t>Manufacturers shall identify interfaces to establish the secure communication with other devices or networks.</t>
  </si>
  <si>
    <t>MLSR103_52</t>
  </si>
  <si>
    <t>System shall implement secure communication channel for data transfer to and from device to prevent unauthorized modification and disruption.</t>
  </si>
  <si>
    <t>MLSR103_53</t>
  </si>
  <si>
    <t>Data Integrity and
Confidentiality</t>
  </si>
  <si>
    <t>System shall implement strong encryption for data stored, transferred to or from the device to prevent information disclosure from unauthorized user.</t>
  </si>
  <si>
    <t>MLSR103_55</t>
  </si>
  <si>
    <t>User Access</t>
  </si>
  <si>
    <t>Manufacturers shall implement authentication and role based (RBAC) authorization process to protect resources from unauthorized access.</t>
  </si>
  <si>
    <t>MLSR103_57</t>
  </si>
  <si>
    <t>Hardware or Physical
Design</t>
  </si>
  <si>
    <t>System shall disable unnecessary ports, protocols and service that expose sensitive data to prevent unauthorized person from making physical and software changes to the device in order to bypass security controls.</t>
  </si>
  <si>
    <t>MLSR092_117</t>
  </si>
  <si>
    <t xml:space="preserve">ACCES CONTROL </t>
  </si>
  <si>
    <t>System shall include user authentication function based on named accounts and multi-factor authentication shall be implemented b introducing additional factors through physical media, fingerprint, login/password.</t>
  </si>
  <si>
    <t>MLSR092_118</t>
  </si>
  <si>
    <t>Manufacturer shall implement strong password by applying minimum number of characters, special characters, and monitor the number of failed attempts, limited renewal period, and inability to reuse old passwords.</t>
  </si>
  <si>
    <t>MLSR092_119</t>
  </si>
  <si>
    <t>AUTHENTIFICATION MANAGEMENT</t>
  </si>
  <si>
    <t>System shall implement a secured authentication mechanism as per NIST Electronic Authentication Guidelines.</t>
  </si>
  <si>
    <t>MLSR092_121</t>
  </si>
  <si>
    <t>System shall show the user name, last login date and time to the authenticated user on successful login to prevent misuse of user account.</t>
  </si>
  <si>
    <t>MLSR092_125</t>
  </si>
  <si>
    <t xml:space="preserve">ENVIRONNEMENT OF USE </t>
  </si>
  <si>
    <t>System shall implement cryptographic mechanisms to authenticate software/firmware prior to installation.</t>
  </si>
  <si>
    <t>MLSR092_129</t>
  </si>
  <si>
    <t>System shall encrypt file which contains sensitive information to prevent the access from unauthorized user.</t>
  </si>
  <si>
    <t>MLSR092_132</t>
  </si>
  <si>
    <t>Organization shall ensure that the medical device is relatively autonomous in terms of network security (secure network access) i.e. it has a stable environment.</t>
  </si>
  <si>
    <t>MLSR092_133</t>
  </si>
  <si>
    <t>Manufacturer shall ensure to install antivirus software in the information system of the medical device.</t>
  </si>
  <si>
    <t>MLSR092_134</t>
  </si>
  <si>
    <t>Manufacturer shall enforce to have a self monitoring mechanism to detect and respond to potential attacks using malicious code.</t>
  </si>
  <si>
    <t>MLSR092_135</t>
  </si>
  <si>
    <t>Manufacturers shall enforce to harden the operating systems used in the medical device information systems to block or hinder any attempts to execute arbitrary code or illegitimate programs in dedicated memory segments, mutually exclusive permissions for modification and execution, protective mechanisms for the process execution stack and layout randomization for memory storage.</t>
  </si>
  <si>
    <t>MLSR092_136</t>
  </si>
  <si>
    <t>Manufacturers shall enforce to implement partitioning between the graphical interface and the critical data from rest of network so that in the event of a successful attack on the information system, it can prevent the propagation of attack to the entire system.</t>
  </si>
  <si>
    <t>MLSR092_137</t>
  </si>
  <si>
    <t xml:space="preserve">PHYSICAL SECURITY </t>
  </si>
  <si>
    <t>Manufacturer shall set up measures to ensure the physical security of the device like lock protecting access to the connected medical device, premises, systems and when device operates it should be protected and be usable by authorized persons only depending on the type of the medical device.</t>
  </si>
  <si>
    <t>MLSR092_139</t>
  </si>
  <si>
    <t xml:space="preserve">MD CONNECTED TO A NETWORK </t>
  </si>
  <si>
    <t>Organization shall enforce to include security measures for filtering the data exchange on networks like protocol types, origin/destination of data streams etc.</t>
  </si>
  <si>
    <t>MLSR092_141</t>
  </si>
  <si>
    <t>Manufacturer shall provide the option of isolating the medical device software from the network or from all communication channels in the event of an attack or threat, it can be designed at the initial phase depending on the medical purpose.</t>
  </si>
  <si>
    <t>MLSR092_142</t>
  </si>
  <si>
    <t>Organization shall use a virtual private network (VPN) to safeguard the logical security that exists within a local network in case of the system used in patient's home.</t>
  </si>
  <si>
    <t>MLSR092_143</t>
  </si>
  <si>
    <t>Manufacturer shall implement sequence number,time-stamping, time-out, source and destination identifiers, return message, Identification procedure and security code to prevent replay attack.</t>
  </si>
  <si>
    <t>MLSR092_144</t>
  </si>
  <si>
    <t>Manufacturer shall implement mechanisms for non-rejection and authenticity of communications</t>
  </si>
  <si>
    <t>MLSR092_145</t>
  </si>
  <si>
    <t xml:space="preserve">TRACEABILITY AND LOGS </t>
  </si>
  <si>
    <t>System shall implement log function to trace all access to the connected medical device and all events, particularly those that could have a critical impact on its operation.</t>
  </si>
  <si>
    <t>MLSR092_147</t>
  </si>
  <si>
    <t xml:space="preserve">PROVIDE FOR MONITORING DURING THE MD OPERATION </t>
  </si>
  <si>
    <t>System shall have capability to perform integrity check and alert to authorized users if any event that could have a critical impact on its operation is flagged.</t>
  </si>
  <si>
    <t>MLSR092_148</t>
  </si>
  <si>
    <t>Organization shall keep the operating systems up to date that used within certain MDs to avoid propagating of virus that exploit weaknesses in obsolete versions of these operating systems.</t>
  </si>
  <si>
    <t>MLSR092_149</t>
  </si>
  <si>
    <t>Manufacturer shall have an alert function based on standard mechanisms that allow the HIS to monitor the correct operation of the MD, connections to the device, and any event that could have a critical impact on its operation when the device is being integrated within another IS.</t>
  </si>
  <si>
    <t>MLSR092_151</t>
  </si>
  <si>
    <t>System shall allow data recovery to restore data when swapping out equipment.</t>
  </si>
  <si>
    <t>MLSR092_152</t>
  </si>
  <si>
    <t xml:space="preserve">OPERATION IN FAILSAFE MODE </t>
  </si>
  <si>
    <t>Manufacturer shall ensure to implement a failsafe mode for data recovery function to resuming normal operation, when an attack or its effect is detected in the medical devices.</t>
  </si>
  <si>
    <t>MLSR092_153</t>
  </si>
  <si>
    <t>System shall have provision or capability to ensure availability of some critical functions when security is compromised or when a threat to integrity is identified.</t>
  </si>
  <si>
    <t>MLSR092_157</t>
  </si>
  <si>
    <t xml:space="preserve">CHOICE OF PROGRAMMING LANGUAGE </t>
  </si>
  <si>
    <t>Manufacturer shall implement secure by construction by specifying coding rules for development of medical device software such as MISRA C/C++, CWE, SANS TOP 25, CERT, OWASP</t>
  </si>
  <si>
    <t>MLSR092_159</t>
  </si>
  <si>
    <t xml:space="preserve">VALIDATION METHODS </t>
  </si>
  <si>
    <t>Manufacturer shall ensure that test coverage is to a maximum and justify code that is not covered and ensure to eliminate dead code in the medical device software.</t>
  </si>
  <si>
    <t>MLSR092_160</t>
  </si>
  <si>
    <t xml:space="preserve">SECURE STARTUP AND INTEGRITY MEMORIES AND SENSITIVE DATA </t>
  </si>
  <si>
    <t>System shall check the integrity and authenticity of the device's software and sensitive data both at startup and during its operation.</t>
  </si>
  <si>
    <t>MLSR092_161</t>
  </si>
  <si>
    <t>System shall have capability to provide an interface to supply the configuration of the connected medical device system and its operating status.</t>
  </si>
  <si>
    <t>MLSR092_162</t>
  </si>
  <si>
    <t xml:space="preserve">MD PROTECTION MECHANISM </t>
  </si>
  <si>
    <t>Manufacturer shall implement self-monitoring including a self-test mechanism run at startup and during medical device operation for checking the integrity of the device</t>
  </si>
  <si>
    <t>MLSR092_163</t>
  </si>
  <si>
    <t>Manufacturers shall enforce to implement attack sensors that will detect anomalies in the event of an attack and switches from standard operating mode to a safe failsafe mode.</t>
  </si>
  <si>
    <t>MLSR092_168</t>
  </si>
  <si>
    <t>Manufacturers shall ensure to remove all unnecessary functionality such as scripts, drivers, features, subsystems, file systems, and unnecessary web servers while deploying the application/system.</t>
  </si>
  <si>
    <t>MLSR092_173</t>
  </si>
  <si>
    <t>MANAGEMENT OF INITIAL PARAMETERS AND CONFIGURATIONS</t>
  </si>
  <si>
    <t>Manufacturer shall ensure the following during takes place during installation.1. default password to be changed at first login.2. To provide cryptographic key (One Key, One use)3. Install Anti-virus as applicable4. Update software/firmware as necessary.</t>
  </si>
  <si>
    <t>MLSR092_175</t>
  </si>
  <si>
    <t xml:space="preserve">MD INTEGRITY PROTECTION DEVICE </t>
  </si>
  <si>
    <t>System shall implement mechanism to run integrity check at startup and during updates as a minimum such as verification of update signatures.</t>
  </si>
  <si>
    <t>MLSR092_197</t>
  </si>
  <si>
    <t xml:space="preserve">METHODS FOR SOFTWARE UPDATES / MAINTENANCE </t>
  </si>
  <si>
    <t>The manufacturer shall set up a secure update function for the software that will ensure its authenticity and integrity.</t>
  </si>
  <si>
    <t>MLSR092_199</t>
  </si>
  <si>
    <t>Manufacturer shall have strong authentication in place during software update process to ensure its authenticity and integrity.</t>
  </si>
  <si>
    <t>MLSR092_209</t>
  </si>
  <si>
    <t xml:space="preserve">MANAGING THE END OF LIFE OF THE MD DATA </t>
  </si>
  <si>
    <t>System shall be capable to transfer the data and off the medical device and recover it for storage or reuse before erasing any data.</t>
  </si>
  <si>
    <t>MLSR092_210</t>
  </si>
  <si>
    <t>System shall implement cryptography for the data that is transferred from a device</t>
  </si>
  <si>
    <t>MLSR092_212</t>
  </si>
  <si>
    <t>Organization shall enforce to implement secure data erasure functions from a storage media on the medical device.</t>
  </si>
  <si>
    <t>MLSR092_106</t>
  </si>
  <si>
    <t xml:space="preserve">GENERAL PROVISIONS </t>
  </si>
  <si>
    <t>System shall have/enable only necessary components that are required for its correct operation of medical device to avoid exploitation or to reduce vulnerability exposed by the medical device.</t>
  </si>
  <si>
    <t>MLSR092_109</t>
  </si>
  <si>
    <t>System shall implement role based (RBAC) authorization process to protect resources from unauthorized access.</t>
  </si>
  <si>
    <t>MLSR092_113</t>
  </si>
  <si>
    <t>Manufacturer shall ensure to clearly define the roles and privileges of stakeholders/users and restrict the privileges to the minimum level required to fulfil the functions of their specific role.</t>
  </si>
  <si>
    <t>MLSR092_114</t>
  </si>
  <si>
    <t>System shall use valid/active accounts with required privileges for system operation and user management.</t>
  </si>
  <si>
    <t>MLSR092_115</t>
  </si>
  <si>
    <t>System shall allow only admin user or higher role to access data export functions on the connected medical device.</t>
  </si>
  <si>
    <t>MLSR092_116</t>
  </si>
  <si>
    <t>System shall use multifactor authentication for secured login and sensitive data update.</t>
  </si>
  <si>
    <t>MLSR055_272</t>
  </si>
  <si>
    <t>11.4.2.2</t>
  </si>
  <si>
    <t>Provide secure products</t>
  </si>
  <si>
    <t>Organizations should implement digital code signing for their binaries to easily determine the owner of a file.</t>
  </si>
  <si>
    <t>MLSR055_276</t>
  </si>
  <si>
    <t>11.4.2.3</t>
  </si>
  <si>
    <t>Network monitoring and response</t>
  </si>
  <si>
    <t>System shall have capability to understand the traffic on the network and determine what is normal and what is not normal.</t>
  </si>
  <si>
    <t>MLSR055_277</t>
  </si>
  <si>
    <t>System shall have capability to use a network management tool to identify spikes in traffic, “unusual” traffic/ports and ensure that there are tools available to pinpoint and respond to the cause.</t>
  </si>
  <si>
    <t>MLSR055_279</t>
  </si>
  <si>
    <t>System shall have capability to understand the constituents on an individual basis such as, if someone who is normally an inactive user suddenly starts capping out at 100 percent of available bandwidth, it may be necessary to isolate the contraveninguser until the reason can be found.</t>
  </si>
  <si>
    <t>MLSR055_280</t>
  </si>
  <si>
    <t>Organization shall consider monitoring of activity from intelligence points in the network such as DNS and messaging filters, which can also serve to flag devices that have been compromised with malware but, for a variety of reasons, are not detected by anti-virus or IDS services.</t>
  </si>
  <si>
    <t>MLSR055_303</t>
  </si>
  <si>
    <t>Application level controls</t>
  </si>
  <si>
    <t>System shall be capable to display short notices, which provide clear, concise one-page summaries (using simple language) of the company’s essential online policies.</t>
  </si>
  <si>
    <t>MLSR055_304</t>
  </si>
  <si>
    <t>System shall securely handle sessions for web applications including mechanisms such as cookies.</t>
  </si>
  <si>
    <t>MLSR055_304_ref</t>
  </si>
  <si>
    <t>MLSR055_305</t>
  </si>
  <si>
    <t>System shall be capable of secure input validation and prevent common attacks such as SQL-Injection</t>
  </si>
  <si>
    <t>MLSR055_306</t>
  </si>
  <si>
    <t>System shall secure web page scripting to prevent common attacks such as Cross-site Scripting</t>
  </si>
  <si>
    <t>MLSR055_308</t>
  </si>
  <si>
    <t>Organization shall be provide service in a fashion such that the consumer can authenticate the service which includes having the provider use a sub-domain from the organization’s branded domain name and possibly the use of HTTPS credentials registered to the organization.</t>
  </si>
  <si>
    <t>MLSR055_309</t>
  </si>
  <si>
    <t>Server protection</t>
  </si>
  <si>
    <t>Organization shall ensure that servers are configured properly including underlying operating systems in accordance to a baseline security configuration guide that includes proper definition of server users versus administrators, enforcement of access controls on program and system directories and files, and enabling of audit trails, in particular, for security and other failure events on the system.</t>
  </si>
  <si>
    <t>MLSR055_310</t>
  </si>
  <si>
    <t>Organization shall implement a system to test and deploy security updates, and ensure the server operating system and applications are kept up-to-date promptly when new security updates are available.</t>
  </si>
  <si>
    <t>MLSR055_311</t>
  </si>
  <si>
    <t>Organization shall ensure to monitor the security performance of the server through regular reviews of the audit trails.</t>
  </si>
  <si>
    <t>MLSR055_312</t>
  </si>
  <si>
    <t>Organization shall ensure to review the security configuration.</t>
  </si>
  <si>
    <t>MLSR055_313</t>
  </si>
  <si>
    <t>Organization shall ensure to run anti-malicious software controls (such as anti-virus and anti-spyware) on the server.</t>
  </si>
  <si>
    <t>MLSR055_314</t>
  </si>
  <si>
    <t>Organization shall ensure to scan all hosted and uploaded content regularly using up to date anti-malicious software controls.</t>
  </si>
  <si>
    <t>MLSR055_315</t>
  </si>
  <si>
    <t>Organization shall perform regular vulnerability assessments and security testing for the online sites and applications to ensure that their security is adequately maintained.</t>
  </si>
  <si>
    <t>MLSR055_316</t>
  </si>
  <si>
    <t>Organization shall regularly scan for compromises</t>
  </si>
  <si>
    <t>MLSR055_317</t>
  </si>
  <si>
    <t>End-user controls</t>
  </si>
  <si>
    <t>Organization shall ensure that end-users use supported operating systems with the most updated security patches installed.</t>
  </si>
  <si>
    <t>MLSR055_318</t>
  </si>
  <si>
    <t>Organization shall ensure that end-users use the latest supported software applications, with the most updated patches installed.</t>
  </si>
  <si>
    <t>MLSR055_319</t>
  </si>
  <si>
    <t>Organization shall ensure that end-users use anti-virus and anti-spyware tools and implement appropriate anti-virus and anti-spyware safeguards.</t>
  </si>
  <si>
    <t>MLSR055_320</t>
  </si>
  <si>
    <t>Organization shall ensure that end-users enable script blockers or a higher web security setting to ensure that only scripts from trusted sources are executed on a local computer.</t>
  </si>
  <si>
    <t>MLSR055_321</t>
  </si>
  <si>
    <t>Organization shall ensure that end-users use phishing filters, which could determine whether a site that a user is visiting is found within a database of known phishing websites, or contains script patterns that are similar to those found in typical phishing websites.</t>
  </si>
  <si>
    <t>MLSR055_322</t>
  </si>
  <si>
    <t>Organization shall ensure that end-users enable a personal firewall and Host-based intrusion detection systems for controlling network services accessing other user systems.</t>
  </si>
  <si>
    <t>MLSR055_323</t>
  </si>
  <si>
    <t>Organization shall ensure that end-users enable automated updates ensuring that systems are updated with the latest security patches whenever they are available, closing the time gap for exploits to take place.</t>
  </si>
  <si>
    <t>MLSR055_345</t>
  </si>
  <si>
    <t>12.5.5</t>
  </si>
  <si>
    <t>Technical</t>
  </si>
  <si>
    <t>System shall have implement strong authentication solutions either as part of the login authentication, and/or when critical transactions are being executed and ensure to use two or more additional factors of identity verification, over and above the use of a user ID and password.</t>
  </si>
  <si>
    <t>MLSR055_346</t>
  </si>
  <si>
    <t>Organizations shall consider the use of a “High Assurance Certificate” to provide added assurance to online users.</t>
  </si>
  <si>
    <t>MLSR055_347</t>
  </si>
  <si>
    <t>Organizations shall ensure the installation of latest security updates.</t>
  </si>
  <si>
    <t>MLSR055_376</t>
  </si>
  <si>
    <t>13.5.2</t>
  </si>
  <si>
    <t>Data standardization for automated system</t>
  </si>
  <si>
    <r>
      <rPr>
        <sz val="10"/>
        <rFont val="Times New Roman"/>
        <family val="1"/>
      </rPr>
      <t>Organization shall evaluate data schemas and contents to determine suitable technical controls for improving efficiency, effectiveness, and security that includes the following:</t>
    </r>
    <r>
      <rPr>
        <strike/>
        <sz val="10"/>
        <rFont val="Times New Roman"/>
        <family val="1"/>
      </rPr>
      <t xml:space="preserve">
</t>
    </r>
    <r>
      <rPr>
        <sz val="10"/>
        <rFont val="Times New Roman"/>
        <family val="1"/>
      </rPr>
      <t>a) standardization of data schema for each category and classification of data collected enforcing information minimization and privacy policy
b) standardization of data format to ease sharing and improve storage, transmission, handling and interoperability between systems
c) standardization of basic data processing functionality and algorithms used</t>
    </r>
  </si>
  <si>
    <t>MLSR055_376_1</t>
  </si>
  <si>
    <t>MLSR055_376_2</t>
  </si>
  <si>
    <t>MLSR055_378</t>
  </si>
  <si>
    <t>13.5.4</t>
  </si>
  <si>
    <t>Cryptographic key exchange and software/hardware backups</t>
  </si>
  <si>
    <t>System shall implement a cryptographic system including system for key exchange and include backups for the software and hardware as well as the keys used in preparation for the sharing purposes and emergency recovery needs.</t>
  </si>
  <si>
    <t>MLSR055_379</t>
  </si>
  <si>
    <t>13.5.5</t>
  </si>
  <si>
    <t>Secure file sharing, instant messaging, web portal, and discussion forum</t>
  </si>
  <si>
    <t>Organizations (IPO and IRO) shall consider adopting suitable file sharing tools, instant messenger, and online discussion forum tools that could meet the security, effectiveness, efficiency, and reliability needs.</t>
  </si>
  <si>
    <t>MLSR037_132</t>
  </si>
  <si>
    <t>6.1.2</t>
  </si>
  <si>
    <t>Health-specific control</t>
  </si>
  <si>
    <t>Organization shall segregate duties and responsibilities for personnel's to avoid misuse or unauthorized modification in information.</t>
  </si>
  <si>
    <t>7.3.1</t>
  </si>
  <si>
    <t>Health-specific implementation guidance</t>
  </si>
  <si>
    <t>Organization shall immediately terminate previous rights provided to the user when there is a change in position or user leaves the organization.</t>
  </si>
  <si>
    <t>MLSR037_208_ref</t>
  </si>
  <si>
    <t>MLSR037_263</t>
  </si>
  <si>
    <t>8.3.1</t>
  </si>
  <si>
    <t>System shall physically protect the media or encrypt the data stored on the media and monitor the status and location of media containing unencrypted personal health information.</t>
  </si>
  <si>
    <t>MLSR037_265</t>
  </si>
  <si>
    <t>System shall ensure all personal health information stored on the removable media are encrypted during transit or at rest.</t>
  </si>
  <si>
    <t>MLSR037_268</t>
  </si>
  <si>
    <t>8.3.2</t>
  </si>
  <si>
    <t>System shall ensure all personal health information stored in media are securely erased or destroyed when it is no longer required for use.</t>
  </si>
  <si>
    <t>9.1.1</t>
  </si>
  <si>
    <t>System shall control access to information system processing health information and allow only users of health information systems to access personal health information.</t>
  </si>
  <si>
    <t>MLSR037_281_ref</t>
  </si>
  <si>
    <t>MLSR037_282</t>
  </si>
  <si>
    <t>Organization shall establish access control based on predefined roles with associated authorities</t>
  </si>
  <si>
    <t>MLSR037_297</t>
  </si>
  <si>
    <t>System shall have a user registration process and ensure that the level of authentication required of claimed user identity is consistent with the level(s) of access that will become available to the user.</t>
  </si>
  <si>
    <t>MLSR037_298</t>
  </si>
  <si>
    <t>System shall periodically review the user registration detail to ensure the completeness, accurate and the access is still required.</t>
  </si>
  <si>
    <t>MLSR037_314</t>
  </si>
  <si>
    <t>System shall implement role-based access control that relies upon the professional credentials and job titles of users established during registration to restrict users’ access privileges to just those required to fulfil one or more well-defined roles</t>
  </si>
  <si>
    <t>MLSR037_315</t>
  </si>
  <si>
    <t>System shall define the workgroup-based access control to determine the access level of the workgroup.</t>
  </si>
  <si>
    <t>MLSR037_316</t>
  </si>
  <si>
    <t>System shall define discretionary access control which enable users of health information systems to grant access to other users who have no previously established relationship to that subject of care’s personal health information (e.g. a specialist).</t>
  </si>
  <si>
    <t>MLSR037_329</t>
  </si>
  <si>
    <t>System shall create a emergency user accounts with privileges to access personal health information in emergency situations.</t>
  </si>
  <si>
    <t>MLSR037_333</t>
  </si>
  <si>
    <t>System shall terminate user access privileges of permanent, temporary, third-party contractor upon termination of employment, contracting, or volunteer activities.</t>
  </si>
  <si>
    <t>MLSR037_348</t>
  </si>
  <si>
    <t>9.4.1</t>
  </si>
  <si>
    <t>System shall implement two factor authentication to authenticate health information system users.</t>
  </si>
  <si>
    <t>MLSR037_371</t>
  </si>
  <si>
    <t>Cryptographic controls</t>
  </si>
  <si>
    <t>System shall implement cryptography mechanism to protect the confidentiality, authenticity and/or integrity of information.</t>
  </si>
  <si>
    <t>MLSR037_440</t>
  </si>
  <si>
    <t>Organization shall ensure that any use or processing of personalhealth information outside its premises of medical devices that record or report data shall have a proper authorization.</t>
  </si>
  <si>
    <t>MLSR037_478</t>
  </si>
  <si>
    <t>Organization shall separate (physically or virtually) development and testing environments for health information systems</t>
  </si>
  <si>
    <t>MLSR037_484</t>
  </si>
  <si>
    <t>Organization shall implement appropriate prevention, detection and response controls to protect against malicious software.</t>
  </si>
  <si>
    <t>MLSR037_490</t>
  </si>
  <si>
    <t>Organization shall back up all personal health information and store it in a physically secure environment to ensure its future availability.</t>
  </si>
  <si>
    <t>MLSR037_490_1</t>
  </si>
  <si>
    <t>Organization shall ensure the personal health information are backed up in an encrypted format to protect the confidentiality.</t>
  </si>
  <si>
    <t>MLSR037_496</t>
  </si>
  <si>
    <t>System shall create audit record when user accesses, creates, updates or archives personal health information via the system.</t>
  </si>
  <si>
    <t>MLSR037_496_1</t>
  </si>
  <si>
    <t>System shall ensure audit log should uniquely identify the user, uniquely identify the data subject (i.e. the subject of care), identify the function performed by the user (record creation, access, update, etc.), and note the time and date at which the function was performed.</t>
  </si>
  <si>
    <t>MLSR037_498</t>
  </si>
  <si>
    <t>System shall log the transmission messages with time, date, origin and destination of the message.</t>
  </si>
  <si>
    <t>MLSR037_499</t>
  </si>
  <si>
    <t>Organization shall carefully assess and determine the retention period for audit logs.</t>
  </si>
  <si>
    <t>MLSR037_501</t>
  </si>
  <si>
    <t>System shall provide the capability to analyze logs and audit trails.</t>
  </si>
  <si>
    <t>MLSR037_507</t>
  </si>
  <si>
    <t>System shall safeguard the access to system audit tools and audit trails and ensure audit records shall be secure and tamper-proof.</t>
  </si>
  <si>
    <t>MLSR037_518</t>
  </si>
  <si>
    <t>System shall provide sufficient security measures to protect audit logs from tampering.</t>
  </si>
  <si>
    <t>MLSR037_530</t>
  </si>
  <si>
    <t>System supporting time-critical-shared care activities shall provide time synchronization services to support tracing and reconstitution of activity timelines.</t>
  </si>
  <si>
    <t>MLSR037_589</t>
  </si>
  <si>
    <t>Organization shall ensure the confidentiality and integrity while transmitting personal health information by electronic messaging.</t>
  </si>
  <si>
    <t>MLSR037_607</t>
  </si>
  <si>
    <t>14.1.1.1</t>
  </si>
  <si>
    <t>System shall ensure that each user can be uniquely identified within the system.</t>
  </si>
  <si>
    <t>MLSR037_630</t>
  </si>
  <si>
    <t>14.1.3.1</t>
  </si>
  <si>
    <t>Health-specific controls</t>
  </si>
  <si>
    <t>System shall protect the integrity of publicly available health information to prevent unauthorized modification.</t>
  </si>
  <si>
    <t>MLSR037_762</t>
  </si>
  <si>
    <t>17.1.2</t>
  </si>
  <si>
    <t>Organization shall consider fallback procedures as necessary to counter failure in processes, systems and relevant equipment that are vital in health care delivery.</t>
  </si>
  <si>
    <t>MLSR020_101</t>
  </si>
  <si>
    <t>6.3.3.1</t>
  </si>
  <si>
    <t>Characteristics of auditory ALARM SIGNALS</t>
  </si>
  <si>
    <t>System shall prevent operator from unauthorized access for changing the auditory alarm signal.</t>
  </si>
  <si>
    <t>MLSR020_101_ref</t>
  </si>
  <si>
    <t>MLSR020_129</t>
  </si>
  <si>
    <t>6.5.3.1</t>
  </si>
  <si>
    <t>ALARM SYSTEMS with one ALARM PRESET</t>
  </si>
  <si>
    <t>System shall prevent the operator from saving changes to this ALARM PRESET and restrict it only to the RESPONSIBLE ORGANIZATION.</t>
  </si>
  <si>
    <t>MLSR020_130</t>
  </si>
  <si>
    <t>System shall provide option for the responsible organization to restore the ALARM PRESET to its MANUFACTURER-configured state.</t>
  </si>
  <si>
    <t>MLSR020_136</t>
  </si>
  <si>
    <t>6.5.3.2</t>
  </si>
  <si>
    <t>ALARM SYSTEMS with more than one ALARM PRESET</t>
  </si>
  <si>
    <t>System shall prevent the operator from saving changes to any responsible organization-configured or manufacturer-configured alarm preset and restrict it only to the responsible organization.</t>
  </si>
  <si>
    <t>MLSR020_137</t>
  </si>
  <si>
    <t>System shall prevent an individual operator from saving changes to alarm presets that were stored by any other operator.</t>
  </si>
  <si>
    <t>MLSR020_142</t>
  </si>
  <si>
    <t>6.5.4.1</t>
  </si>
  <si>
    <t>General requirements</t>
  </si>
  <si>
    <t>Manufacturer shall prevent any operator from storing changes to the default alarm preset and restrict it only to the responsible organization.</t>
  </si>
  <si>
    <t>MLSR020_143</t>
  </si>
  <si>
    <t>Manufacturer shall provide option for the responsible organization to restore the default alarm preset to its manufacturer-configured values.</t>
  </si>
  <si>
    <t>MLSR020_173</t>
  </si>
  <si>
    <t>6.8.2</t>
  </si>
  <si>
    <t>REMINDER SIGNALS</t>
  </si>
  <si>
    <t>System shall allow only the RESPONSIBLE ORGANIZATION to enable and disable the REMINDER SIGNAL and to configure the maximum REMINDER SIGNAL interval, when adjustment is provided.</t>
  </si>
  <si>
    <t>MLSR020_174</t>
  </si>
  <si>
    <t>Alarm System shall only allow the responsible organization to permit designated operators or any operator to enable and disable the reminder signal.</t>
  </si>
  <si>
    <t>MLSR020_177</t>
  </si>
  <si>
    <t>6.8.3</t>
  </si>
  <si>
    <t>Global indefinite ALARM SIGNAL inactivation states</t>
  </si>
  <si>
    <t>Alarm System shall allow only the responsible organization to enable or disable any global Alarm OFF or Audio OFF and prevent clinical operator from changing the configuration in normal use.</t>
  </si>
  <si>
    <t>MLSR020_186</t>
  </si>
  <si>
    <t>6.8.5</t>
  </si>
  <si>
    <t>* Indication and access</t>
  </si>
  <si>
    <t>Alarm System shall allow only the responsible organization to adjust the maximum interval and provide options for operator to adjust the interval up to the maximum interval, if the Audio Paused or Alarm Paused interval is operator adjustable.</t>
  </si>
  <si>
    <t>MLSR020_195</t>
  </si>
  <si>
    <t>* NON-LATCHING and LATCHING ALARM SIGNALS</t>
  </si>
  <si>
    <t>Alarm System shall allow only the responsible organization to select between latching and non-latching alarm signals and prevent operators from doing it.</t>
  </si>
  <si>
    <t>MLSR020_210</t>
  </si>
  <si>
    <t>* ALARM CONDITION logging</t>
  </si>
  <si>
    <t>Alarm System shall log the occurrence and identity of High Priority alarm conditions, if an alarm system is provided with a log of the occurrence of alarm conditions.</t>
  </si>
  <si>
    <t>MLSR020_211</t>
  </si>
  <si>
    <t>Alarm System shall ensure to log the time of occurrence, associated alarm limits, alarm signal inactivation states, physiological and technical alarm conditions.</t>
  </si>
  <si>
    <t>MLSR020_211_ref</t>
  </si>
  <si>
    <t>MLSR020_389</t>
  </si>
  <si>
    <t>A.2</t>
  </si>
  <si>
    <t>Subclause 6.7 – ALARM SYSTEM security</t>
  </si>
  <si>
    <t>Alarm system shall use password-protection for each operator to store his or her own operator-configured alarm presets and thus restrict an operator from changing the alarm preset configuration of other operators.</t>
  </si>
  <si>
    <t>MLSR020_444</t>
  </si>
  <si>
    <t>Subclause 6.12 – ALARM CONDITION logging</t>
  </si>
  <si>
    <t>Alarm system shall ensure to log all alarm conditions for quality assurance purpose and for the study of critical incidents.</t>
  </si>
  <si>
    <t>MLSR020_446</t>
  </si>
  <si>
    <t>Alarm system shall ensure to log all generated alarm signals of alarm conditions, or all generated alarm signals of alarm conditions at or above a specified priority, to assist analysis of problematic situations.</t>
  </si>
  <si>
    <t>MLSR020_447</t>
  </si>
  <si>
    <t>Alarm system shall ensure to log all the entry and exit for each ALARM SIGNAL inactivation state like Alarm OFF, Alarm paused, Audio OFF, Audio paused.</t>
  </si>
  <si>
    <t>MLSR020_450</t>
  </si>
  <si>
    <t>Alarm system shall ensure that the contents of the log are stored either for a specified period of time or until deleted by responsible organization or operator action.</t>
  </si>
  <si>
    <t>MLSR020_451</t>
  </si>
  <si>
    <t>Alarm system shall ensure that the contents of the log are available for review by the operator as required.</t>
  </si>
  <si>
    <t>MLSR020_454</t>
  </si>
  <si>
    <t>Manufacturer shall consider including a log of technical alarm conditions that cannot be reset by operator action for servicing and maintenance purposes.</t>
  </si>
  <si>
    <t>MLSR105_52</t>
  </si>
  <si>
    <t>A.Identify and Protect Device Assets and Functionality</t>
  </si>
  <si>
    <t>Manufacturer shall implement protection mechanisms to prevent all unauthorized use and ensure code, data, and execution integrity and as appropriate, protect confidentiality of data to reduce the risk of multi-patient harm</t>
  </si>
  <si>
    <t>MLSR105_56</t>
  </si>
  <si>
    <t>(a) Limit Access to Trusted Users &amp; Devices Only</t>
  </si>
  <si>
    <t>System shall limit access to the devices only to authenticated users.</t>
  </si>
  <si>
    <t>MLSR105_57</t>
  </si>
  <si>
    <t>System shall automatically terminate the user session after period of time.</t>
  </si>
  <si>
    <t>MLSR105_58</t>
  </si>
  <si>
    <t>System shall implement role or layer based authorization model to manage the user access rights of medical device resources.</t>
  </si>
  <si>
    <t>MLSR105_59</t>
  </si>
  <si>
    <t>System shall use multi-factor authentication to permit privileged device access to system administrators, service technicians, maintenance personnel.</t>
  </si>
  <si>
    <t>MLSR105_60</t>
  </si>
  <si>
    <t>Manufacturer shall strengthen password protection by avoiding use of credentials that are hardcoded, default, easily-guessed, easily compromised and limit public access to passwords used for privileged device access.</t>
  </si>
  <si>
    <t>Manufacturer shall implement the physical lock mechanism for communication ports to minimize the device tampering.</t>
  </si>
  <si>
    <t>MLSR105_61_ref</t>
  </si>
  <si>
    <t>MLSR105_63</t>
  </si>
  <si>
    <t xml:space="preserve">(b) Authenticate and Check Authorization of Safety-Critical 
Commands </t>
  </si>
  <si>
    <t>Manufacturer shall use authentication to prevent unauthorized access to device functions and to prevent unauthorized software execution.</t>
  </si>
  <si>
    <t>MLSR105_64</t>
  </si>
  <si>
    <t>Manufacturer shall verify the user authentication before permitting software or firmware update including operating system, application and anti-malware software.</t>
  </si>
  <si>
    <t>MLSR105_65</t>
  </si>
  <si>
    <t>Manufacturer shall use cryptographically strong authentication resident on the device to authenticate personnel, messages, commands and as applicable, all other communication pathways</t>
  </si>
  <si>
    <t>MLSR105_66</t>
  </si>
  <si>
    <t>Manufacturer shall authenticate all external connections such that if a device connects to an offsite server, then it and the server should mutually authenticate, even if the connection is initiated over one or more existing trusted channels.</t>
  </si>
  <si>
    <t>MLSR105_67</t>
  </si>
  <si>
    <t>Manufacturer shall authenticate firmware and software and also verify authentication tags such as signatures, MACs of software/firmware content, version numbers, and other metadata and ensure that the version numbers intended to be installed shall themselves be signed/have MACs.</t>
  </si>
  <si>
    <t>MLSR105_69</t>
  </si>
  <si>
    <t>Manufacturer shall design devices to “deny by default, "and the device should generally reject all unauthorized connections such as incoming TCP,USB, Bluetooth, serial connections.</t>
  </si>
  <si>
    <t>MLSR105_70</t>
  </si>
  <si>
    <t>Manufacturer shall apply the principle of least privilege to allow only the level of access necessary to perform a function.</t>
  </si>
  <si>
    <t>MLSR105_72</t>
  </si>
  <si>
    <t>(a) Code Integrity</t>
  </si>
  <si>
    <t>Manufacturer shall only allow installation of cryptographically verified firmware/software updates and use cryptographically signed updates to help prevent unauthorized reduction in the level of protection (downgrade or rollback attacks) by ensuring that the new update is more recent than the currently installed version.</t>
  </si>
  <si>
    <t>MLSR105_73</t>
  </si>
  <si>
    <t>Manufacturer shall verify the integrity of the software before execution by using ‘whitelisting’ based on digital signatures.</t>
  </si>
  <si>
    <t>MLSR105_75</t>
  </si>
  <si>
    <t>(b) Data Integrity</t>
  </si>
  <si>
    <t>Manufacturer shall verify the integrity of all incoming data ensuring it is not modified in transit or at rest, and it is well-formed/compliant with the expected protocol/specification.</t>
  </si>
  <si>
    <t>MLSR105_76</t>
  </si>
  <si>
    <t>Manufacturer shall securely transfer data by data encryption and end point authentication.</t>
  </si>
  <si>
    <t>MLSR105_77</t>
  </si>
  <si>
    <t>System shall protect the integrity of data necessary to ensure the safety and essential performance of the device.</t>
  </si>
  <si>
    <t>MLSR105_78</t>
  </si>
  <si>
    <t>Manufacturer shall use NIST recommended standards (e.g. FIPS 140-2, NIST Suite B) or equivalent-strength cryptographic protection for communication channels.</t>
  </si>
  <si>
    <t>MLSR105_79</t>
  </si>
  <si>
    <t>Manufacturer shall use unique per device cryptographically secure communication keys to prevent leveraging the knowledge of one key to access a multitude of devices.</t>
  </si>
  <si>
    <t>MLSR105_81</t>
  </si>
  <si>
    <t>3.Maintain Confidentiality of Data</t>
  </si>
  <si>
    <t>Manufacturer shall ensure confidentiality of any/all data whose disclosure could lead to patient harm, through use of credentials and encryption.</t>
  </si>
  <si>
    <t>MLSR105_85</t>
  </si>
  <si>
    <t>1. Design the Device to Detect Cybersecurity Events in a 
Timely Fashion</t>
  </si>
  <si>
    <t>Manufacturer shall implement design features that allow for security compromises to be detected, recognized, logged, timed, and acted upon during normal use.</t>
  </si>
  <si>
    <t>MLSR105_86</t>
  </si>
  <si>
    <t>System shall be designed to permit routine security and antivirus scanning without impacting essential performance of the device.</t>
  </si>
  <si>
    <t>MLSR105_87</t>
  </si>
  <si>
    <t>Manufacturer shall ensure that log design enables forensic evidence capture and shall include mechanisms to create and store log files for security events like configuration changes, network anomalies, login attempts, and anomalous traffic and also maintain documentation which shall include how and where the log file is located, stored, recycled, archived, and how it could be consumed by IDS.</t>
  </si>
  <si>
    <t>MLSR105_88</t>
  </si>
  <si>
    <t>Organization shall ensure that secure configurations include endpoint protections such as anti- malware, firewall/firewall rules, whitelisting, defining security event parameters, logging parameters, physical security detection to limit the potential impact of vulnerabilities</t>
  </si>
  <si>
    <t>MLSR105_89</t>
  </si>
  <si>
    <t>Manufacturer shall implement the software configuration management, permit tracking and control of software changes to be electronically obtainable by authorized users.</t>
  </si>
  <si>
    <t>MLSR105_93</t>
  </si>
  <si>
    <t>2. Design the Device to Respond to and contain the impact of a 
potential cybersecurity incident</t>
  </si>
  <si>
    <t>Manufacturer shall be designed to notify users upon detection of a potential cybersecurity breach.</t>
  </si>
  <si>
    <t>MLSR105_94</t>
  </si>
  <si>
    <t>Manufacturer shall design system to anticipate the need for software patches and updates to address future cybersecurity vulnerabilities</t>
  </si>
  <si>
    <t>MLSR105_95</t>
  </si>
  <si>
    <t>Manufacturer shall design a system to facilitate the rapid verification, validation, and testing of patches and updates.</t>
  </si>
  <si>
    <t>MLSR105_96</t>
  </si>
  <si>
    <t>Manufacturer shall design a system to facilitate the rapid deployment of patches and updates.</t>
  </si>
  <si>
    <t>MLSR105_98</t>
  </si>
  <si>
    <t>3. Design the Device to Recover capabilities or services that 
were impaired due to a cybersecurity incident</t>
  </si>
  <si>
    <t>Manufacturer shall implement device features that protect critical functionality and data, even when the device’s cybersecurity has been compromised.</t>
  </si>
  <si>
    <t>MLSR105_99</t>
  </si>
  <si>
    <t>System shall allow retention and recovery of device configuration by an authenticated privileged user.</t>
  </si>
  <si>
    <t>MLSR105_100</t>
  </si>
  <si>
    <t>Manufacturer shall design devices such that it specifies the level of autonomous functionality (resilience) any component of the system possesses when its communication capabilities with the rest of the system are disrupted including disruption of significant duration.</t>
  </si>
  <si>
    <t>MLSR105_101</t>
  </si>
  <si>
    <t>Manufacturer shall design system to be resilient to possible cybersecurity incident scenarios such as network outages, Denial of Service attacks, excessive bandwidth usage by other products, disrupted quality of service (QoS), and excessive jitter</t>
  </si>
  <si>
    <t>MLSR102_84</t>
  </si>
  <si>
    <t>TGA</t>
  </si>
  <si>
    <t>Relevant Essential Principles and their cyber security considerations</t>
  </si>
  <si>
    <t>System shall have the capability to detect, notify and log cyber security issues and raise an alarm when at risk.</t>
  </si>
  <si>
    <t>MLSR102_108</t>
  </si>
  <si>
    <t>Manufacturers shall enforce that appropriate cyber security controls are in place to ensure the confidentiality, integrity and availability of information collected by the device and make the user aware of any issues with regards to this information.</t>
  </si>
  <si>
    <t>MLSR102_114</t>
  </si>
  <si>
    <t>System shall have the capability to log cybersecurity issues of the medical device where appropriate.</t>
  </si>
  <si>
    <t>MLSR102_207</t>
  </si>
  <si>
    <t>Cyber security assessment and penetration testing</t>
  </si>
  <si>
    <t>Manufacturers shall ensure to detect malicious codes and code segments such as malwares, virus and worms</t>
  </si>
  <si>
    <t>MLSR102_218</t>
  </si>
  <si>
    <t>Operating platform security</t>
  </si>
  <si>
    <t>Manufacturers shall implement code signing for firmware updates so that the integrity is checked before installing which prevents firmware from unauthorized/malicious source and ensures that the firmware code is not tampered.</t>
  </si>
  <si>
    <t>MLSR102_220</t>
  </si>
  <si>
    <t>Trusted access and content provision</t>
  </si>
  <si>
    <t>Organization and sponsors shall implement trusted access measures for network connected devices to prevent unauthorized access and to reduce cyber security risk</t>
  </si>
  <si>
    <t>MLSR102_221</t>
  </si>
  <si>
    <t>Organization shall enforce removal of internet accessibility and direct network connectivity where appropriate and physically locking a device.</t>
  </si>
  <si>
    <t>MLSR102_222</t>
  </si>
  <si>
    <t>Manufacturers shall incorporate multi-factor authentication, build in state of the art access requirements, account lockout protocols, and automatic timed methods to terminate sessions where appropriate.</t>
  </si>
  <si>
    <t>MLSR102_223</t>
  </si>
  <si>
    <t>Manufacturers shall establish logs to ensure traceable access to the device and audit logs to ensure trusted and credentialed access.</t>
  </si>
  <si>
    <t>MLSR102_224</t>
  </si>
  <si>
    <t>Manufacturers shall enforce to utilize user profiles that limit device access and privileges, balancing access and security (role based access)</t>
  </si>
  <si>
    <t>MLSR102_225</t>
  </si>
  <si>
    <t>Manufacturers shall enforce to encrypt the device data both at rest and in transit, where appropriate.</t>
  </si>
  <si>
    <t>MLSR102_249</t>
  </si>
  <si>
    <t>Cyber security risk</t>
  </si>
  <si>
    <t>Manufacturers shall implement actions necessary to address malicious or accidental insider access to a device or deletion, alteration, falsification or unauthorized sharing of patient data.</t>
  </si>
  <si>
    <t>MLSR221_34</t>
  </si>
  <si>
    <t>Legislative acts</t>
  </si>
  <si>
    <t>REGULATIONS</t>
  </si>
  <si>
    <t>Manufacturer shall implement Pseudonymization/de-identification process to personal data to reduce the risk of privacy information disclosure to unauthorized user.</t>
  </si>
  <si>
    <t>MLSR221_60</t>
  </si>
  <si>
    <t>Manufacturer shall implement necessary network and information security while processing personal data to prevent accidental events or unlawful or malicious actions that compromise the availability, authenticity, integrity and confidentiality of stored or transmitted personal data such as preventing unauthorized access to electronic communications networks and malicious code distribution and stopping ‘denial of service’ attacks and damage to computer and electronic communication systems.</t>
  </si>
  <si>
    <t>MLSR221_79</t>
  </si>
  <si>
    <t>Manufacturer shall provide an option to access the user specific personal data by data subjects or user and verify user rights at reasonable intervals, in order to be aware of, and verify, the lawfulness of the processing.</t>
  </si>
  <si>
    <t>MLSR221_81</t>
  </si>
  <si>
    <t>Manufacturer shall verify the identity of a user or data subject who requests access for system or context of online services and online identifiers.</t>
  </si>
  <si>
    <t>MLSR221_82</t>
  </si>
  <si>
    <t>Manufacturer shall ensure that the user has the right to have personal data erased and no longer processed where the personal data are no longer necessary in relation to the purposes for which they are collected or otherwise processed.</t>
  </si>
  <si>
    <t>MLSR221_267</t>
  </si>
  <si>
    <t xml:space="preserve">Principles relating to processing of personal data </t>
  </si>
  <si>
    <t>Manufacturer shall retain the personal data only as long as necessary for the purpose for which it was obtained and needs to determine how long data can be kept before it is either deleted or anonymized.</t>
  </si>
  <si>
    <t>MLSR221_378</t>
  </si>
  <si>
    <t xml:space="preserve">Article 32 </t>
  </si>
  <si>
    <t xml:space="preserve">Security of processing </t>
  </si>
  <si>
    <t>Manufacturer shall implement security control to ensure the ongoing confidentiality, integrity, availability and resilience of processing systems and services.</t>
  </si>
  <si>
    <t>MLSR221_378_1</t>
  </si>
  <si>
    <t>Manufacturer shall have capability to restore the availability and access to personal data in a timely manner in the event of a physical or technical incident.</t>
  </si>
  <si>
    <t>MLSR221_814</t>
  </si>
  <si>
    <t>Article 29</t>
  </si>
  <si>
    <t>Manufacturer shall incorporate a design to deny unauthorized persons access to processing equipment such as unauthorized reading, copying, modification or removal of data media.</t>
  </si>
  <si>
    <t>MLSR221_814_2</t>
  </si>
  <si>
    <t>Manufacturer shall prevent the unauthorized input of personal data and unauthorized inspection, modification or deletion of stored personal data (‘storage control’)</t>
  </si>
  <si>
    <t>MLSR017_75</t>
  </si>
  <si>
    <t>12.4.3.2</t>
  </si>
  <si>
    <t>Design and Development Process-related Risk Controls</t>
  </si>
  <si>
    <t>Organization shall evaluate “Random” number seeds during design for suitability per the security risk assessment and document in the Risk Management File.</t>
  </si>
  <si>
    <t>MLSR017_76</t>
  </si>
  <si>
    <t>12.4.3.3</t>
  </si>
  <si>
    <t>Organization shall grant only those required privileges for software processes and their authorized users to carry out their specified functions, during the design and development process.</t>
  </si>
  <si>
    <t>MLSR017_77</t>
  </si>
  <si>
    <t>12.4.3.4</t>
  </si>
  <si>
    <t>Organization shall validate all inputs prior to processing, during the design and development process.</t>
  </si>
  <si>
    <t>MLSR017_78</t>
  </si>
  <si>
    <t>12.4.3.5</t>
  </si>
  <si>
    <t>Organization shall deterministically constrain programs to avoid vulnerabilities such as Buffer overflow, use of undefined or uninitialized programming constructs or unmanaged resources or uninitialized memory, improper use of resource management functions; unless such constraints do not introduce new hazards; during the design and development process.</t>
  </si>
  <si>
    <t>MLSR017_79</t>
  </si>
  <si>
    <t>12.4.3.6</t>
  </si>
  <si>
    <t>Organization shall consider the use of memory safe languages during the design and development process.</t>
  </si>
  <si>
    <t>MLSR017_81</t>
  </si>
  <si>
    <t>12.4.3.8</t>
  </si>
  <si>
    <t>Organization shall consider the use of automated memory safety error mitigation and compiler-enforced buffer overflow elimination, during the design and development process.</t>
  </si>
  <si>
    <t>MLSR017_82</t>
  </si>
  <si>
    <t>12.4.3.9</t>
  </si>
  <si>
    <t>Organization shall consider the use of secure coding standards during the design and development process.</t>
  </si>
  <si>
    <t>MLSR017_83</t>
  </si>
  <si>
    <t>12.4.3.10</t>
  </si>
  <si>
    <t>Organization shall consider the use of automated thread safety analysis during the design and development process.</t>
  </si>
  <si>
    <t>MLSR017_84</t>
  </si>
  <si>
    <t>12.4.3.11</t>
  </si>
  <si>
    <t>Organization shall consider the use of proven cryptographic algorithms and implementations during the design and development process.</t>
  </si>
  <si>
    <t>MLSR017_87</t>
  </si>
  <si>
    <t>12.4.3.14</t>
  </si>
  <si>
    <t>Organization shall use digitally signed software and firmware during design and development process of the product.</t>
  </si>
  <si>
    <t>MLSR017_88</t>
  </si>
  <si>
    <t>12.4.3.15</t>
  </si>
  <si>
    <t>Organization shall validate software and firmware updates using digital signatures prior to re-initiation of the product during design and development process.</t>
  </si>
  <si>
    <t>MLSR017_89</t>
  </si>
  <si>
    <t>12.4.3.16</t>
  </si>
  <si>
    <t>Organization shall use whitelisting for authentication and/or authorization unless such use introduces new hazards during design and development process.</t>
  </si>
  <si>
    <t>MLSR017_91</t>
  </si>
  <si>
    <t>12.4.3.18</t>
  </si>
  <si>
    <t>Organization shall monitor storage such as memory, with an integrity monitor to ensure that the code and data sections are not unintentionally modified during design and development process.</t>
  </si>
  <si>
    <t>MLSR017_92</t>
  </si>
  <si>
    <t>12.4.3.19</t>
  </si>
  <si>
    <t>Organization shall protect software interfacing directly to hardware, against unauthorized modifications or access via either software or hardware means as prescribed by the manufacturer’s risk management process.</t>
  </si>
  <si>
    <t>MLSR017_93</t>
  </si>
  <si>
    <t>12.4.3.20</t>
  </si>
  <si>
    <t>Organization shall consider the use of perfect-forward secrecy in the encryption protocol during design and development process.</t>
  </si>
  <si>
    <t>MLSR016_95</t>
  </si>
  <si>
    <t>Access Control, User Authentication and User Authorization</t>
  </si>
  <si>
    <t>System shall implement inactivity time-out interval such that its configurable at a user level or by the product’s response to an event or action.</t>
  </si>
  <si>
    <t>MLSR016_97</t>
  </si>
  <si>
    <t>System shall use cryptographically secure mechanism to store and transmit the credential</t>
  </si>
  <si>
    <t>MLSR016_98</t>
  </si>
  <si>
    <t>System shall ensure authentication error messages provided by the product shall not enumerate any validcredentials.</t>
  </si>
  <si>
    <t>MLSR016_99</t>
  </si>
  <si>
    <t>Manufacturer shall ensure to maintain complexity,update frequency, strength or length for credentials and if the credential is a password, its minimum length shall be 6 characters.</t>
  </si>
  <si>
    <t>MLSR016_100</t>
  </si>
  <si>
    <t>System shall disable the credential or set pre-defined timeout period after particular sequential number of unsuccessful login attempts or for every 10 sequential unsuccessful authentication attempts, the credential shall be disabled for 30 minutes.</t>
  </si>
  <si>
    <t>MLSR016_101</t>
  </si>
  <si>
    <t>System shall increase the delay for each unsuccessful attempt and use anti-robot protection such as captcha tests.</t>
  </si>
  <si>
    <t>MLSR016_105</t>
  </si>
  <si>
    <t>System shall prohibit to have default credential that cannot be modified or supplanted by an alternative and all default credentials should have a mechanism for change upon first use after installation with a user notification of Default Credentials in use if applicable.</t>
  </si>
  <si>
    <t>MLSR302_241</t>
  </si>
  <si>
    <t>MLSR016_106</t>
  </si>
  <si>
    <t>System shall have an option to limit the number of unsuccessful attempts.</t>
  </si>
  <si>
    <t>MLSR016_108</t>
  </si>
  <si>
    <t>System shall ensure to have an ’administrator’ or ’system’ role that has privileges exclusively related to the management of the product and such privileges shall not be granted to other roles.</t>
  </si>
  <si>
    <t>MLSR016_110</t>
  </si>
  <si>
    <t>System shall be capable to maintain list of valid user accounts by adding, removing and/or suspending user accounts or by adding, revoking, orupdating of authentication credentials.</t>
  </si>
  <si>
    <t>MLSR016_111</t>
  </si>
  <si>
    <t>System shall support assigning privileges and permissions to roles and credentials</t>
  </si>
  <si>
    <t>MLSR016_112</t>
  </si>
  <si>
    <t>System shall enforce the principle of least privilege for every authorized role or user that can be authenticated.</t>
  </si>
  <si>
    <t>MLSR016_113</t>
  </si>
  <si>
    <t>System shall enable renewed authentication when communication session is lost or terminated over a remote interface.</t>
  </si>
  <si>
    <t>MLSR016_114</t>
  </si>
  <si>
    <t>System shall prohibit to use stored data from the previous session to simplify/ease/partially bypass authentication/authorization mechanisms during a new session creation.</t>
  </si>
  <si>
    <t>MLSR016_115</t>
  </si>
  <si>
    <t>System shall implement mechanism such that the product’s authentication method cannot be bypassed using any procedure that uses less computation than exercising all elements of the set of values necessary forsystematic deduction of the authentication’s secret value(s).</t>
  </si>
  <si>
    <t>MLSR016_119</t>
  </si>
  <si>
    <t>Remote Communication</t>
  </si>
  <si>
    <t>System shall ensure integrity and authenticity of all data communicated over any remote interface.</t>
  </si>
  <si>
    <t>MLSR016_122</t>
  </si>
  <si>
    <t>Sensitive Data</t>
  </si>
  <si>
    <t>System shall ensure the confidentiality of all sensitive data and personally identifiable data information generated, stored, used or communicated.</t>
  </si>
  <si>
    <t>MLSR016_125</t>
  </si>
  <si>
    <t>System shall use separate cryptographic key for each service, operation, or function such as data at rest encryption, transport layer encryption, operator role authentication, remote software upgrade image integrity.</t>
  </si>
  <si>
    <t>MLSR016_128</t>
  </si>
  <si>
    <t>Product Management</t>
  </si>
  <si>
    <t>System shall be designed and implemented to allow for security updates to the product's software and support roll back mechanism to previous installed version incase of any update failures.</t>
  </si>
  <si>
    <t>MLSR016_129</t>
  </si>
  <si>
    <t>System shall verify authenticity and integrity of any software update cryptographically,before installing the update and product updates shall be possible in an offline environment and this offlineproduct update mode should also still support validation of authenticity and integrity.</t>
  </si>
  <si>
    <t>MLSR016_130</t>
  </si>
  <si>
    <t>System shall be capable of maintaining one or more log(s) of all security-related events, suchas successful and unsuccessful login attempts, change of user authentication credentials, changes in thelist of valid user accounts, successful and unsuccessful software updates.</t>
  </si>
  <si>
    <t>MLSR016_131</t>
  </si>
  <si>
    <t>System shall store all security-related logs in non-volatile memory and prohibit non-privileged users to remove or change them.</t>
  </si>
  <si>
    <t>MLSR016_132</t>
  </si>
  <si>
    <t>System shall erase all user defined configuration data, sensitive data, personally identifiable information at the time of decommissioning.</t>
  </si>
  <si>
    <t>MLSR016_135</t>
  </si>
  <si>
    <t>Manufacturer shall validate the software updates/ software source by implementing message authentication code, digital signature and hash for software and firmware components</t>
  </si>
  <si>
    <t>Malware Testing</t>
  </si>
  <si>
    <t>Manufacturer shall scan the binary code and bytecode using malware detection tool to identify the malware exists in the final deliverables of the product.</t>
  </si>
  <si>
    <t>MLSR016_154_ref</t>
  </si>
  <si>
    <t>MLSR016_156</t>
  </si>
  <si>
    <t>Malformed Input Testing</t>
  </si>
  <si>
    <t>System shall continue to operate as intended when subject to invalid or unexpected inputs on its external interfaces and shall not display unexpected behavior such as product resets or reinitializes its configuration, process crash or assertion failure occurs without a recovery to its previous state after the test is completed in 2 minutes or less and process hangs</t>
  </si>
  <si>
    <t>MLSR210_75</t>
  </si>
  <si>
    <t>Intended use and intended operational environment of use</t>
  </si>
  <si>
    <t>Manufacturers shall design a system with layered defense in depth approach and security controls does not rely on the operating environment</t>
  </si>
  <si>
    <t>MLSR210_102</t>
  </si>
  <si>
    <t>“Secure by design”</t>
  </si>
  <si>
    <t>Manufacturers shall implement “Defense-in-Depth strategy” approach for medical device as part of development of product lifecycle</t>
  </si>
  <si>
    <t>MLSR210_136</t>
  </si>
  <si>
    <t>Minimum IT Requirements</t>
  </si>
  <si>
    <t>Manufacturers shall have a set out minimum requirements for hardware, IT network characteristics and IT security measures including protection against unauthorized access, necessary to run the software as intended</t>
  </si>
  <si>
    <t>MLSR210_155</t>
  </si>
  <si>
    <t>General security requirements for operating environment</t>
  </si>
  <si>
    <t>Manufacturer shall ensure operating environment must include appropriate security controls for user access management, antivirus, firewall, application whitelisting / system hardening, exclusive use of genuine software and ban of all illegitimate software and session management measures.</t>
  </si>
  <si>
    <t>MLSR210_156</t>
  </si>
  <si>
    <t>Manufacturer shall implement security control for network segmentation,traffic filtering and data encryption</t>
  </si>
  <si>
    <t>MLSR210_157</t>
  </si>
  <si>
    <t>Manufacturer shall ensure that appropriate security measures for workstations connected to medical device in the operating environment such as OS hardening, application whitelisting, memory protection, solutions that counter malicious code, use of strong passwords, install only software programmes necessary for the intended use.</t>
  </si>
  <si>
    <t>MLSR210_158</t>
  </si>
  <si>
    <t>Organization shall implement partitioning mechanisms, network / traffic segmentation, software integrity checks and device authentication mechanism to limit the propagation of an attack.</t>
  </si>
  <si>
    <t>MLSR210_159</t>
  </si>
  <si>
    <t>Organization shall ensure that security posture of the operating environment is maintained by applying patch in device in timely manner.</t>
  </si>
  <si>
    <t>MLSR210_160</t>
  </si>
  <si>
    <t>Manufacturer shall ensure that interoperability with other device and not impair the specified performance of the medical device</t>
  </si>
  <si>
    <t>MLSR210_224</t>
  </si>
  <si>
    <t>IT security requirements for the operating environment</t>
  </si>
  <si>
    <t>Manufacturer shall apply the principle of least privilege to user workstations and connected devices</t>
  </si>
  <si>
    <t>MLSR210_228</t>
  </si>
  <si>
    <t>Manufacturer shall implement data recovery mechanisms to restore data from critical systems</t>
  </si>
  <si>
    <t>MLSR208_68</t>
  </si>
  <si>
    <t>Manufacturer shall protect the device interface that interface other devices or networks such as Wi-Fi, Ethernet, Bluetooth and USB.</t>
  </si>
  <si>
    <t>MLSR208_69</t>
  </si>
  <si>
    <t>Manufacturer shall ensure to transfer data securely to and from the device to prevent unauthorized access or modification</t>
  </si>
  <si>
    <t>MLSR208_71</t>
  </si>
  <si>
    <t>Data Confidentiality</t>
  </si>
  <si>
    <t>Manufacturer shall implement encryption when data is stored, transferred to or from.</t>
  </si>
  <si>
    <t>MLSR208_72</t>
  </si>
  <si>
    <t>Organization shall protect message control/sequencing fields in communication protocols.</t>
  </si>
  <si>
    <t>MLSR208_73</t>
  </si>
  <si>
    <t>Data Integrity</t>
  </si>
  <si>
    <t>Manufacturer shall have appropriate security control when communicating with device that is less secure such as device connected to home network and legacy device.</t>
  </si>
  <si>
    <t>MLSR208_74</t>
  </si>
  <si>
    <t>Manufacturer shall implement audit log function to ensure that data non-repudiation are maintained.</t>
  </si>
  <si>
    <t>MLSR208_75</t>
  </si>
  <si>
    <t>Manufacturer shall implement user access controls that validate the use of device or allows granting of privileges to different classes of users or allow users access in an emergency.</t>
  </si>
  <si>
    <t>MLSR208_77</t>
  </si>
  <si>
    <t>Software Maintenance</t>
  </si>
  <si>
    <t>Manufacturer shall have a design for the device to update the patches against newly discovered cybersecurity threats at regular interval.</t>
  </si>
  <si>
    <t>MLSR208_80</t>
  </si>
  <si>
    <t>Manufacturer shall have a process how operating system software, third-party software, or open source software will be updated or controlled.</t>
  </si>
  <si>
    <t>MLSR208_81</t>
  </si>
  <si>
    <t>Hardware or Physical Design</t>
  </si>
  <si>
    <t>Manufacturer shall implement physical security controls for communication port to prevent an unauthorized person from accessing the device such as USB.</t>
  </si>
  <si>
    <t>MLSR208_82</t>
  </si>
  <si>
    <t>Reliability and Availability</t>
  </si>
  <si>
    <t>Manufacturer shall implement security controls to detect, resist, respond and recover from cybersecurity attacks.</t>
  </si>
  <si>
    <t>MLSR208_102</t>
  </si>
  <si>
    <t>Post-market Management Strategy</t>
  </si>
  <si>
    <t>Manufacturer shall have a recovery plan to restore the device to its normal operating condition when cybersecurity incident occurred.</t>
  </si>
  <si>
    <t>MLSR208_181</t>
  </si>
  <si>
    <t>Medical Device Manufacturers</t>
  </si>
  <si>
    <t>Manufacturer shall deploy a remediation or compensating controls with established means of reporting deployment failures and rolling back changes.</t>
  </si>
  <si>
    <t>MLSR208_214</t>
  </si>
  <si>
    <t>Patching</t>
  </si>
  <si>
    <t>Manufacturer shall apply the patches via secure authorized remote service and support platforms provided by the manufacturer.</t>
  </si>
  <si>
    <t>MLSR208_215</t>
  </si>
  <si>
    <t>Manufacturer shall have designated source that contains validated patches for customer retrieval and installation by directly downloading from the third-party that provides the product or component.</t>
  </si>
  <si>
    <t>MLSR219_38</t>
  </si>
  <si>
    <t>2.1.1</t>
  </si>
  <si>
    <t xml:space="preserve">Security Rule Goals and Objectives </t>
  </si>
  <si>
    <t>Manufacturer shall ensure that the confidentiality, integrity, and availability of EPHI that it creates, receives, maintains, or transmits</t>
  </si>
  <si>
    <t>MLSR219_39</t>
  </si>
  <si>
    <t>Manufacturer shall protect against any reasonably anticipated threats and hazards to the security or integrity of EPHI.</t>
  </si>
  <si>
    <t>MLSR219_40</t>
  </si>
  <si>
    <t>2.1.2</t>
  </si>
  <si>
    <t xml:space="preserve">Security Rule Organization </t>
  </si>
  <si>
    <t>Manufacturer shall protect against reasonably anticipated uses or disclosures of EPHI information that are not permitted by the Privacy Rule.</t>
  </si>
  <si>
    <t>MLSR219_104</t>
  </si>
  <si>
    <t>Workstation Security</t>
  </si>
  <si>
    <t>Organization shall implement physical safeguards for all workstations that access electronic protected health information, to restrict access to authorized users.</t>
  </si>
  <si>
    <t>MLSR219_105</t>
  </si>
  <si>
    <t>Device and Media Controls</t>
  </si>
  <si>
    <t>Manufacturer shall implement policies and procedures that govern the receipt and removal of hardware and electronic media that contain electronic protected health information into and out of a facility, and the movement of these items within the facility.</t>
  </si>
  <si>
    <t>MLSR219_106</t>
  </si>
  <si>
    <t>Access Control</t>
  </si>
  <si>
    <t>Manufacturer shall implement technical policies and procedures for electronic information systems that maintain electronic protected health information to allow access only to those persons or software programs that have been granted access rights</t>
  </si>
  <si>
    <t>MLSR219_107</t>
  </si>
  <si>
    <t>Audit Controls</t>
  </si>
  <si>
    <t>Manufacturer shall implement hardware, software, and/or procedural mechanisms that record and examine activity in information systems that contain or use electronic protected health information.</t>
  </si>
  <si>
    <t>MLSR219_108</t>
  </si>
  <si>
    <t>Integrity</t>
  </si>
  <si>
    <t>Manufacturer shall implement policies and procedures to protect electronic protected health information from improper alteration or destruction.</t>
  </si>
  <si>
    <t>MLSR219_109</t>
  </si>
  <si>
    <t>Person or Entity Authentication</t>
  </si>
  <si>
    <t>Manufacturer shall implement procedures to verify that a person or entity seeking access to electronic protected health information is the one claimed.</t>
  </si>
  <si>
    <t>MLSR219_110</t>
  </si>
  <si>
    <t>Transmission Security</t>
  </si>
  <si>
    <t>Manufacturer shall implement technical security measures to guard against unauthorized access to electronic protected health information that is being transmitted over an electronic communications network.</t>
  </si>
  <si>
    <t>MLSR222_313</t>
  </si>
  <si>
    <t>General obligations of manufacturers</t>
  </si>
  <si>
    <t>Manufacturers shall have a system for recording and reporting of incidents and field safety corrective actions</t>
  </si>
  <si>
    <t>MLSR222_1511</t>
  </si>
  <si>
    <t>Construction of devices and interaction with their environment</t>
  </si>
  <si>
    <t>System shall ensure connection system shall be safe and shall not impair the specified performance of the devices when the device is intended for use in combination with other devices or equipment the whole combination</t>
  </si>
  <si>
    <t>MLSR222_1522</t>
  </si>
  <si>
    <t>Manufacturer shall design a device that are intended to be operated together with other devices with interoperability and compatibility</t>
  </si>
  <si>
    <t>MLSR222_1524</t>
  </si>
  <si>
    <t>Manufacturer shall design a device to facilitate their safe disposal and the safe disposal of related waste substances by the user, patient or other person</t>
  </si>
  <si>
    <t>MLSR222_1542</t>
  </si>
  <si>
    <t>Electronic programmable systems — devices that incorporate electronic programmable systems and software that are devices in themselves</t>
  </si>
  <si>
    <t>Manufacturer shall design a device incorporating software ensure reliability, repeatability and performance in line with intended use.</t>
  </si>
  <si>
    <t>MLSR222_1545</t>
  </si>
  <si>
    <t>Manufacturer shall set out minimum necessary requirement to run the software as intended, concerning hardware, IT network characteristics and security measures, including protection against unauthorized access.</t>
  </si>
  <si>
    <t>MLSR222_1554</t>
  </si>
  <si>
    <t>Active devices and devices connected to them</t>
  </si>
  <si>
    <t>Manufacture shall design a device to protect against unauthorized access that hamper the device from functioning as intended.</t>
  </si>
  <si>
    <t>MLSR043_80</t>
  </si>
  <si>
    <t>Automatic  logoff – ALOF</t>
  </si>
  <si>
    <t>System shall prohibit unauthorized users to access health data at unattended workspot</t>
  </si>
  <si>
    <t>MLSR043_81</t>
  </si>
  <si>
    <t>System shall automatically terminate or lock authorized user sessions after a pre-set period of time to prevent unauthorized access to health data</t>
  </si>
  <si>
    <t>MLSR043_82</t>
  </si>
  <si>
    <t>System shall able to clearing of health data from all displays during the automatic log off.</t>
  </si>
  <si>
    <t>MLSR043_83</t>
  </si>
  <si>
    <t>System shall allow IT administrator to disable the automatic logoff function and set the expiration time</t>
  </si>
  <si>
    <t>MLSR043_84</t>
  </si>
  <si>
    <t>System shall enable screen saver with short inactivity time or manually enabled by a shortcut key</t>
  </si>
  <si>
    <t>MLSR043_85</t>
  </si>
  <si>
    <t>System shall enable screen lock with resumption of session when no key is pressed for short period and preserve uncommitted data.</t>
  </si>
  <si>
    <t>MLSR043_90</t>
  </si>
  <si>
    <t>Audit controls – AUDT</t>
  </si>
  <si>
    <t>System shall have capability to record and examine system activity by creating audit trails on a device to track system and health data access, modification, or deletion.</t>
  </si>
  <si>
    <t>MLSR043_91</t>
  </si>
  <si>
    <t>System shall be capable capture the log/audit files in standalone repository or managed in central repository based on configuration.</t>
  </si>
  <si>
    <t>MLSR043_92</t>
  </si>
  <si>
    <t>System shall secure audit data as appropriate especially if it contains personal data themselves</t>
  </si>
  <si>
    <t>MLSR043_93</t>
  </si>
  <si>
    <t>System shall prohibit to edit or delete the audit data.</t>
  </si>
  <si>
    <t>MLSR043_94</t>
  </si>
  <si>
    <t>System shall protect audit data with appropriate security control that contains personal data or health data and all processing details such as access, storage and transfer.</t>
  </si>
  <si>
    <t>MLSR043_99</t>
  </si>
  <si>
    <t>Authorization – AUTH</t>
  </si>
  <si>
    <t>System shall implement permissions-based access to system functions and data appropriate to the role(s) of the individual in the HDO</t>
  </si>
  <si>
    <t>MLSR043_100</t>
  </si>
  <si>
    <t>System shall allow authenticated individual user’s identification, the authorization capability allows each user to only access approved data and only perform approvedfunctions on the device.</t>
  </si>
  <si>
    <t>MLSR043_106</t>
  </si>
  <si>
    <t>Configuration of security features – CNFS</t>
  </si>
  <si>
    <t>System shall allow IT administrator allow to select the use of the product security capabilities including aspects of privilege management interacting with security capability control.</t>
  </si>
  <si>
    <t>MLSR043_110</t>
  </si>
  <si>
    <t>Cyber security product upgrades – CSUP</t>
  </si>
  <si>
    <t>Manufacturer shall create unified way of working for installation and upgrade of product security patches by on-site service staff, remote service staff and authorized HDO.</t>
  </si>
  <si>
    <t>MLSR043_119</t>
  </si>
  <si>
    <t>HEALTH DATA de-identification – DIDT</t>
  </si>
  <si>
    <t>System shall allow clinical user, service engineers and marketing user to deidentify health data for various purposes not requiring patient identity</t>
  </si>
  <si>
    <t>MLSR043_124</t>
  </si>
  <si>
    <t>Data backup and disaster recovery – DTBK</t>
  </si>
  <si>
    <t>System shall capable to provide reasonable assurance that persistent system settings and persistent health data stored on products can be restored after a system failure or compromise so that business can be continued.</t>
  </si>
  <si>
    <t>MLSR043_130</t>
  </si>
  <si>
    <t>Emergency access – EMRG</t>
  </si>
  <si>
    <t>System shall allow to access health data without personal user id and authentication during the emergency situations.</t>
  </si>
  <si>
    <t>MLSR043_131</t>
  </si>
  <si>
    <t>System shall capable to detect emergency access, record and report and immediately notify to system administrator or medical staff</t>
  </si>
  <si>
    <t>MLSR043_132</t>
  </si>
  <si>
    <t>System shall record self-attested useridentification without authentication during emergency access</t>
  </si>
  <si>
    <t>MLSR043_133</t>
  </si>
  <si>
    <t>System shall allow the administrator to enable/disable any emergency functionalities provided by the product</t>
  </si>
  <si>
    <t>MLSR043_138</t>
  </si>
  <si>
    <t>HEALTH DATA integrity and authenticity – IGAU</t>
  </si>
  <si>
    <t>System shall assure that the integrity of health data is both tampered for both fixed and removable media.</t>
  </si>
  <si>
    <t>MLSR043_144</t>
  </si>
  <si>
    <t>Malware detection/ protection – MLDP</t>
  </si>
  <si>
    <t>System shall capable to detect traditional malware as well as unauthorized software that could interfere with proper operation of the device/system.</t>
  </si>
  <si>
    <t>MLSR043_149</t>
  </si>
  <si>
    <t>Node authentication – NAUT</t>
  </si>
  <si>
    <t>System shall provide capability for managing cross-machine accounts on a modality to protect health data access.</t>
  </si>
  <si>
    <t>MLSR043_150</t>
  </si>
  <si>
    <t>System shall support node authentication for stand-alone and central administration</t>
  </si>
  <si>
    <t>MLSR043_151</t>
  </si>
  <si>
    <t>System shall support for node authentication according industry standards.</t>
  </si>
  <si>
    <t>MLSR043_152</t>
  </si>
  <si>
    <t>System shall have capability to detect and prevent entity falsification (non-repudiation)</t>
  </si>
  <si>
    <t>MLSR043_157</t>
  </si>
  <si>
    <t>Person  authentication – PAUT</t>
  </si>
  <si>
    <t>System shall allow to create and use of unique or role based access control (RBAC, local and remote) for a network connected device to control and monitor network access and activity.</t>
  </si>
  <si>
    <t>MLSR043_159</t>
  </si>
  <si>
    <t>System shall provide an option associate personal preferences with user accounts to help devices and systems used by multiple operator, departments or even multiple HOSs.</t>
  </si>
  <si>
    <t>MLSR043_166</t>
  </si>
  <si>
    <t>Physical locks on device – PLOK</t>
  </si>
  <si>
    <t>System shall ensure reasonable assurance that health data stored on products or media stays secure proportionate to the sensitivity and volume of data records on the device.</t>
  </si>
  <si>
    <t>MLSR043_172</t>
  </si>
  <si>
    <t>Third-party components in product lifecycle roadmaps – RDMP</t>
  </si>
  <si>
    <t>Manufacture and HDOs shall take extreme care in irreversibly erasing health data prior to storage devices being decommissioned such as discarded, reused, resold or recycled</t>
  </si>
  <si>
    <t>MLSR043_177</t>
  </si>
  <si>
    <t>System and application hardening – SAHD</t>
  </si>
  <si>
    <t>Manufacture and HDO IT ensure that systems connected to their network to be secure on delivery and hardened against misuse and attacks.</t>
  </si>
  <si>
    <t>MLSR043_188</t>
  </si>
  <si>
    <t>HEALTH DATA storage confidentiality – STCF</t>
  </si>
  <si>
    <t>MLSR043_189</t>
  </si>
  <si>
    <t>System shall encrypt health data stored on medical device based on risk analysis.</t>
  </si>
  <si>
    <t>MLSR043_190</t>
  </si>
  <si>
    <t>System shall encrypt the health data stored on removable media that protect confidentiality/ integrity for clinical users</t>
  </si>
  <si>
    <t>MLSR043_195</t>
  </si>
  <si>
    <t>Transmission confidentiality – TXCF</t>
  </si>
  <si>
    <t>System shall provide assurance to health data confidentiality is maintained during transmission between authenticated nodes.</t>
  </si>
  <si>
    <t>MLSR043_200</t>
  </si>
  <si>
    <t>Transmission integrity – TXIG</t>
  </si>
  <si>
    <t>System shall provide integrity assurance to health data is maintained during transmission.</t>
  </si>
  <si>
    <t>MLSR043_325</t>
  </si>
  <si>
    <t>A.3</t>
  </si>
  <si>
    <t>STCF: HEALTH DATA storage confidentiality</t>
  </si>
  <si>
    <t>System shall ensure that accidental power-down of the system does not affect the encryption of the health data on the mass storage device and in no circumstance of operation is unencrypted HEALTH DATA present on the internal mass storage device.</t>
  </si>
  <si>
    <t>MLSR043_377</t>
  </si>
  <si>
    <t>Annex B</t>
  </si>
  <si>
    <t>NAUT: Node authentication</t>
  </si>
  <si>
    <t>System shall have capability of managing machine-to-machine access between a modality and a workstation or PACS system to protect Protected health data (PHI) access</t>
  </si>
  <si>
    <t>MLSR078_194</t>
  </si>
  <si>
    <t>Foundational requirements</t>
  </si>
  <si>
    <t>System shall control access to selected devices, information or both to protect against unauthorized interrogation of the device or information.</t>
  </si>
  <si>
    <t>MLSR078_195</t>
  </si>
  <si>
    <t>System shall control use of selected devices, information or both to protect against unauthorized operation of the device or use of information.</t>
  </si>
  <si>
    <t>MLSR078_196</t>
  </si>
  <si>
    <t>System shall ensure that the integrity of data on selected communication channels to protect against unauthorized changes.</t>
  </si>
  <si>
    <t>MLSR078_197</t>
  </si>
  <si>
    <t>System shall ensure the confidentiality of data on selected communicationchannels to protect against eavesdropping.</t>
  </si>
  <si>
    <t>MLSR078_198</t>
  </si>
  <si>
    <t>System shall restrict the flow of data on communication channels to protectagainst the publication of information to unauthorized sources.</t>
  </si>
  <si>
    <t>MLSR078_199</t>
  </si>
  <si>
    <t>Organization shall be capable to respond to security violations by notifying the proper authority, reporting needed forensic evidence of the violation, and automatically taking timely corrective action in mission-critical or safety-critical situations.</t>
  </si>
  <si>
    <t>MLSR078_200</t>
  </si>
  <si>
    <t>System shall ensure that the availability of all network resources to protectagainst denial of service attacks.</t>
  </si>
  <si>
    <t>MLSR078_268</t>
  </si>
  <si>
    <t>5.6.6</t>
  </si>
  <si>
    <t>Countermeasures</t>
  </si>
  <si>
    <t>System shall be capable to address external threats by employing countermeasures such as authentication of users and/or computers, access controls, intrusion detection, encryption, digital signatures, resource isolation or segregation, scanning for malicious software, system activity monitoring and physical security.</t>
  </si>
  <si>
    <t>MLSR078_269</t>
  </si>
  <si>
    <t>System shall be capable to address internal threats by placing more emphasis on countermeasures such as written policies, separation of duties, activity monitoring, system auditing and encryption.</t>
  </si>
  <si>
    <t>MLSR078_270</t>
  </si>
  <si>
    <t>System shall reduce sniffing access by controlling and closing unused voice and data ports</t>
  </si>
  <si>
    <t>MLSR102_68</t>
  </si>
  <si>
    <t>Cyber security risks and the Essential Principles</t>
  </si>
  <si>
    <t>Manufacturers shall address malicious and unauthorised access to or modification of a device.</t>
  </si>
  <si>
    <t>MLSR049_356</t>
  </si>
  <si>
    <t>System shall have capability to dynamically associate security attributes with subjects and objects as information is created and combined</t>
  </si>
  <si>
    <t>MLSR305_55</t>
  </si>
  <si>
    <t>Table 4-2 SP 800-124 Mapping to Security Characteristic</t>
  </si>
  <si>
    <t>System shall automatically monitor device configuration and detect policy violations</t>
  </si>
  <si>
    <t>MLSR312_71</t>
  </si>
  <si>
    <t>MLSR305_56</t>
  </si>
  <si>
    <t>System shall automatically report when policy violations occur, such as changes from the approved security configuration baseline</t>
  </si>
  <si>
    <t>MLSR305_57</t>
  </si>
  <si>
    <t>System shall automatically take action in response to policy violations when possible and appropriate</t>
  </si>
  <si>
    <t>MLSR305_58</t>
  </si>
  <si>
    <t>System shall limit or prevent access to enterprise services when device is rooted/jailbroken</t>
  </si>
  <si>
    <t>MLSR305_59</t>
  </si>
  <si>
    <t>System shall limit or prevent access to enterprise services based on the mobile deviceʼs OS version</t>
  </si>
  <si>
    <t>MLSR305_60</t>
  </si>
  <si>
    <t>System shall limit or prevent access to enterprise services based on the mobile deviceʼs vendor/brand or model</t>
  </si>
  <si>
    <t>MLSR305_61</t>
  </si>
  <si>
    <t>System shall limit or prevent access to enterprise services based on the MDM software client version if applicable</t>
  </si>
  <si>
    <t>MLSR305_62</t>
  </si>
  <si>
    <t>Organization shall implement strong encryption for data communications between mobile device and organization</t>
  </si>
  <si>
    <t>MLSR312_65</t>
  </si>
  <si>
    <t>MLSR305_63</t>
  </si>
  <si>
    <t>Organization shall implement strong encryption for stored data on built-in storage</t>
  </si>
  <si>
    <t>MLSR305_63_ref</t>
  </si>
  <si>
    <t>MLSR305_64</t>
  </si>
  <si>
    <t>Organization shall implement strong encryption for stored data on removable storage</t>
  </si>
  <si>
    <t>System shall wipe the mobile device before reissuing it to another user or retiring the mobile device, etc.</t>
  </si>
  <si>
    <t>MLSR305_65_ref</t>
  </si>
  <si>
    <t>MLSR305_66</t>
  </si>
  <si>
    <t>System shall remotely wipe the mobile device if it is suspected that the mobile device has been lost, stolen, or has otherwise fallen into untrusted hands and is at risk of having its data recovered by an untrusted party.</t>
  </si>
  <si>
    <t>MLSR305_67</t>
  </si>
  <si>
    <t>System shall be configured to wipe mobile device itself after a certain number of incorrect authentication attempts</t>
  </si>
  <si>
    <t>MLSR305_68</t>
  </si>
  <si>
    <t>System shall set a mobile device unlock code before authorizing access to organization’s resources</t>
  </si>
  <si>
    <t>MLSR305_69</t>
  </si>
  <si>
    <t>System shall set long or more complex mobile device unlock codes to increase cryptographic strength of derived device encryption key</t>
  </si>
  <si>
    <t>MLSR305_69_ref</t>
  </si>
  <si>
    <t>MLSR305_70</t>
  </si>
  <si>
    <t>Organization shall implement token-based authentication, network-based device authentication, domain authentication in addition to device unlock codes before accessing the organization's resources</t>
  </si>
  <si>
    <t>MLSR305_71</t>
  </si>
  <si>
    <t>System shall set a limit on the number of retries permitted without negative consequences such as locking out the account, wiping the device</t>
  </si>
  <si>
    <t>MLSR305_74</t>
  </si>
  <si>
    <t>MLSR305_72</t>
  </si>
  <si>
    <t>System shall allow administrator to remotely reset password/passcode when device account lockout is enabled or the device password/passcode is forgotten</t>
  </si>
  <si>
    <t>MLSR305_73</t>
  </si>
  <si>
    <t>Organization shall ensure that mobile device automatically locks itself after a specified number of minutes of inactivity</t>
  </si>
  <si>
    <t>Organization shall allow administrator to remotely lock the mobile device, if it is suspected that the device has been left in an unlocked state in an unsecured location</t>
  </si>
  <si>
    <t>MLSR305_74_ref</t>
  </si>
  <si>
    <t>MLSR305_75</t>
  </si>
  <si>
    <t>System shall restrict the use of OS and application synchronization services to control the data-sharing functions accessibility to managed applications</t>
  </si>
  <si>
    <t>MLSR305_76</t>
  </si>
  <si>
    <t>System shall verify digital signatures on applications to ensure that only applications from trusted entities are installed on the device and that code has not been modified</t>
  </si>
  <si>
    <t>MLSR305_76_ref</t>
  </si>
  <si>
    <t>MLSR305_77</t>
  </si>
  <si>
    <t>Organization shall maintain centralized asset inventory for mobile device hardware, firmware, and software to automatically query and record device hardware and OS versions for enrolled devices</t>
  </si>
  <si>
    <t>MLSR305_77_ref</t>
  </si>
  <si>
    <t>MLSR305_78</t>
  </si>
  <si>
    <t>System shall alert administrator when any violations are detected in policy settings</t>
  </si>
  <si>
    <t>MLSR305_79</t>
  </si>
  <si>
    <t>Organization shall store keys/secrets into secure key storage locations for mobile devices.</t>
  </si>
  <si>
    <t>MLSR305_134</t>
  </si>
  <si>
    <t>MLSR305_80</t>
  </si>
  <si>
    <t>System shall allow only whitelisted application stores for use in mobile device</t>
  </si>
  <si>
    <t>MLSR305_80_ref</t>
  </si>
  <si>
    <t>MLSR305_81</t>
  </si>
  <si>
    <t>System shall restrict to install applications on mobile device through whitelisting or blacklisting</t>
  </si>
  <si>
    <t>System shall restrict the permissions assigned to each application in mobile device</t>
  </si>
  <si>
    <t>MLSR305_82_ref</t>
  </si>
  <si>
    <t>MLSR305_84</t>
  </si>
  <si>
    <t>System shall safeguard the mechanisms used to install, update, or remove applications from managed devices by role-based access</t>
  </si>
  <si>
    <t>MLSR305_85</t>
  </si>
  <si>
    <t>Organization shall maintain current inventory of all applications installed on each mobile device</t>
  </si>
  <si>
    <t>MLSR305_86</t>
  </si>
  <si>
    <t>Organization shall distribute applications from a dedicated mobile application store which has explicit whitelist of applications.</t>
  </si>
  <si>
    <t>Appendix C</t>
  </si>
  <si>
    <t>Security Characteristics and Capabilities</t>
  </si>
  <si>
    <t>Organization shall implement cryptographic protection of all or portions of a deviceʼs data storage locations, primarily flash memory locations to avoid unauthorized access to corporate data stored on a locked lost/stolen mobile device</t>
  </si>
  <si>
    <t>MLSR305_132_ref</t>
  </si>
  <si>
    <t>MLSR305_133</t>
  </si>
  <si>
    <t>System shall implement application-level encryption as a additional layer of cryptographic protection on managed application data</t>
  </si>
  <si>
    <t>System shall use trusted key storage to store long-term cryptographic keys on mobile devices</t>
  </si>
  <si>
    <t>MLSR305_134_ref</t>
  </si>
  <si>
    <t>System shall implement strong encryption to protect the confidentiality of data transmitted over untrusted networks</t>
  </si>
  <si>
    <t>MLSR305_135_ref</t>
  </si>
  <si>
    <t>MLSR305_137</t>
  </si>
  <si>
    <t>Organization shall implement selective wipe to render access to enterprise data stored on a mobile device without affecting personal data</t>
  </si>
  <si>
    <t>MLSR305_139</t>
  </si>
  <si>
    <t>Organization shall use hardware security modules to provide tamper-resistance to perform cryptographic operations and secure storage that are removable or physically part of the device</t>
  </si>
  <si>
    <t>MLSR305_140</t>
  </si>
  <si>
    <t>Organization shall use sandboxing at OS or application-level utilizing multiple protection, isolation, and integrity capabilities to achieve higher levels of overall isolation</t>
  </si>
  <si>
    <t>MLSR305_140_ref</t>
  </si>
  <si>
    <t>MLSR305_141</t>
  </si>
  <si>
    <t>System shall use memory isolation to prevent one process from accessing or modifying another processʼs memory in mobile device</t>
  </si>
  <si>
    <t>MLSR305_142</t>
  </si>
  <si>
    <t>System shall implement trusted execution such that a process is created and runs in a trustworthy and isolated execution environment leveraging distinct memory spaces and controlled interfaces</t>
  </si>
  <si>
    <t>MLSR305_143</t>
  </si>
  <si>
    <t>System shall have capability to enable/disable device peripherals and certain OS-provided functionality on mobile device</t>
  </si>
  <si>
    <t>MLSR305_144</t>
  </si>
  <si>
    <t>System shall implement application-level access policies on OS-provided functionality to transfer data into or out of managed applications in mobile device</t>
  </si>
  <si>
    <t>MLSR305_147</t>
  </si>
  <si>
    <t>Organization shall implement boot validation of device to verify if it is in a known working state and unmodified at boot</t>
  </si>
  <si>
    <t>MLSR305_147_ref</t>
  </si>
  <si>
    <t>MLSR305_149</t>
  </si>
  <si>
    <t>System shall ensure application and OS updates are installed from a valid source by verifying digital signature</t>
  </si>
  <si>
    <t>MLSR305_150</t>
  </si>
  <si>
    <t>Organization shall employ mobile malware detection tools to identify malicious software on mobile platforms</t>
  </si>
  <si>
    <t>MLSR305_150_ref</t>
  </si>
  <si>
    <t>MLSR305_153</t>
  </si>
  <si>
    <t>Organization shall identify, configure, and track devices, components, software, and services residing on a network</t>
  </si>
  <si>
    <t>MLSR305_155</t>
  </si>
  <si>
    <t>System shall have capability to detect rooted and jailbroken mobile device to ensure that device is not compromised</t>
  </si>
  <si>
    <t>MLSR305_156</t>
  </si>
  <si>
    <t>System shall log the security events for mobile device including enrollment, failed compliance checks, administrative actions, and unenrollment</t>
  </si>
  <si>
    <t>MLSR305_156_ref</t>
  </si>
  <si>
    <t>MLSR305_157</t>
  </si>
  <si>
    <t>System shall capable to generate preconfigured reports from audit logs and actively search or filter logs for specific data</t>
  </si>
  <si>
    <t>Organization shall implement local user authentication to mobile device using personal identification number (PIN), password, gesture, token in the mobile device</t>
  </si>
  <si>
    <t>MLSR305_158_ref</t>
  </si>
  <si>
    <t>MLSR305_159</t>
  </si>
  <si>
    <t>Organization shall implement local user authentication while accessing applications using personal identification number (PIN), password, gesture, token in the mobile device</t>
  </si>
  <si>
    <t>MLSR305_161</t>
  </si>
  <si>
    <t>Organization shall implement remote user authentication for networked managed applications that require authentication to a remote service to be fully used</t>
  </si>
  <si>
    <t>MLSR305_162</t>
  </si>
  <si>
    <t>Organization shall restrict access to organization resources to provisioned mobile devices</t>
  </si>
  <si>
    <t>MLSR305_163</t>
  </si>
  <si>
    <t>Organization shall ensure that notifications are provided to users about the implications to privacy by the use of organizational resources for enrolled devices</t>
  </si>
  <si>
    <t>MLSR305_163_ref</t>
  </si>
  <si>
    <t>MLSR309_7</t>
  </si>
  <si>
    <t>Use Cases 1</t>
  </si>
  <si>
    <t>Organization shall ensure enterprise administrators use mobile device management (MDM) product to establish policies on the organization-owned devices prior to user issuance</t>
  </si>
  <si>
    <t>Use Cases 2</t>
  </si>
  <si>
    <t>Organization shall ensure that enterprise-owned device has limited network connectivity, tightly controlled configuration, and limited software inventory by using MDM product</t>
  </si>
  <si>
    <t>MLSR309_8_ref</t>
  </si>
  <si>
    <t>MLSR309_9</t>
  </si>
  <si>
    <t>Use Cases 3</t>
  </si>
  <si>
    <t>Organization shall enforce security policies via MDM on personally owned device(BYOD) for personal and enterprise use, such as password or screen lock policy, and health reporting</t>
  </si>
  <si>
    <t>MLSR309_10</t>
  </si>
  <si>
    <t>Organization shall allow MDM administrator to establish remediation actions such as wipe of the enterprise data for non-compliant personally owned devices(BYOD) for personal and enterprise use</t>
  </si>
  <si>
    <t>MLSR309_11</t>
  </si>
  <si>
    <t>Use Cases 4</t>
  </si>
  <si>
    <t>Organization shall ensure personally owned device is given access to limited enterprise services such as enterprise email and web browsing</t>
  </si>
  <si>
    <t>MLSR309_27</t>
  </si>
  <si>
    <t>Organizational Security Policies</t>
  </si>
  <si>
    <t>Organization shall ensure mobile device is enrolled to a specific user by the administrator of the MDM prior to use in the enterprise network by the user.</t>
  </si>
  <si>
    <t>MLSR309_27_ref</t>
  </si>
  <si>
    <t>MLSR309_29</t>
  </si>
  <si>
    <t>Security Objectives for the TOE</t>
  </si>
  <si>
    <t>System shall provide logging features to record management actions undertaken by MDM administrators</t>
  </si>
  <si>
    <t>MLSR309_30</t>
  </si>
  <si>
    <t>System shall facilitate configuration and enforcement of security policies on mobile devices via interaction with the mobile OS and the MDM Server</t>
  </si>
  <si>
    <t>MLSR309_31</t>
  </si>
  <si>
    <t>System shall protect data exchange between MDM Server and MDM Agent from being monitored, accessed, or altered</t>
  </si>
  <si>
    <t>MLSR309_34</t>
  </si>
  <si>
    <t>Security Objectives for the Operational Environment</t>
  </si>
  <si>
    <t>Organization shall ensure that IT infrastructure provides security for network that is available to the mobile devices to prevents unauthorized access</t>
  </si>
  <si>
    <t>MLSR309_35</t>
  </si>
  <si>
    <t>Organization shall ensure that MDM agent relies upon trustworthy mobile platform and hardware to provide policy enforcement, cryptographic services and data protection</t>
  </si>
  <si>
    <t>MLSR309_41</t>
  </si>
  <si>
    <t>5.3.1</t>
  </si>
  <si>
    <t>Cryptographic Support (FCS)_x000D_
FCS_STG_EXTCryptographic Key Storage</t>
  </si>
  <si>
    <t>Organization shall ensure that MDM Agent uses platform provided key storage for all persistent secret and private keys</t>
  </si>
  <si>
    <t>MLSR309_43</t>
  </si>
  <si>
    <t>Trusted Path/Channels (FTP)_x000D_
FTP_ITC_EXTTrusted Channel Communication</t>
  </si>
  <si>
    <t>System shall implement TLS, DTLS, HTTPS to provide trusted communication channel between MDM agent and MDM server to provide assured identification of end points, protect channel data from disclosure and detect modification of the channel data.</t>
  </si>
  <si>
    <t>MLSR309_47</t>
  </si>
  <si>
    <t>System shall permit only MDM agent and MDM Server and Mobile Application Store(MAS) Server to initiate communication via the trusted channel.</t>
  </si>
  <si>
    <t>MLSR309_60</t>
  </si>
  <si>
    <t>Security Audit (FAU)_x000D_
FAU_ALT_EXTAgent Alerts</t>
  </si>
  <si>
    <t>Organization shall ensure that MDM Agent provides an alert via the trusted channel to the MDM Server for audit events like successful application of policies to a mobile device, receiving and generating periodic reachability events, change in enrollment state,failure to install an application from the MAS Server, failure to update an application from the MAS Server</t>
  </si>
  <si>
    <t>MLSR309_67</t>
  </si>
  <si>
    <t>Organization shall ensure that MDM Agent queue audit event alerts if the trusted channel is not available and send queued alerts when available</t>
  </si>
  <si>
    <t>MLSR309_70</t>
  </si>
  <si>
    <t>FAU_GEN() Audit Data Generation</t>
  </si>
  <si>
    <t>Organization shall ensure that MDM Agent generates an audit record with startup and shutdown of the MDM Agent, change in MDM policy, any modification commanded by the MDM Server</t>
  </si>
  <si>
    <t>MLSR309_74</t>
  </si>
  <si>
    <t>FAU_SEL() Security Audit Event Selection</t>
  </si>
  <si>
    <t>System shall have capability to select the set of events to be audited based on event type, success/failure of auditable security events</t>
  </si>
  <si>
    <t>MLSR309_79</t>
  </si>
  <si>
    <t>5.5.2</t>
  </si>
  <si>
    <t>Identification and Authentication (FIA)_x000D_
FIA_ENR_EXTEnrollment of Mobile Device into Management</t>
  </si>
  <si>
    <t>Organization shall ensure that MDM Agent records the reference identifier of the MDM Server during the enrollment process of mobile device</t>
  </si>
  <si>
    <t>MLSR309_83</t>
  </si>
  <si>
    <t>5.5.3</t>
  </si>
  <si>
    <t>Security Management (FMT)_x000D_
FMT_POL_EXTTrusted Policy Update</t>
  </si>
  <si>
    <t>Organization shall ensure that MDM Agent only accept policies and policy updates that are digitally signed</t>
  </si>
  <si>
    <t>MLSR309_87</t>
  </si>
  <si>
    <t>Organization shall ensure that MDM Agent prohibits policies installation if the policy-signing certificate is deemed invalid</t>
  </si>
  <si>
    <t>MLSR309_88</t>
  </si>
  <si>
    <t>FMT_SMF_EXTSpecification of Management Functions</t>
  </si>
  <si>
    <t>Organization shall ensure that MDM Agent is capable to interact with the platform to perform functions such as administrator-provided management functions, device management functions, import of certificates for authentication</t>
  </si>
  <si>
    <t>MLSR309_96</t>
  </si>
  <si>
    <t>Organization shall ensure that MDM Agent is capable to enroll/unenroll from management</t>
  </si>
  <si>
    <t>MLSR309_103</t>
  </si>
  <si>
    <t>FMT_UNR_EXTUser Unenrollment Prevention</t>
  </si>
  <si>
    <t>Organization shall ensure that MDM Agent provides mechanism to prevent unenrollment from occurring and wipe data where unenrollment is allowed, upon attempt to unenroll the mobile device from management</t>
  </si>
  <si>
    <t>MLSR309_109</t>
  </si>
  <si>
    <t>Security Audit (FAU)_x000D_
FAU_GEN() Audit Data Generation</t>
  </si>
  <si>
    <t>System shall record date and time of the event, type of event, subject identity, the outcome (success or failure) of the event in each MDM Agent audit record</t>
  </si>
  <si>
    <t>MLSR309_117</t>
  </si>
  <si>
    <t>C.1.1</t>
  </si>
  <si>
    <t>Security Audit (FAU)_x000D_
FAU_STG_EXTSecurity Audit Event Storage</t>
  </si>
  <si>
    <t>Organization shall ensure that MDM Agent stores MDM audit records in the platform-provided audit storage.</t>
  </si>
  <si>
    <t>MLSR309_119</t>
  </si>
  <si>
    <t>C.1.2</t>
  </si>
  <si>
    <t>Protection of the TSF (FPT)_x000D_
FPT_NET_EXTNetwork Reachability</t>
  </si>
  <si>
    <t>Organization shall ensure that a configuration policy is enabled to detect the number of allowed missed reachability events or time limit since last successful connection with the MDM server</t>
  </si>
  <si>
    <t>MLSR309_120</t>
  </si>
  <si>
    <t>System shall wipe out the device without requiring a command from the Server, If the MDM Agent has been out of connectivity with the server for too long</t>
  </si>
  <si>
    <t>MLSR304_34</t>
  </si>
  <si>
    <t>Security Features of Bluetooth BR/EDR/HS</t>
  </si>
  <si>
    <t>Manufacturer shall implement bluetooth (classic) security mode 3 ( link level-enforced) for authentication and then perform service-level authorization to prevent "authentication abuse"</t>
  </si>
  <si>
    <t>MLSR304_34_ref</t>
  </si>
  <si>
    <t>MLSR304_36</t>
  </si>
  <si>
    <t>Manufacturer shall use P-256 Elliptic Curve for link key generation in bluetooth classic module when device bluetooth(classic) version is above 4.1</t>
  </si>
  <si>
    <t>MLSR304_36_ref</t>
  </si>
  <si>
    <t>MLSR304_37</t>
  </si>
  <si>
    <t>Manufacturer shall use HMAC-SHA-256 (authentication algorithm) and AES-CCM encryption to protect the message integrity when bluetooth version is above 4.1</t>
  </si>
  <si>
    <t>MLSR304_40</t>
  </si>
  <si>
    <t>Manufacturer shall enable Secure Connections Only Mode when all services (except Service Discovery) require an authenticated link key using Secure Connections and ensure to refuse connections from devices(classic) that do not support the Secure Connections feature</t>
  </si>
  <si>
    <t>MLSR304_45</t>
  </si>
  <si>
    <t>3.1.1.1</t>
  </si>
  <si>
    <t>PIN/Legacy Pairing</t>
  </si>
  <si>
    <t>Manufacturer shall implement 4 digit PIN for low risk devices and 8- character alphanumeric PIN for bluetooth(classic) devices that require higher level of security</t>
  </si>
  <si>
    <t>MLSR304_45_ref</t>
  </si>
  <si>
    <t>MLSR304_46</t>
  </si>
  <si>
    <t>3.1.1.2</t>
  </si>
  <si>
    <t>Secure Simple Pairing</t>
  </si>
  <si>
    <t>Manufacturer shall use ECDH public key cryptography for protection against passive eavesdropping and man-in-the-middle (MITM) attacks during pairing of bluetooth(classic) devices</t>
  </si>
  <si>
    <t>MLSR304_50</t>
  </si>
  <si>
    <t>Manufacturer shall implement out of band (OOB) pairing method that support additional wireless (e.g., NFC) or wired technology for device(classic) discovery and cryptographic value exchange</t>
  </si>
  <si>
    <t>MLSR304_55</t>
  </si>
  <si>
    <t>Authentication</t>
  </si>
  <si>
    <t>Manufacturer shall increase time interval exponentially before making a new attempt when authentication fails to prevent an adversary from attempting to gain access by defeating the authentication scheme through trial-and-error with different link keys</t>
  </si>
  <si>
    <t>MLSR304_63</t>
  </si>
  <si>
    <t>3.1.3</t>
  </si>
  <si>
    <t>Confidentiality</t>
  </si>
  <si>
    <t>Manufacturer shall enforce master bluetooth device to set “minimum acceptable” encryption key size parameter to slave device to prevent a malicious user from driving the key size down to the minimum of 1 byte, which makes the link less secure</t>
  </si>
  <si>
    <t>MLSR304_65</t>
  </si>
  <si>
    <t>3.1.3.1</t>
  </si>
  <si>
    <t>E Encryption Algorithm</t>
  </si>
  <si>
    <t>Manufacturer shall implement application-level FIPS-approved encryption over the native Bluetooth encryption for communication that require FIPS-approved cryptographic protection</t>
  </si>
  <si>
    <t>MLSR304_70</t>
  </si>
  <si>
    <t>3.1.4</t>
  </si>
  <si>
    <t>Trust Levels, Service Security Levels, and Authorization</t>
  </si>
  <si>
    <t>Manufacturer shall implement security mode 4 with Service Level 4 in bluetooth(classic) to provide MITM protection and encryption using 128-bit equivalent strength for link and encryption keys</t>
  </si>
  <si>
    <t>MLSR304_71</t>
  </si>
  <si>
    <t>Manufacturer shall implement user based authentication within the bluetooth security framework which is possible through the application layers</t>
  </si>
  <si>
    <t>MLSR304_72</t>
  </si>
  <si>
    <t>Manufacturer shall implement user based fine-grained access control within the bluetooth security framework through application layer</t>
  </si>
  <si>
    <t>MLSR304_72_ref</t>
  </si>
  <si>
    <t>MLSR304_74</t>
  </si>
  <si>
    <t>Security Features of Bluetooth Low Energy</t>
  </si>
  <si>
    <t>Manufacturer shall ensure that one device (BLE) determines the long term key (LTK) and securely sends it over to the other device during pairing instead of both devices generating the same key individually</t>
  </si>
  <si>
    <t>MLSR304_75</t>
  </si>
  <si>
    <t>Manufacturer shall implement low energy Secure Connections feature using FIPS approved AES-CMAC and P-256 elliptic curve when Bluetooth Low Energy(BLE) version is 4.2 or above</t>
  </si>
  <si>
    <t>MLSR304_76</t>
  </si>
  <si>
    <t>Manufacturer shall implement low energy private device addresses and data signing for bluetooth(classic) device to prevent pairing of untrusted devices and tracking by an adversary</t>
  </si>
  <si>
    <t>MLSR304_76_ref</t>
  </si>
  <si>
    <t>MLSR304_77</t>
  </si>
  <si>
    <t>Manufacturer shall verify cryptographically-signed Attribute Protocol (ATT) data frames from a bluetooth device over unencrypted links using CSRK.</t>
  </si>
  <si>
    <t>MLSR304_80</t>
  </si>
  <si>
    <t>3.2.1</t>
  </si>
  <si>
    <t>Low Energy Security Modes and Levels</t>
  </si>
  <si>
    <t>Manufacturer shall implement security mode 1 and level 3 for bluetooth low energy pairing if version is 4.0 and 4.1.</t>
  </si>
  <si>
    <t>MLSR304_81</t>
  </si>
  <si>
    <t>Manufacturer shall implement security mode 1 and level 4 for bluetooth low energy Secure Connection pairing if version is 4.2 and above.</t>
  </si>
  <si>
    <t>MLSR304_86</t>
  </si>
  <si>
    <t>3.2.2.1</t>
  </si>
  <si>
    <t>Out of Band</t>
  </si>
  <si>
    <t>Manufacturer shall generate 128 bit unique random number for temporary key(TK) when both devices support OOB for pairing of BLE devices</t>
  </si>
  <si>
    <t>MLSR304_88</t>
  </si>
  <si>
    <t>3.2.2.2</t>
  </si>
  <si>
    <t>Numeric Comparison</t>
  </si>
  <si>
    <t>Manufacturer shall implement numeric comparison method in BLE device to provide MITM protection and confirm user that they are pairing with the intended two devices when BLE version is 4.2 and above</t>
  </si>
  <si>
    <t>MLSR304_89</t>
  </si>
  <si>
    <t>3.2.2.3</t>
  </si>
  <si>
    <t>Passkey Entry</t>
  </si>
  <si>
    <t>Manufacturer shall use unique, random passkey for each BLE device pairing to provide protection across multiple pairings</t>
  </si>
  <si>
    <t>MLSR304_118</t>
  </si>
  <si>
    <t>Bluetooth Vulnerabilities - Table 4-1</t>
  </si>
  <si>
    <t>Manufacturer shall securely store the link key to protect from unauthorized access</t>
  </si>
  <si>
    <t>MLSR304_124</t>
  </si>
  <si>
    <t>Manufacturer shall ensure that device enters into discoverable or connectable mode to pair or connect, only for a minimal amount of time to protect the devices from attack</t>
  </si>
  <si>
    <t>MLSR304_147</t>
  </si>
  <si>
    <t>Bluetooth Security Checklist - Table 4-2</t>
  </si>
  <si>
    <t>Manufacturer shall change the default settings of the device to reflect organization security policy such as device default name</t>
  </si>
  <si>
    <t>MLSR304_148</t>
  </si>
  <si>
    <t>Manufacturer shall set bluetooth device to lowest necessary and sufficient power level so that transmissions remain within the secure perimeter</t>
  </si>
  <si>
    <t>MLSR304_149</t>
  </si>
  <si>
    <t>Manufacturer shall set PIN that are sufficiently random, long and private and avoid static and weak PINs, such as all zeroes</t>
  </si>
  <si>
    <t>MLSR304_153</t>
  </si>
  <si>
    <t>Manufacturer shall ensure that bluetooth 2.1 or later device using Security Mode 4 must fall back to Security Mode 3 for backward compatibility with 2.0 and earlier devices (i.e., for devices that do not support Security Mode 4)</t>
  </si>
  <si>
    <t>MLSR304_157</t>
  </si>
  <si>
    <t>Manufacturer shall disable unneeded, unapproved service and profiles from bluetooth devices</t>
  </si>
  <si>
    <t>MLSR304_157_ref</t>
  </si>
  <si>
    <t>MLSR304_158</t>
  </si>
  <si>
    <t>Manufacturer shall set bluetooth devices by default as undiscoverable and remain undiscoverable except as needed for pairing</t>
  </si>
  <si>
    <t>MLSR304_159</t>
  </si>
  <si>
    <t>Manufacturer shall implement link encryption to secure all data transmissions during a bluetooth connection, so that transmitted data is not vulnerable to eavesdropping.</t>
  </si>
  <si>
    <t>MLSR304_161</t>
  </si>
  <si>
    <t>Manufacturer shall implement mutual authentication for all connections in bluetooth devices</t>
  </si>
  <si>
    <t>MLSR304_163</t>
  </si>
  <si>
    <t>Manufacturer shall configure encryption key sizes to the maximum allowable to provide protection from brute force attacks</t>
  </si>
  <si>
    <t>MLSR304_164</t>
  </si>
  <si>
    <t>System shall enforce bluetooth device to prompt the user to authorize all incoming connection requests before allowing any incoming connection request to proceed</t>
  </si>
  <si>
    <t>MLSR304_166</t>
  </si>
  <si>
    <t>Manufacturer shall implement user authentication overlays such as biometrics, smart cards, two-factor authentication, or public key infrastructure (PKI) to minimize the vulnerabilities associated with passwords and PINs</t>
  </si>
  <si>
    <t>MLSR304_168</t>
  </si>
  <si>
    <t>Manufacturer shall disable all bluetooth capabilities except when the user explicitly enables bluetooth to establish a connection</t>
  </si>
  <si>
    <t>MLSR304_171</t>
  </si>
  <si>
    <t>Manufacturer shall ensure that portable devices with Bluetooth interfaces are configured with a password to prevent unauthorized access if the device is lost or stolen.</t>
  </si>
  <si>
    <t>MLSR304_173</t>
  </si>
  <si>
    <t>Manufacturer shall install antivirus software on bluetooth-enabled hosts to protect bluetooth network from malwares.</t>
  </si>
  <si>
    <t>MLSR304_173_ref</t>
  </si>
  <si>
    <t>MLSR304_174</t>
  </si>
  <si>
    <t>Manufacturer shall regularly deploy bluetooth software and firmware patches and upgrades to prevent malicious and inadvertent exploits</t>
  </si>
  <si>
    <t>MLSR301_27</t>
  </si>
  <si>
    <t>Basic Concepts for Application Virtualization and Containers</t>
  </si>
  <si>
    <t>Organization shall ensure that containers are operated as stateless entities such that whenever an upgrade or change in contents is required, it is simply destroyed and replaced with a new container that has the updates.</t>
  </si>
  <si>
    <t>MLSR301_27_ref</t>
  </si>
  <si>
    <t>MLSR301_29</t>
  </si>
  <si>
    <t>Organization shall ensure that containers implement isolation such that data persistence is achieved by using external, persistent data stores such as databases or cluster-aware persistent volumes.</t>
  </si>
  <si>
    <t>MLSR301_29_ref</t>
  </si>
  <si>
    <t>MLSR301_40</t>
  </si>
  <si>
    <t xml:space="preserve">  Containers and the Host Operating System</t>
  </si>
  <si>
    <t>Organization shall ensure that resource allocation is done appropriately such that each container can only utilize the amount of resources assigned to it and also ensure that no container shall be able to interfere with the operations of another container.</t>
  </si>
  <si>
    <t>MLSR301_55</t>
  </si>
  <si>
    <t xml:space="preserve">2.3.1   </t>
  </si>
  <si>
    <t xml:space="preserve"> Image Creation, Testing, and Accreditation</t>
  </si>
  <si>
    <t>Organization shall ensure that a container image only includes executables and libraries required by app itself in order to minimize size on disk and improve operational efficiency.</t>
  </si>
  <si>
    <t>MLSR301_69</t>
  </si>
  <si>
    <t xml:space="preserve">2.3.3  </t>
  </si>
  <si>
    <t xml:space="preserve"> Container Deployment and Management</t>
  </si>
  <si>
    <t>Organization shall ensure that baseline software on container from initial deployment shall not change over time, and updates are done by replacing the entire image at once.</t>
  </si>
  <si>
    <t>MLSR301_112</t>
  </si>
  <si>
    <t xml:space="preserve"> Insecure container runtime configurations</t>
  </si>
  <si>
    <t>Organization shall ensure that containers shall almost never to make changes to locations that control basic functionality of host OS since it might allow a compromised container to elevate privileges and attack the host itself as well as other containers running on the host.</t>
  </si>
  <si>
    <t>MLSR301_112_ref</t>
  </si>
  <si>
    <t>MLSR301_125</t>
  </si>
  <si>
    <t xml:space="preserve">4.1.1   </t>
  </si>
  <si>
    <t xml:space="preserve"> Image vulnerabilities</t>
  </si>
  <si>
    <t>Organization shall use vulnerability management tools that take the pipeline-based build approach and immutable nature of containers and images into their design.</t>
  </si>
  <si>
    <t>MLSR301_125_ref</t>
  </si>
  <si>
    <t>MLSR301_126</t>
  </si>
  <si>
    <t>Organization shall use vulnerability management tools that provide integration with entire lifecycle of images, from beginning of build process, to whatever registries organization is using, to runtime.</t>
  </si>
  <si>
    <t>MLSR301_127</t>
  </si>
  <si>
    <t>Organization shall use vulnerability management tools that provide centralized visibility across organization and provide flexible reporting and monitoring views aligned with organizations’ business processes.</t>
  </si>
  <si>
    <t>MLSR301_128</t>
  </si>
  <si>
    <t>Organization shall use vulnerability management tools that provide policy-driven enforcement to create “quality gates” at each stage of build and deployment process.</t>
  </si>
  <si>
    <t>MLSR301_135</t>
  </si>
  <si>
    <t xml:space="preserve">4.1.2    </t>
  </si>
  <si>
    <t>Image configuration defects</t>
  </si>
  <si>
    <t>Organization shall ensure that all remote management of containers are done through the container runtime APIs or by creating remote shell sessions to the host on which the container is running.</t>
  </si>
  <si>
    <t>MLSR301_135_ref</t>
  </si>
  <si>
    <t>MLSR301_136</t>
  </si>
  <si>
    <t xml:space="preserve">4.1.3  </t>
  </si>
  <si>
    <t>Embedded malware</t>
  </si>
  <si>
    <t>Organizations shall continuously monitor all container images for embedded malware which includes the use of malware signature sets and behavioral detection heuristics.</t>
  </si>
  <si>
    <t>MLSR301_137</t>
  </si>
  <si>
    <t xml:space="preserve">4.1.4 </t>
  </si>
  <si>
    <t>Embedded clear text secrets</t>
  </si>
  <si>
    <t>Organization shall use orchestrators to ensure that secrets are stored outside of container images and provided dynamically at runtime as needed.</t>
  </si>
  <si>
    <t>MLSR301_162</t>
  </si>
  <si>
    <t>MLSR301_140</t>
  </si>
  <si>
    <t>Organization shall ensure that secrets are always encrypted at rest and in transit using FIPS 140 approved cryptographic algorithms contained in validated cryptographic modules.</t>
  </si>
  <si>
    <t>MLSR301_140_ref</t>
  </si>
  <si>
    <t>MLSR301_141</t>
  </si>
  <si>
    <t xml:space="preserve">4.1.5   </t>
  </si>
  <si>
    <t>Use of untrusted images</t>
  </si>
  <si>
    <t>Organization shall maintain a set of trusted container images and registries and ensure that only images from this set are allowed to run in their environment, thus mitigating the risk of untrusted or malicious components being deployed .</t>
  </si>
  <si>
    <t>MLSR301_141_ref</t>
  </si>
  <si>
    <t>MLSR301_143</t>
  </si>
  <si>
    <t>Organization shall build capability to centrally control exactly what container images and registries are trusted in their environment.</t>
  </si>
  <si>
    <t>MLSR301_144</t>
  </si>
  <si>
    <t>Organization shall ensure discrete identification of each container image by cryptographic signature, using a NIST-validated implementation</t>
  </si>
  <si>
    <t>MLSR301_146</t>
  </si>
  <si>
    <t>Organization shall validate image signatures before image execution to ensure container images are from trusted sources and have not been tampered with.</t>
  </si>
  <si>
    <t>MLSR301_147</t>
  </si>
  <si>
    <t xml:space="preserve"> Use of untrusted images</t>
  </si>
  <si>
    <t>Organization shall employ ongoing monitoring and maintenance of repositories to ensure images within them are maintained and updated as vulnerabilities and configuration requirements change.</t>
  </si>
  <si>
    <t>MLSR301_149</t>
  </si>
  <si>
    <t xml:space="preserve">4.2.1    </t>
  </si>
  <si>
    <t>Insecure connections to registries</t>
  </si>
  <si>
    <t>Organizations shall configure development tools, orchestrators, and container runtimes to only connect to registries over encrypted channels, to ensure that all data pushed to and pulled from a registry occurs between trusted endpoints and is encrypted in transit.</t>
  </si>
  <si>
    <t>MLSR301_149_ref</t>
  </si>
  <si>
    <t>MLSR301_150</t>
  </si>
  <si>
    <t xml:space="preserve">4.2.2   </t>
  </si>
  <si>
    <t xml:space="preserve"> Stale images in registries</t>
  </si>
  <si>
    <t>Organizations shall prune registries of unsafe, vulnerable images that shall no longer be used and it can be automated based on time triggers and labels associated with images.</t>
  </si>
  <si>
    <t>MLSR301_151</t>
  </si>
  <si>
    <t>Organizations shall emphasize accessing container images using immutable names that specify discrete versions of images to be used.</t>
  </si>
  <si>
    <t>MLSR301_153</t>
  </si>
  <si>
    <t xml:space="preserve">4.2.3    </t>
  </si>
  <si>
    <t>Insufficient authentication and authorization restrictions</t>
  </si>
  <si>
    <t>Organizations shall enforce authentication for all access to registries that contain proprietary or sensitive images and also write access to a registry shall require authentication to ensure that only images from trusted entities can be added to it.</t>
  </si>
  <si>
    <t>MLSR301_153_ref</t>
  </si>
  <si>
    <t>MLSR301_154</t>
  </si>
  <si>
    <t>Organizations shall ensure to audit all write access to registries and log any read actions for sensitive images.</t>
  </si>
  <si>
    <t>MLSR301_154_ref</t>
  </si>
  <si>
    <t>MLSR301_155</t>
  </si>
  <si>
    <t>Organizations shall integrate automated scans into processes to prevent promotion and deployment of vulnerable or misconfigured images.</t>
  </si>
  <si>
    <t>MLSR301_157</t>
  </si>
  <si>
    <t xml:space="preserve">4.3.1    </t>
  </si>
  <si>
    <t>Unbounded administrative access</t>
  </si>
  <si>
    <t>Organizations shall ensure that orchestrators use least privilege access model in which users are only granted ability to perform specific actions on specific hosts, containers, and images their job roles require.</t>
  </si>
  <si>
    <t>MLSR301_159</t>
  </si>
  <si>
    <t xml:space="preserve">4.3.2    </t>
  </si>
  <si>
    <t>Unauthorized access</t>
  </si>
  <si>
    <t>Organizations shall implement single sign-on to simplify the orchestrator authentication experience and to make it easier for users to use strong authentication credentials, and centralize auditing of access, making anomaly detection more effective.</t>
  </si>
  <si>
    <t>MLSR301_160</t>
  </si>
  <si>
    <t>Organizations shall use encryption tools for encrypting data used within containers regardless of node they are running on and it shall provide barriers to unauthorized access and tampering, using cryptographic mechanisms.</t>
  </si>
  <si>
    <t>MLSR301_161</t>
  </si>
  <si>
    <t xml:space="preserve">4.3.3    </t>
  </si>
  <si>
    <t>Poorly separated inter-container network traffic</t>
  </si>
  <si>
    <t>Organizations shall ensure that orchestrators are configured to separate network traffic into discrete virtual networks by sensitivity level.</t>
  </si>
  <si>
    <t xml:space="preserve">4.3.4    </t>
  </si>
  <si>
    <t>Mixing of workload sensitivity levels</t>
  </si>
  <si>
    <t>Organizations shall ensure that orchestrators are configured to isolate deployments to specific sets of hosts by sensitivity levels and also shall prevent high sensitivity workloads from being placed on the same host as those running lower sensitivity workloads</t>
  </si>
  <si>
    <t>MLSR301_162_ref</t>
  </si>
  <si>
    <t>MLSR301_163</t>
  </si>
  <si>
    <t>Organizations shall segment containers by purpose, sensitivity, and threat posture to provide additional defense in depth and employ concepts such as application tiering and network and host segmentation while deploying application.</t>
  </si>
  <si>
    <t>MLSR301_167</t>
  </si>
  <si>
    <t xml:space="preserve">4.3.5    </t>
  </si>
  <si>
    <t>Orchestrator node trust</t>
  </si>
  <si>
    <t>Organizations shall ensure that orchestration platforms are configured to create secure environment such that nodes are securely introduced to the cluster, have a persistent identity throughout their lifecycle, and can also provide an accurate inventory of nodes and their connectivity states.</t>
  </si>
  <si>
    <t>MLSR301_167_1</t>
  </si>
  <si>
    <t>Organizations shall ensure that orchestration platforms are designed specifically to be resilient to compromise individual nodes without compromising the overall security of the cluster such that a compromised node is isolated and removed from cluster without disrupting or degrading overall cluster operations.</t>
  </si>
  <si>
    <t>MLSR301_167_2</t>
  </si>
  <si>
    <t>Organizations shall ensure that orchestrators provide mutually authenticated network connections between cluster members and end-to-end encryption of intra- cluster traffic.</t>
  </si>
  <si>
    <t>MLSR301_169</t>
  </si>
  <si>
    <t xml:space="preserve">4.4.1   </t>
  </si>
  <si>
    <t xml:space="preserve"> Vulnerabilities within the runtime software</t>
  </si>
  <si>
    <t>Organizations shall ensure that the container runtime is monitored for vulnerabilities, and when problems are detected, it must be remediated quickly</t>
  </si>
  <si>
    <t>MLSR301_169_1</t>
  </si>
  <si>
    <t>Organizations shall use tools to monitor Common Vulnerabilities and Exposures (CVEs) vulnerabilities in the runtimes deployed, to upgrade any instances at risk, and to ensure that orchestrators only allow deployments to properly maintained runtimes.</t>
  </si>
  <si>
    <t>MLSR301_170</t>
  </si>
  <si>
    <t xml:space="preserve">4.4.2    </t>
  </si>
  <si>
    <t>Unbounded network access from containers</t>
  </si>
  <si>
    <t>Organizations shall control egress network traffic sent by containers and have controls in place at network borders, ensuring containers are not able to send traffic across networks of differing sensitivity levels, such as from an environment hosting secure data to the internet.</t>
  </si>
  <si>
    <t>MLSR301_179</t>
  </si>
  <si>
    <t>MLSR301_171</t>
  </si>
  <si>
    <t>Organizations shall use a combination of existing network level devices and App-aware tools to dynamically generate rules to filter traffic based on specific characteristics of apps running in containers.</t>
  </si>
  <si>
    <t>MLSR301_173</t>
  </si>
  <si>
    <t>Organizations shall use App-aware tools to automatically determine proper container networking surfaces, including both inbound ports and process-port bindings.</t>
  </si>
  <si>
    <t>MLSR301_174</t>
  </si>
  <si>
    <t>Organizations shall use App-aware tools to detect traffic flows both between containers and other network entities, over both ‘on the wire’ traffic and encapsulated traffic.</t>
  </si>
  <si>
    <t>MLSR301_175</t>
  </si>
  <si>
    <t>Organizations shall use App-aware tools to detect network anomalies, such as unexpected traffic flows within the organization’s network, port scanning, or outbound access to potentially dangerous destinations.</t>
  </si>
  <si>
    <t>MLSR301_176</t>
  </si>
  <si>
    <t xml:space="preserve">4.4.3    </t>
  </si>
  <si>
    <t>Insecure container runtime configurations</t>
  </si>
  <si>
    <t>Organizations shall use automated tools or processes that continuously assess configuration settings across environment and actively enforce them.</t>
  </si>
  <si>
    <t>MLSR301_176_ref</t>
  </si>
  <si>
    <t>MLSR301_177</t>
  </si>
  <si>
    <t>Organizations shall use mandatory access control (MAC) technologies to provide protection at the host OS layer, ensuring that only specific files, paths, and processes are accessible to containerized apps.</t>
  </si>
  <si>
    <t>MLSR301_178</t>
  </si>
  <si>
    <t>Organizations shall ensure that containers are run with the default profiles provided by their runtime and shall consider using additional custom profiles for high-risk apps</t>
  </si>
  <si>
    <t xml:space="preserve">4.4.4  </t>
  </si>
  <si>
    <t xml:space="preserve">  App vulnerabilities</t>
  </si>
  <si>
    <t>Organizations shall implement additional tools that are container aware to prevent and detect anomalies at runtime and automatically profile containerized apps using behavioral learning and build security profiles for them to minimize human interaction.</t>
  </si>
  <si>
    <t>MLSR301_179_ref</t>
  </si>
  <si>
    <t>MLSR301_182</t>
  </si>
  <si>
    <t xml:space="preserve">4.4.5  </t>
  </si>
  <si>
    <t xml:space="preserve">  Rogue containers</t>
  </si>
  <si>
    <t>Organizations shall maintain separate environments for development, test, production, and other scenarios, each with specific controls to provide role-based access control for container deployment and management activities.</t>
  </si>
  <si>
    <t>MLSR301_182_1</t>
  </si>
  <si>
    <t>Organizations shall ensure to associate and log all container creation with individual user identities to provide clear audit trail of activity.</t>
  </si>
  <si>
    <t>MLSR301_184</t>
  </si>
  <si>
    <t xml:space="preserve">4.5.1   </t>
  </si>
  <si>
    <t xml:space="preserve"> Large attack surface</t>
  </si>
  <si>
    <t>Organizations shall use container-specific OSs to reduce attack surfaces and mitigate typical risks and hardening activities associated with general-purpose OSs.</t>
  </si>
  <si>
    <t>MLSR301_184_ref</t>
  </si>
  <si>
    <t>MLSR301_185</t>
  </si>
  <si>
    <t>Organizations shall ensure that host OS does not run unnecessary system services, such as print spooler, that increase its attack and patching surface areas.</t>
  </si>
  <si>
    <t>MLSR301_185_1</t>
  </si>
  <si>
    <t>Organizations shall ensure that hosts are continuously scanned for vulnerabilities and updates shall be applied to container runtime and also lower-level components such as kernel.</t>
  </si>
  <si>
    <t>MLSR301_186</t>
  </si>
  <si>
    <t xml:space="preserve">4.5.2   </t>
  </si>
  <si>
    <t xml:space="preserve"> Shared kernel</t>
  </si>
  <si>
    <t>Organizations shall keep containerized workloads isolated to container-specific hosts and prevent running non-containerized workloads on same host OS.</t>
  </si>
  <si>
    <t>MLSR301_187</t>
  </si>
  <si>
    <t xml:space="preserve">4.5.3    </t>
  </si>
  <si>
    <t>Host OS component vulnerabilities</t>
  </si>
  <si>
    <t>Organizations shall ensure that host OS is kept up to date with security updates and also latest component updates recommended by the vendor, for kernel and container runtime components.</t>
  </si>
  <si>
    <t>MLSR301_188</t>
  </si>
  <si>
    <t>Organizations shall ensure that host OSs are operated in an immutable manner with no data or state stored uniquely and persistently on the host and no application-level dependencies provided by the host.</t>
  </si>
  <si>
    <t>MLSR301_190</t>
  </si>
  <si>
    <t xml:space="preserve">4.5.4   </t>
  </si>
  <si>
    <t xml:space="preserve"> Improper user access rights</t>
  </si>
  <si>
    <t>Organizations shall ensure that all authentication to OS is audited, login anomalies are monitored, and any escalation to perform privileged operations is logged, in order to identify anomalous access patterns.</t>
  </si>
  <si>
    <t>MLSR301_191</t>
  </si>
  <si>
    <t xml:space="preserve">4.5.5 </t>
  </si>
  <si>
    <t xml:space="preserve">   Host file system tampering</t>
  </si>
  <si>
    <t>Organizations shall ensure that containers are run with the minimal set of file system permissions required.</t>
  </si>
  <si>
    <t>MLSR301_191_1</t>
  </si>
  <si>
    <t>Organizations shall prevent mount of sensitive directories on a host’s file system, especially those containing configuration settings for the operating system.</t>
  </si>
  <si>
    <t>MLSR301_192</t>
  </si>
  <si>
    <t>Organizations shall use tools to monitor directories that are mounted by containers and prevent deployment of containers that violate policies related to host OS.</t>
  </si>
  <si>
    <t>MLSR301_195</t>
  </si>
  <si>
    <t>Hardware Countermeasures</t>
  </si>
  <si>
    <t>Organization shall ensure to measure firmware, software, and configuration data before it is executed using a Root of Trust for Measurement (RTM) and store them in a hardware root of trust, like a trusted platform module (TPM) and validate that current measurements match the expected measurements.</t>
  </si>
  <si>
    <t>MLSR301_200</t>
  </si>
  <si>
    <t>Organizations shall ensure that trusted computing model start with secure boot and build a chain of trust rooted in hardware and extended to the bootloaders, the OS kernel, and OS components to enable cryptographic verification of boot mechanisms, system images, container runtimes, and container images.</t>
  </si>
  <si>
    <t>MLSR301_205</t>
  </si>
  <si>
    <t xml:space="preserve"> Exploit of a Vulnerability within an Image</t>
  </si>
  <si>
    <t>Organizations shall detect vulnerable image early in deployment process and have controls in place to prevent vulnerable images from being deployed in order to prevent the vulnerability from being introduced into production</t>
  </si>
  <si>
    <t>MLSR301_206</t>
  </si>
  <si>
    <t>Organizations shall employ container-aware network monitoring and filtering to detect anomalous connections to other containers during attempt to map other systems.</t>
  </si>
  <si>
    <t>MLSR301_207</t>
  </si>
  <si>
    <t>Organizations shall employ container-aware process monitoring and malware detection to detect the running of invalid or unexpected malicious processes and the data they introduce into the environment.</t>
  </si>
  <si>
    <t>MLSR301_211</t>
  </si>
  <si>
    <t>Organization shall employ mandatory access control capabilities that provide additional barriers to ensure that process and file system activity is segmented within defined boundaries.</t>
  </si>
  <si>
    <t>MLSR301_212</t>
  </si>
  <si>
    <t>Organization shall implement segmentation of workloads to ensure that scope of compromise would be limited to apps of a common sensitivity level that are sharing the host.</t>
  </si>
  <si>
    <t>MLSR301_213</t>
  </si>
  <si>
    <t>Organization shall employ security tools that report on vulnerability state of runtimes and prevent deployment of images to vulnerable runtimes and also can prevent workloads from running there.</t>
  </si>
  <si>
    <t>MLSR301_216</t>
  </si>
  <si>
    <t>Running a Poisoned Image</t>
  </si>
  <si>
    <t>Organization shall ensure that only vetted, tested, validated, and digitally signed images are allowed to be uploaded to an organization’s registries.</t>
  </si>
  <si>
    <t>MLSR301_217</t>
  </si>
  <si>
    <t>Organization shall ensure that only trusted images are allowed to run, which will prevent images from external, unvetted sources from being used.</t>
  </si>
  <si>
    <t>MLSR301_218</t>
  </si>
  <si>
    <t>Organization shall automatically scan images for vulnerabilities and malware, which may detect malicious code such as rootkits embedded within an image</t>
  </si>
  <si>
    <t>MLSR301_219</t>
  </si>
  <si>
    <t>Organization shall implement runtime controls that limit container's ability to abuse resources, escalate privileges, and run executables</t>
  </si>
  <si>
    <t>MLSR301_220</t>
  </si>
  <si>
    <t>Organization shall use container-level network segmentation to limit “blast radius” of poisoned image</t>
  </si>
  <si>
    <t>MLSR301_220_ref</t>
  </si>
  <si>
    <t>MLSR301_221</t>
  </si>
  <si>
    <t>Organization shall validate container runtime to follow least-privilege and least-access principles.</t>
  </si>
  <si>
    <t>MLSR301_222</t>
  </si>
  <si>
    <t>Organization shall build a threat profile of the container's runtime.</t>
  </si>
  <si>
    <t>MLSR301_223</t>
  </si>
  <si>
    <t>Organization shall validate integrity of images before runtime by leveraging hashes and digital signatures</t>
  </si>
  <si>
    <t>MLSR301_224</t>
  </si>
  <si>
    <t>Organization shall restrict images from being run based on rules establishing acceptable vulnerability severity levels such as preventing images with vulnerabilities that have a Moderate or higher CVSS rating from being run.</t>
  </si>
  <si>
    <t>MLSR310_6</t>
  </si>
  <si>
    <t>A1:2017</t>
  </si>
  <si>
    <t>Injection</t>
  </si>
  <si>
    <t>Organization shall ensure to use safe API to mitigate injection attacks.</t>
  </si>
  <si>
    <t>MLSR310_7</t>
  </si>
  <si>
    <t>Organization shall ensure to use positive or "whitelist" server side input validation to avoid injection attack</t>
  </si>
  <si>
    <t>MLSR310_8</t>
  </si>
  <si>
    <t>Organization shall ensure to use escape special characters for dynamic queries using specific escape syntax for interpreter to avoid injection attack.</t>
  </si>
  <si>
    <t>MLSR310_9</t>
  </si>
  <si>
    <t>Organization shall ensure to use LIMIT and other SQL controls within queries to prevent mass disclosure of records in case of SQL injection</t>
  </si>
  <si>
    <t>MLSR310_24</t>
  </si>
  <si>
    <t>A2:2017</t>
  </si>
  <si>
    <t>Broken Authentication</t>
  </si>
  <si>
    <t>Organization shall implement multi factor authentication toprevent automated credential stuffing, brute force, and stolen credential reuse attacks</t>
  </si>
  <si>
    <t>MLSR310_25</t>
  </si>
  <si>
    <t>Organization shall prohibit to ship or deploy with any default credentials, particularly for admin user</t>
  </si>
  <si>
    <t>MLSR310_28</t>
  </si>
  <si>
    <t>Organization shall ensure that the registration, credential recovery, and API pathways are hardened against account enumeration attacks by using the same messages for all outcomes</t>
  </si>
  <si>
    <t>MLSR310_29</t>
  </si>
  <si>
    <t>Organization shall limit or increasingly delay failed login attempts</t>
  </si>
  <si>
    <t>MLSR310_29_1</t>
  </si>
  <si>
    <t>Organization shall log all failures and alert administrators when credential stuffing, brute force, or other attacks are detected</t>
  </si>
  <si>
    <t>MLSR310_30</t>
  </si>
  <si>
    <t>Organization shall use server side, secure, built in session manager to generate new random session ID with high entropy after login</t>
  </si>
  <si>
    <t>MLSR310_30_1</t>
  </si>
  <si>
    <t>Organization shall prohibit to use session IDs in the URL, securely store and invalidate after logout, idle, and absolute timeouts</t>
  </si>
  <si>
    <t>MLSR310_43</t>
  </si>
  <si>
    <t>A3:2017</t>
  </si>
  <si>
    <t>Sensitive Data Exposure</t>
  </si>
  <si>
    <t>Organization shall prohibit to store sensitive data unnecessarily and discard when not required</t>
  </si>
  <si>
    <t>MLSR310_44</t>
  </si>
  <si>
    <t>Organization shall implement encryption for all sensitive data at rest</t>
  </si>
  <si>
    <t>MLSR310_45</t>
  </si>
  <si>
    <t>Organization shall ensure up-to-date and strong standard algorithms, protocols, and keys are in place with proper key management.</t>
  </si>
  <si>
    <t>MLSR310_46</t>
  </si>
  <si>
    <t>Organization shall encrypt all data in transit with secure protocols such as TLS with perfect forward secrecy (PFS) ciphers, cipher prioritization by the server, and secure parameters.</t>
  </si>
  <si>
    <t>MLSR310_47</t>
  </si>
  <si>
    <t>Organization shall disable caching for responses that contain sensitive data.</t>
  </si>
  <si>
    <t>MLSR310_48</t>
  </si>
  <si>
    <t>Organization shall store passwords using strong adaptive and salted hashing functions with a work factor (delay factor), such as Argon2, scrypt, bcrypt, or PBKDF2.</t>
  </si>
  <si>
    <t>MLSR310_58</t>
  </si>
  <si>
    <t>A4:2017</t>
  </si>
  <si>
    <t>XML External Entities (XXE)</t>
  </si>
  <si>
    <t>Organization shall use less complex data formats such as JSON wherever applicable</t>
  </si>
  <si>
    <t>MLSR310_59</t>
  </si>
  <si>
    <t>Organization shall patch or upgrade all XML processors and libraries in use by the application or on the underlying operating system to prevent XXE</t>
  </si>
  <si>
    <t>MLSR310_60</t>
  </si>
  <si>
    <t>Organization shall ensure to disable XML external entity and DTD processing in all XML parsers in the application</t>
  </si>
  <si>
    <t>MLSR310_61</t>
  </si>
  <si>
    <t>Organization shall implement positive (“whitelisting”) server-side input validation, filtering, or sanitization to prevent hostile data within XML documents, headers, or nodes.</t>
  </si>
  <si>
    <t>MLSR310_62</t>
  </si>
  <si>
    <t>Organization shall ensure that XML or XSL file upload functionality validates incoming XML using XSD validation</t>
  </si>
  <si>
    <t>MLSR310_63</t>
  </si>
  <si>
    <t>Organization shall use SAST tools to detect XXE in source code and consider using virtual patching, API security gateways, or Web Application Firewalls(WAFs) to detect, monitor, and block XXE if required</t>
  </si>
  <si>
    <t>MLSR307_183</t>
  </si>
  <si>
    <t>MLSR310_72</t>
  </si>
  <si>
    <t>A5:2017</t>
  </si>
  <si>
    <t>Broken Access Control</t>
  </si>
  <si>
    <t>Organization shall implement access control in trusted server side code or server less API and with the exception of public resources, deny by default.</t>
  </si>
  <si>
    <t>MLSR310_73</t>
  </si>
  <si>
    <t>Organization shall implement access control mechanisms once and re-use them throughout the application, including minimizing Cross-origin resource sharing (CORS) usage</t>
  </si>
  <si>
    <t>MLSR310_74</t>
  </si>
  <si>
    <t>Organization shall implement model access controls to enforce record ownership, rather than accepting that the user can create, read, update, or delete any record.</t>
  </si>
  <si>
    <t>MLSR310_76</t>
  </si>
  <si>
    <t>Organization shall disable web server directory listing and ensure file metadata (e.g. .git) and backup files are not present within web roots to prevent unauthorized access</t>
  </si>
  <si>
    <t>MLSR310_77</t>
  </si>
  <si>
    <t>Organization shall log access control failures and alert admins for repeated failures</t>
  </si>
  <si>
    <t>MLSR310_78</t>
  </si>
  <si>
    <t>Organization shall implement rate limiting in API and controller access to minimize the harm from automated attack tooling</t>
  </si>
  <si>
    <t>MLSR310_79</t>
  </si>
  <si>
    <t>Organization shall invalidate JWT tokens on the server after logout</t>
  </si>
  <si>
    <t>MLSR310_86</t>
  </si>
  <si>
    <t>A6:2017</t>
  </si>
  <si>
    <t>Security Misconfiguration</t>
  </si>
  <si>
    <t>Organization shall automate the deployment setup of secure environment to configure identically with different credentials for development, QA and production.</t>
  </si>
  <si>
    <t>MLSR310_87</t>
  </si>
  <si>
    <t>Organization shall ensure that minimal platform without any unnecessary features, components and remove unused features and frameworks to avoid security misconfiguration</t>
  </si>
  <si>
    <t>MLSR310_89</t>
  </si>
  <si>
    <t>Organization shall design a segmented application architecture that provides effective, secure separation between components or tenants, with segmentation, containerization, or cloud security groups</t>
  </si>
  <si>
    <t>MLSR310_90</t>
  </si>
  <si>
    <t>Organization shall ensure to send security directives to clients such as security headers</t>
  </si>
  <si>
    <t>MLSR310_97</t>
  </si>
  <si>
    <t>A7:2017</t>
  </si>
  <si>
    <t>Cross
Site Scripting (XSS)</t>
  </si>
  <si>
    <t>Organization shall separate the untrusted data from active browser content by using frameworks that automatically escape XSS by design</t>
  </si>
  <si>
    <t>MLSR310_98</t>
  </si>
  <si>
    <t>Organization shall implement escaping untrusted HTTP request data based on the context in the HTML output (body, attribute, JavaScript, CSS, or URL) to resolve reflected and stored XSS vulnerabilities.</t>
  </si>
  <si>
    <t>MLSR310_99</t>
  </si>
  <si>
    <t>Organization shall implement context sensitive encoding or escaping techniques when modifying the browser document on the client side to protect against DOM XSS</t>
  </si>
  <si>
    <t>MLSR310_100</t>
  </si>
  <si>
    <t>Organization shall ensure to enable Content Security Policy as a defense in depth mitigating control against XSS</t>
  </si>
  <si>
    <t>MLSR310_106</t>
  </si>
  <si>
    <t>A8:2017</t>
  </si>
  <si>
    <t>Insecure Deserialization</t>
  </si>
  <si>
    <t>Organization shall implement digital signature for serialized objects to prevent hostile object creation or data tampering</t>
  </si>
  <si>
    <t>MLSR310_107</t>
  </si>
  <si>
    <t>Organization shall enforce strict type constraints during deserialization before object creation as the code typically expects a definable set of classes</t>
  </si>
  <si>
    <t>MLSR310_109</t>
  </si>
  <si>
    <t>Organization shall log deserialization exceptions and failures such as where the incoming type is not expected type, or deserialization throws exceptions.</t>
  </si>
  <si>
    <t>MLSR310_110</t>
  </si>
  <si>
    <t>Organization shall restrict and monitor incoming and outgoing network connectivity from containers or servers that deserialize to prevent remote code execution attack</t>
  </si>
  <si>
    <t>MLSR310_119</t>
  </si>
  <si>
    <t>A9:2017</t>
  </si>
  <si>
    <t>Using Components
with Known Vulnerabilities</t>
  </si>
  <si>
    <t>Organization shall obtain components only from official sources over secure links and prefer signed packages to reduce the chance of including a modified, malicious component.</t>
  </si>
  <si>
    <t>MLSR310_120</t>
  </si>
  <si>
    <t>Organization shall monitor and remove the libraries and components that are unmaintained.</t>
  </si>
  <si>
    <t>MLSR310_121</t>
  </si>
  <si>
    <t>Organization shall employ virtual patching to monitor, detect, or protect against the discovered issue when patching is not possible for unmaintained libraries and components</t>
  </si>
  <si>
    <t>MLSR310_128</t>
  </si>
  <si>
    <t>A10:2017</t>
  </si>
  <si>
    <t>Insufficient
Logging &amp; Monitoring</t>
  </si>
  <si>
    <t>Organization shall log all login, access control failures, and server-side input validation failures with sufficient user context to identify suspicious or malicious accounts and held for sufficient time to allow delayed forensic analysis.</t>
  </si>
  <si>
    <t>MLSR310_129</t>
  </si>
  <si>
    <t>Organization shall ensure that that logs are generated in a format that can be easily consumed by a centralized log management solutions</t>
  </si>
  <si>
    <t>MLSR310_130</t>
  </si>
  <si>
    <t>Organization shall implement audit trail for high-value transactions with integrity controls to prevent tampering</t>
  </si>
  <si>
    <t>MLSR310_131</t>
  </si>
  <si>
    <t>Organization shall implement effective monitoring of logs and alert if suspicious activities are detected</t>
  </si>
  <si>
    <t>MLSR312_61</t>
  </si>
  <si>
    <t>Data Isolation Mechanisms</t>
  </si>
  <si>
    <t>Organization shall employ data isolation mechanisms such as encryption and application sandboxing, to prevent unauthorized access to user and mobile device data</t>
  </si>
  <si>
    <t>MLSR312_61_1</t>
  </si>
  <si>
    <t>Organization shall ensure that the key used to encrypt user data is managed by the OS for modern mobile devices</t>
  </si>
  <si>
    <t>VPN Support</t>
  </si>
  <si>
    <t>Organization shall ensure to use VPNs via APIs supported by mobile platforms to provide confidentiality protection by encrypting user data.</t>
  </si>
  <si>
    <t>MLSR312_65_ref</t>
  </si>
  <si>
    <t>MLSR312_66</t>
  </si>
  <si>
    <t>Organization shall use biometric authentication on mobile device in combination with or in substitution of passwords or PINs</t>
  </si>
  <si>
    <t>MLSR312_70</t>
  </si>
  <si>
    <t>4.2.1.1</t>
  </si>
  <si>
    <t>General Policy Enforcement</t>
  </si>
  <si>
    <t>Organization shall employ EMM technology to configure enterprise security policies on mobile device and restrict the use of mobile functionality and security capabilities</t>
  </si>
  <si>
    <t>Organization shall employ EMM technology that automatically monitor, detect and report when policy violations occur and automatically take action when possible and appropriate</t>
  </si>
  <si>
    <t>MLSR312_71_ref</t>
  </si>
  <si>
    <t>MLSR312_72</t>
  </si>
  <si>
    <t>4.2.1.2</t>
  </si>
  <si>
    <t>User and Device Authentication</t>
  </si>
  <si>
    <t>Organization shall use password or other authenticator such as passcode, fingerprint, face to unlock the mobile device</t>
  </si>
  <si>
    <t>MLSR312_73</t>
  </si>
  <si>
    <t>Organization shall implement password/ passcode and/or other authentication such as token-based authentication, network-based device authentication, domain authentication, digital certificate before accessing the organization’s resources in mobile device</t>
  </si>
  <si>
    <t>MLSR312_74</t>
  </si>
  <si>
    <t>Organization shall ensure that the mobile device automatically locks itself after it is idle for a period of time</t>
  </si>
  <si>
    <t>MLSR312_75</t>
  </si>
  <si>
    <t>Organization shall remotely lock the mobile device under the direction of an administrator if the device is lost or left in an unlocked state in an unsecured location</t>
  </si>
  <si>
    <t>MLSR312_76</t>
  </si>
  <si>
    <t>Organization shall wipe the mobile device after a certain number of incorrect authentication attempts or after a predetermined time interval</t>
  </si>
  <si>
    <t>MLSR312_78</t>
  </si>
  <si>
    <t>4.2.1.3</t>
  </si>
  <si>
    <t>Data Communication and Storage</t>
  </si>
  <si>
    <t>Organization shall enforce to encrypt data communications between the mobile device and organization using encryption mechanism such as VPN</t>
  </si>
  <si>
    <t>MLSR312_79</t>
  </si>
  <si>
    <t>Organization shall enforce to encrypt stored data on both built-in storage and removable media storage.</t>
  </si>
  <si>
    <t>MLSR312_80</t>
  </si>
  <si>
    <t>Organization shall wipe the mobile device before reissuing it to another user or retiring the device</t>
  </si>
  <si>
    <t>MLSR312_81</t>
  </si>
  <si>
    <t>Organization shall remotely wipe the mobile device if it is suspected that the device has been lost, stolen or otherwise fallen into untrusted hands and is at risk of its data being recovered by an untrusted party.</t>
  </si>
  <si>
    <t>MLSR312_84</t>
  </si>
  <si>
    <t>4.2.2</t>
  </si>
  <si>
    <t>Mobile Application Management</t>
  </si>
  <si>
    <t>MLSR312_85</t>
  </si>
  <si>
    <t>MLSR312_86</t>
  </si>
  <si>
    <t>MLSR312_87</t>
  </si>
  <si>
    <t>System shall safeguard mechanisms used to install, update and remove apps on a mobile device and keep a current inventory of all apps installed on each device</t>
  </si>
  <si>
    <t>MLSR312_88</t>
  </si>
  <si>
    <t>System shall restrict the use of OS and app-synchronization and sharing services such as local device synchronization, remote synchronization services and websites</t>
  </si>
  <si>
    <t>MLSR312_89</t>
  </si>
  <si>
    <t>Organization shall distribute applications from a dedicated mobile application store provided through the EMM technology</t>
  </si>
  <si>
    <t>MLSR312_90</t>
  </si>
  <si>
    <t>Organization shall distribute organization’s apps from a dedicated mobile appstore</t>
  </si>
  <si>
    <t>MLSR312_95</t>
  </si>
  <si>
    <t>4.2.3</t>
  </si>
  <si>
    <t>Mobile Threat Defense</t>
  </si>
  <si>
    <t>Organization shall employ mobile threat detection (MTD) systems to detect the presence of malicious apps, network-based attacks, improper configurations and known vulnerabilities in mobile apps or in mobile OS itself.</t>
  </si>
  <si>
    <t>MLSR312_97</t>
  </si>
  <si>
    <t>4.2.4</t>
  </si>
  <si>
    <t>Mobile App Vetting</t>
  </si>
  <si>
    <t>Organization shall ensure that the administrator uses an app vetting system to detect software or configuration flaws, before an app is deployed to a user’s mobile device</t>
  </si>
  <si>
    <t>MLSR312_97_ref</t>
  </si>
  <si>
    <t>MLSR312_103</t>
  </si>
  <si>
    <t>4.2.7</t>
  </si>
  <si>
    <t>Secure Containers</t>
  </si>
  <si>
    <t>Organization shall employ secure containers that provide software-based data isolation designed to segment enterprise applications and information from personal apps and data.</t>
  </si>
  <si>
    <t>MLSR312_123</t>
  </si>
  <si>
    <t>EMM Technologies</t>
  </si>
  <si>
    <t>Organization shall employ EMM to deny a device access to enterprise data if it is in an insecure state.</t>
  </si>
  <si>
    <t>MLSR312_130</t>
  </si>
  <si>
    <t>Remote/Secure Wipe</t>
  </si>
  <si>
    <t>Organization shall enable remote wipe by allowing system administrator to install and configure a profile/agent on a mobile device before enterprise data or applications are available to be used</t>
  </si>
  <si>
    <t>MLSR312_138</t>
  </si>
  <si>
    <t>Use of a VPN</t>
  </si>
  <si>
    <t>Organization shall implement VPN as well as mutual authentication mechanisms to verify the identities of both endpoints before transmitting data</t>
  </si>
  <si>
    <t>MLSR312_140</t>
  </si>
  <si>
    <t>Rapid Adoption of Software Updates</t>
  </si>
  <si>
    <t>Organization shall employ EMMs to notify the user when OS and app updates are available and allow administrator to enforce compliance actions such as blocking or restricting access or complete removal of enterprise information on mobile device, if user does not make appropriate updates.</t>
  </si>
  <si>
    <t>MLSR312_171</t>
  </si>
  <si>
    <t>5.1.3.3</t>
  </si>
  <si>
    <t>BYOD and Choose Your Own Device (CYOD)</t>
  </si>
  <si>
    <t>Organization shall use EMM to enforce Data Loss Prevention (DLP) by applying restrictions such as disabling the copy/paste feature when in enterprise applications</t>
  </si>
  <si>
    <t>MLSR312_188</t>
  </si>
  <si>
    <t>Integration of EMM into the Enterprise Service Infrastructure</t>
  </si>
  <si>
    <t>Organization shall integrate EMM with enterprise backend services such as RADIUS or directory services, to enable more granular management of mobile device access to mission-critical enterprise resources</t>
  </si>
  <si>
    <t>MLSR311_6</t>
  </si>
  <si>
    <t>Microservices: Design Principles</t>
  </si>
  <si>
    <t>Organization shall design each microservice such that it is managed, replicated, scaled, upgraded, and deployed independently of other microservices</t>
  </si>
  <si>
    <t>MLSR311_6_ref</t>
  </si>
  <si>
    <t>MLSR311_7</t>
  </si>
  <si>
    <t>Organization shall design each microservice such that it has a single function and operates in a bounded context and ensure it has limited responsibility and dependence on other services.</t>
  </si>
  <si>
    <t>MLSR311_8</t>
  </si>
  <si>
    <t>Organization shall design all microservices to be stateless in order to handle constant failure and recovery.</t>
  </si>
  <si>
    <t>MLSR311_9</t>
  </si>
  <si>
    <t>Organization shall reuse existing trusted services such as databases, caches, directories for state management.</t>
  </si>
  <si>
    <t>MLSR311_11</t>
  </si>
  <si>
    <t>Business Drivers</t>
  </si>
  <si>
    <t>Organization shall ensure that microservice-based applications are highly scalable to maintain availability when there are increasing number of users and/or increased rate of usage from the existing user base.</t>
  </si>
  <si>
    <t>MLSR311_25</t>
  </si>
  <si>
    <t>Microservices: State of the Practice Core Features</t>
  </si>
  <si>
    <t>Organization shall monitor network traffic into and out of microservices with analytics capabilities in addition to routine logging features in order to detect attacks and identify factors for degradation of services.</t>
  </si>
  <si>
    <t>MLSR311_28</t>
  </si>
  <si>
    <t>Organization shall implement circuit breaker feature to set a threshold for failed responses to an instance of a microservice and cut off proxying requests to that instance when the failure is above the threshold.</t>
  </si>
  <si>
    <t>MLSR311_29</t>
  </si>
  <si>
    <t>Organization shall implement load balancing feature to have multiple instances of the same service, and the load on these instances must be evenly distributed to avoid delayed responses or service crashes due to overload.</t>
  </si>
  <si>
    <t>MLSR311_29_ref</t>
  </si>
  <si>
    <t>MLSR311_30</t>
  </si>
  <si>
    <t>Organization shall implement rate limiting (throttling) feature to limit the rate of requests coming into a microservice to ensure continued availability of service for all clients.</t>
  </si>
  <si>
    <t>MLSR311_31</t>
  </si>
  <si>
    <t>Organization shall implement Blue/green deployments such that when a new version of a microservice is deployed, requests from customers using the old version can be redirected to the new version.</t>
  </si>
  <si>
    <t>MLSR311_41</t>
  </si>
  <si>
    <t>2.7.1</t>
  </si>
  <si>
    <t>Gateway implementations</t>
  </si>
  <si>
    <t>Organization shall ensure that microgateway deployed for any microservice instance, communicate with service registry and monitoring modules to keep track of operational status of the microservice it is designed to protect.</t>
  </si>
  <si>
    <t>MLSR311_41_ref</t>
  </si>
  <si>
    <t>MLSR311_65</t>
  </si>
  <si>
    <t>Security strategies for authentication (MS-SS-1)</t>
  </si>
  <si>
    <t>Organizations shall ensure that microservices APIs with access to sensitive data, use authentication tokens, that are digitally signed or verified with authoritative source.</t>
  </si>
  <si>
    <t>MLSR311_67</t>
  </si>
  <si>
    <t>Organizations shall ensure that every API Key used in application has restrictions specified both for applications and set of APIs where they are used.</t>
  </si>
  <si>
    <t>MLSR311_76</t>
  </si>
  <si>
    <t>MLSR311_68</t>
  </si>
  <si>
    <t>Organization shall restrict scope for functionality of every API Key to commensurate with level of assurance provided during identity proofing, whether it be machine or human driven identity proofing.</t>
  </si>
  <si>
    <t>MLSR311_69</t>
  </si>
  <si>
    <t>Organization shall ensure to use stateless authentication tokens with short expiry times (e.g., JSON Web Tokens (JWT))</t>
  </si>
  <si>
    <t>MLSR311_70</t>
  </si>
  <si>
    <t>Organization shall use OAuth or OpenID connect for implementing authentication</t>
  </si>
  <si>
    <t>MLSR311_71</t>
  </si>
  <si>
    <t>Security strategies for authentication (MS-SS-2)</t>
  </si>
  <si>
    <t>Organization shall ensure to define and enforce access policies at a coarse level of granularity at initial API gateway and at finer level of granularity at micro gateway or at microservice itself.</t>
  </si>
  <si>
    <t>MLSR311_71_ref</t>
  </si>
  <si>
    <t>MLSR311_72</t>
  </si>
  <si>
    <t>Organization shall ensure that microservices cache policy data and use cache only when an access server is unavailable and shall expire after a duration appropriate for environment/infrastructure.</t>
  </si>
  <si>
    <t>MLSR311_73</t>
  </si>
  <si>
    <t>Organization shall ensure that microservice access server is capable of supporting fine-grained access policies.</t>
  </si>
  <si>
    <t>MLSR311_74</t>
  </si>
  <si>
    <t>Organization shall ensure that microservice access decisions from access server are conveyed to individual and sets of microservices through standardized tokens (such as handle-based token or assertion bearing token) encoded in platform-neutral format.</t>
  </si>
  <si>
    <t>MLSR311_75</t>
  </si>
  <si>
    <t>Organization shall ensure that internal authorization tokens appended by micro gateway are limited in scope to only involve API endpoints accessed for a particular request/transaction.</t>
  </si>
  <si>
    <t>Organization shall ensure to leverage API Gateway to centralize enforcement of authentication and access control for all downstream microservices.</t>
  </si>
  <si>
    <t>MLSR311_76_ref</t>
  </si>
  <si>
    <t>MLSR311_83</t>
  </si>
  <si>
    <t>Security strategies for service registry configuration (MS-SS-3)</t>
  </si>
  <si>
    <t>Organization shall ensure to provide Service registry capabilities through servers that are either dedicated or part of a service mesh architecture.</t>
  </si>
  <si>
    <t>MLSR311_84</t>
  </si>
  <si>
    <t>Organization shall ensure that service registry services are in a network that has been configured with Quality of Service (QoS) parameters to ensure its availability and resilience.</t>
  </si>
  <si>
    <t>MLSR311_85</t>
  </si>
  <si>
    <t>Organization shall ensure that communication between an application service and a service registry occurs through a secure communication protocol such as HTTPS or Transport Layer Security (TLS).</t>
  </si>
  <si>
    <t>MLSR311_85_ref</t>
  </si>
  <si>
    <t>MLSR311_86</t>
  </si>
  <si>
    <t>Organization shall ensure that service registry performs validation checks to ensure that only legitimate services are performing the registration, refresh operations, and database queries to discover services.</t>
  </si>
  <si>
    <t>MLSR311_87</t>
  </si>
  <si>
    <t>Organization shall ensure that bounded context and loose coupling principle for microservices shall be observed for service registration/deregistration functions.</t>
  </si>
  <si>
    <t>MLSR311_88</t>
  </si>
  <si>
    <t>Organization shall ensure that registration/deregistration of an application service is enabled using a third-party registration pattern and service self-registration/deregistration patterns shall be avoided.</t>
  </si>
  <si>
    <t>MLSR311_89</t>
  </si>
  <si>
    <t>Organization shall perform registration/deregistration only after performing health check on the application service, if a third-party registration pattern is implemented.</t>
  </si>
  <si>
    <t>MLSR311_90</t>
  </si>
  <si>
    <t>Organization shall ensure to deploy distributed service registry for large microservices applications and maintain data consistency among multiple service registry instances.</t>
  </si>
  <si>
    <t>MLSR311_93</t>
  </si>
  <si>
    <t>Security strategies for secure communication (MS-SS-)</t>
  </si>
  <si>
    <t>Organization shall ensure to prevent clients from being configured to call target microservices directly but rather to point to the single API gateway URL.</t>
  </si>
  <si>
    <t>MLSR311_94</t>
  </si>
  <si>
    <t>Organization shall ensure that client to API gateway as well as Service to Service communication takes place after mutual authentication and shall be encrypted using protocol such as mutual TLS.</t>
  </si>
  <si>
    <t>MLSR311_95</t>
  </si>
  <si>
    <t>Organization shall ensure to create keep-alive TLS connections for frequently interacting services.</t>
  </si>
  <si>
    <t>MLSR311_97</t>
  </si>
  <si>
    <t>Security strategies for security monitoring (MS-SS-5)</t>
  </si>
  <si>
    <t>Organization shall perform security monitoring at both the gateway and service level to detect, alert and respond to inappropriate behavior such as, a bearer token reuse attack and injection attacks.</t>
  </si>
  <si>
    <t>MLSR311_97_ref</t>
  </si>
  <si>
    <t>MLSR311_98</t>
  </si>
  <si>
    <t>Organization shall display a central monitoring dashboard to show status of various microservices and network segments that link them and at a minimum, show security parameters such as input validation failures and unexpected parameters that are obvious signs of injection attack attempts.</t>
  </si>
  <si>
    <t>MLSR311_99</t>
  </si>
  <si>
    <t>Organization shall create a baseline for normal, uncompromised behavior in terms of the outcome of business logic decisions, contact attempts, and other behavior and employ IDS nodes to detect deviations from baseline.</t>
  </si>
  <si>
    <t>MLSR311_104</t>
  </si>
  <si>
    <t>Analysis of Circuit Breaker implementation options</t>
  </si>
  <si>
    <t>Organization shall deploy proxy circuit breakers between clients and microservices to handle all incoming and outgoing messages and to provide additional protections such as making clients more resilient to faulty services.</t>
  </si>
  <si>
    <t>MLSR311_107</t>
  </si>
  <si>
    <t>Security strategies for load balancing (MS-SS-7)</t>
  </si>
  <si>
    <t>Organization shall decouple all programs supporting the load balancing function, from individual service requests.</t>
  </si>
  <si>
    <t>MLSR311_108</t>
  </si>
  <si>
    <t>Organization shall protect the network connection between load balancer and microservice platform.</t>
  </si>
  <si>
    <t>MLSR311_110</t>
  </si>
  <si>
    <t>Rate Limiting (Throttling)</t>
  </si>
  <si>
    <t>Organization shall implement rate limiting to ensure that a service is not oversubscribed impacting availability and it shall be achieved by setting a limit on how often a client can call a service within a defined window of time.</t>
  </si>
  <si>
    <t>MLSR311_111</t>
  </si>
  <si>
    <t>Security strategies for rate limiting (MS-SS-8)</t>
  </si>
  <si>
    <t>Organization shall define Quotas or limits for application usage based on both infrastructure and application-related requirements.</t>
  </si>
  <si>
    <t>MLSR311_112</t>
  </si>
  <si>
    <t>Organization shall determine rate limiting based on well-defined API usage plans.</t>
  </si>
  <si>
    <t>MLSR311_113</t>
  </si>
  <si>
    <t>Organization shall implement replay detection for high security microservices and based on the risk, this feature can be configured to detect replays 100% of the time or perform random detection.</t>
  </si>
  <si>
    <t>MLSR311_114</t>
  </si>
  <si>
    <t>Integrity Assurance Strategies</t>
  </si>
  <si>
    <t>Organization shall implement canary releases such that only a limited number of requests are routed to the new version after it is brought online, and the rest are routed to the existing operational version</t>
  </si>
  <si>
    <t>MLSR311_115</t>
  </si>
  <si>
    <t>Security (integrity assurance) strategies for the induction of new versions of microservices (MS-SS-9):</t>
  </si>
  <si>
    <t>Organization shall route traffic through API gateway for both existing version and new version of service in order to monitor if blue/green transition occurs in a controlled manner and to monitor the risk associated with a canary release.</t>
  </si>
  <si>
    <t>MLSR311_116</t>
  </si>
  <si>
    <t>Security (integrity assurance) strategies for handling session persistence (MS-SS-10):</t>
  </si>
  <si>
    <t>Organization shall implement session persistence using methods such as sticky cookies to send all requests in a client session to the same upstream microservice instance since clients execute a complete transaction through multiple requests to a specific service.</t>
  </si>
  <si>
    <t>MLSR311_116_ref</t>
  </si>
  <si>
    <t>MLSR311_117</t>
  </si>
  <si>
    <t>Organization shall securely store session information for a client and the session artifact used for conveying the binding server information shall be protected.</t>
  </si>
  <si>
    <t>MLSR311_118</t>
  </si>
  <si>
    <t>Organization shall prevent providing the internal authorization tokens back to user, and also prevent passing user's session tokens beyond the gateway for use in policy decisions.</t>
  </si>
  <si>
    <t>MLSR311_120</t>
  </si>
  <si>
    <t>Security strategies for preventing credential abuse and stuffing attacks (MS-SS-11):</t>
  </si>
  <si>
    <t>Organization shall define API threshold for a designated time interval from a given location for the number of login attempts and if the threshold is exceeded, preventive measures shall be triggered by the authentication/authorization server.</t>
  </si>
  <si>
    <t>MLSR311_121</t>
  </si>
  <si>
    <t>Organization shall implement credential-stuffing detection solution to check user logins against the stolen credential database and warn legitimate users that their credentials have been stolen.</t>
  </si>
  <si>
    <t>MLSR311_122</t>
  </si>
  <si>
    <t>Organization shall configure IDS and boundary devices to detect denial of service attack and raise an alert before the service is no longer accessible, and a distributed network probe.</t>
  </si>
  <si>
    <t>MLSR311_123</t>
  </si>
  <si>
    <t>Organization shall configure service hosts to scan file uploads and the contents of each container's memory and file system for resident malware threats.</t>
  </si>
  <si>
    <t>MLSR311_125</t>
  </si>
  <si>
    <t>Security strategy for API gateway implementation (MS-SS-12):</t>
  </si>
  <si>
    <t>Organization shall integrate the API gateway with an identity management application to provision credentials before activating the API.</t>
  </si>
  <si>
    <t>MLSR311_126</t>
  </si>
  <si>
    <t>Organization shall securely channel all traffic information to a monitoring and/or analytics application for detecting attacks and unearthing explanations for degrading performance.</t>
  </si>
  <si>
    <t>MLSR311_127</t>
  </si>
  <si>
    <t>Organization shall implement token translation service between gateways in distributed gateway deployments and the token presented to the initial gateway shall have permissions with a broad scope whereas the token presented to microgateways shall be more narrowly scoped with specific permissions.</t>
  </si>
  <si>
    <t>MLSR311_128</t>
  </si>
  <si>
    <t>Organization shall implement a service mesh to ensure that proper configuration parameters associated with various security policies are defined correctly in the control plane so that the intent of the security policies are met, and the service mesh alone does not introduce new vulnerabilities.</t>
  </si>
  <si>
    <t>MLSR311_128_ref</t>
  </si>
  <si>
    <t>MLSR311_129</t>
  </si>
  <si>
    <t>Security strategy for service mesh implementation (MS-SS-13):</t>
  </si>
  <si>
    <t>Organization shall ensure that default configuration always enables access control policies for all services and avoid configurations that may lead to privilege escalation.</t>
  </si>
  <si>
    <t>MLSR311_130</t>
  </si>
  <si>
    <t>Organization shall ensure that service mesh deployment has configuration capabilities to specify resource usage limits for its components, to collect and send environment metrics, including request metrics, to a centralized service for monitoring.</t>
  </si>
  <si>
    <t>MLSR302_56</t>
  </si>
  <si>
    <t>5.1.1.1</t>
  </si>
  <si>
    <t>Memorized Secret Authenticators</t>
  </si>
  <si>
    <t>CSP shall ensure that memorized secrets are at least 8 characters in length if chosen by the subscriber and at least 6 characters in length and may be entirely numeric if chosen randomly</t>
  </si>
  <si>
    <t>MLSR302_56_ref</t>
  </si>
  <si>
    <t>MLSR302_59</t>
  </si>
  <si>
    <t xml:space="preserve">5.1.1.2 </t>
  </si>
  <si>
    <t xml:space="preserve">  Memorized Secret Verifiers</t>
  </si>
  <si>
    <t>CSP shall ensure that memorized secrets are generated using an approved random bit generator</t>
  </si>
  <si>
    <t>MLSR302_60</t>
  </si>
  <si>
    <t>Organization shall ensure that memorized secret verifiers prohibit the subscriber to store a "hint" that is accessible to an unauthenticated claimant and shall prohibit to prompt subscribers to use specific types of information when choosing memorized secrets</t>
  </si>
  <si>
    <t>MLSR302_61</t>
  </si>
  <si>
    <t>Verifiers shall compare the prospective secrets against a list that contains values known to be commonly-used, expected, or compromised, when processing requests to establish and change memorized secrets</t>
  </si>
  <si>
    <t>MLSR302_62</t>
  </si>
  <si>
    <t>Verifiers shall ensure that if subscriber chosen secret is found in the list that contains values known to be compromised, subscriber is advised to select a different secret and shall provide the reason for rejection and shall require the subscriber to choose a different value.</t>
  </si>
  <si>
    <t>MLSR302_63</t>
  </si>
  <si>
    <t>Verifiers shall implement password-strength meter to assist the user in choosing a strong memorized secret</t>
  </si>
  <si>
    <t>MLSR302_64</t>
  </si>
  <si>
    <t>Verifiers shall implement a rate-limiting mechanism that effectively limits the number of failed authentication attempts that can be made on the subscriber’s account</t>
  </si>
  <si>
    <t>MLSR302_65</t>
  </si>
  <si>
    <t>Verifiers shall prohibit to impose composition rules for memorized secrets such as consecutively repeated characters</t>
  </si>
  <si>
    <t>MLSR302_67</t>
  </si>
  <si>
    <t>Verifiers shall permit claimants to use “paste” functionality when entering a memorized secret while using a password manager and thus make users choose stronger memorized secrets.</t>
  </si>
  <si>
    <t>MLSR302_68</t>
  </si>
  <si>
    <t>Verifier shall permit user’s device to display individual entered characters for a short time after each character is typed to verify correct entry especially on mobile devices.</t>
  </si>
  <si>
    <t>MLSR302_69</t>
  </si>
  <si>
    <t>Verifier shall use approved encryption and authenticated protected channel when requesting look-up secrets in order to provide resistance to eavesdropping and MitM attacks.</t>
  </si>
  <si>
    <t>MLSR302_70</t>
  </si>
  <si>
    <t>Verifiers shall ensure memorized secrets is salted and hashed using a suitable one-way key derivation function such as Password-based Key Derivation Function 2 (PBKDF2) and Balloon [BALLOON]</t>
  </si>
  <si>
    <t>MLSR302_71</t>
  </si>
  <si>
    <t>Verifiers shall ensure that salt shall be at least 32 bits in length and be chosen arbitrarily so as to minimize salt value collisions among stored hashes and ensure both salt value and resulting hash is stored using a memorized secret authenticator.</t>
  </si>
  <si>
    <t>MLSR302_72</t>
  </si>
  <si>
    <t>Verifiers shall ensure that the iteration count of one-way hash function is as large as verification server performance will allow, typically at least 10,000 iterations</t>
  </si>
  <si>
    <t>MLSR302_73</t>
  </si>
  <si>
    <t>Verifiers shall generate salt value using an approved random bit generator and the secret salt value shall be stored separately from hashed memorized secrets.</t>
  </si>
  <si>
    <t>MLSR302_75</t>
  </si>
  <si>
    <t>5.1.2.1</t>
  </si>
  <si>
    <t>Look-Up Secret Authenticators</t>
  </si>
  <si>
    <t>CSPs shall create look-up secret authenticators using an approved random bit generator to generate the list of secrets and shall deliver the authenticator securely to the subscriber and ensure look-up secrets have at least 20 bits of entropy.</t>
  </si>
  <si>
    <t>MLSR302_76</t>
  </si>
  <si>
    <t>CSPs shall distribute look-up secrets over a secure channel in accordance with the post-enrollment binding requirements</t>
  </si>
  <si>
    <t>MLSR302_77</t>
  </si>
  <si>
    <t>System shall ensure that subscriber disposes used secrets after successful authentication, if authenticator uses look-up secrets sequentially from a list.</t>
  </si>
  <si>
    <t>MLSR302_78</t>
  </si>
  <si>
    <t xml:space="preserve">5.1.2.2  </t>
  </si>
  <si>
    <t xml:space="preserve"> Look-Up Secret Verifiers</t>
  </si>
  <si>
    <t>Verifiers shall prompt the claimant for the next secret from their authenticator or for a specific (e.g., numbered) secret and ensure given secret from authenticator is used successfully only once</t>
  </si>
  <si>
    <t>MLSR302_79</t>
  </si>
  <si>
    <t>Verifiers shall store look-up secrets with at least 112 bits of entropy hashed with an approved one-way function.</t>
  </si>
  <si>
    <t>MLSR302_86</t>
  </si>
  <si>
    <t>5.1.3.1</t>
  </si>
  <si>
    <t>Out-of-Band Authenticators</t>
  </si>
  <si>
    <t>Organization shall ensure that out-of-band authenticator establishes a separate channel (other than primary communication channel) with verifier, in order to retrieve out-of-band secret or authentication request</t>
  </si>
  <si>
    <t>MLSR302_87</t>
  </si>
  <si>
    <t>Organization shall ensure that out-of-band device is uniquely addressable and communication over the secondary channel are encrypted unless sent via public network</t>
  </si>
  <si>
    <t>MLSR302_90</t>
  </si>
  <si>
    <t>Organization shall ensure that out-of-band authenticator uses an authenticated protected channel using approved cryptography.</t>
  </si>
  <si>
    <t>MLSR302_91</t>
  </si>
  <si>
    <t>Organization shall ensure authentication over a public mobile telephone network using a SIM card or equivalent that uniquely identifies the device and use this method only if a secret is being sent from the verifier to the out-of-band device via public switched telephone network (PSTN).</t>
  </si>
  <si>
    <t>MLSR302_92</t>
  </si>
  <si>
    <t>Organization shall ensure that secret sent to out-of-band device prohibits to display authentication secret while it is locked by owner.</t>
  </si>
  <si>
    <t>MLSR302_94</t>
  </si>
  <si>
    <t>Organization shall ensure that authenticator accepts transfer of secret from primary channel which it sends to the verifier over the secondary channel to associate the approval with the authentication transaction and the claimant may perform the transfer manually or use a technology such as barcode or QR code to effect the transfer.</t>
  </si>
  <si>
    <t>MLSR302_102</t>
  </si>
  <si>
    <t>5.1.3.2</t>
  </si>
  <si>
    <t>Out-of-Band Verifiers</t>
  </si>
  <si>
    <t>Verifiers shall accept a given authentication secret only once during the validity period and consider it as invalid if authentication is not completed within specified duration for OOB authentication.</t>
  </si>
  <si>
    <t>MLSR302_109</t>
  </si>
  <si>
    <t>5.1.4.1</t>
  </si>
  <si>
    <t>Single-Factor OTP Authenticators</t>
  </si>
  <si>
    <t>Organization shall prohibit cloning of the secret key onto multiple devices while using single-factor OTP authenticators particularly software-based OTP generators.</t>
  </si>
  <si>
    <t>MLSR302_109_ref</t>
  </si>
  <si>
    <t>MLSR302_111</t>
  </si>
  <si>
    <t>Organization shall ensure that if nonce used to generate authenticator output is based on real-time clock, it shall be changed at least once every 2 minutes and OTP value associated with a given nonce shall be accepted only once</t>
  </si>
  <si>
    <t>MLSR302_112</t>
  </si>
  <si>
    <t>5.1.4.2</t>
  </si>
  <si>
    <t>Single-Factor OTP Verifiers</t>
  </si>
  <si>
    <t>Organization shall ensure that symmetric keys used by OTP authenticators shall be strongly protected against compromise.</t>
  </si>
  <si>
    <t>MLSR302_112_ref</t>
  </si>
  <si>
    <t>MLSR302_113</t>
  </si>
  <si>
    <t>Verifier or CSP shall use approved cryptography to either generate and exchange or to obtain the secrets required to duplicate the OTP authenticator output.</t>
  </si>
  <si>
    <t>MLSR302_114</t>
  </si>
  <si>
    <t>Verifier shall use approved encryption and an authenticated protected channel when collecting the OTP in order to provide resistance to eavesdropping and MitM attacks</t>
  </si>
  <si>
    <t>MLSR302_116</t>
  </si>
  <si>
    <t>5.1.5</t>
  </si>
  <si>
    <t>Multi-Factor OTP Devices</t>
  </si>
  <si>
    <t>System shall ensure that the multi-factor OTP device generates OTPs for use in authentication after activation through additional authentication factor.</t>
  </si>
  <si>
    <t>MLSR302_117</t>
  </si>
  <si>
    <t>5.1.5.1</t>
  </si>
  <si>
    <t>Multi-Factor OTP Authenticators</t>
  </si>
  <si>
    <t>Organization shall ensure that the multi-factor OTP authenticators require the entry of either a memorized secret or the use of a biometric to obtain the OTP from the authenticator and each use of authenticator shall require the input of the additional factor.</t>
  </si>
  <si>
    <t>MLSR302_119</t>
  </si>
  <si>
    <t>Verifiers shall ensure that multi-factor OTP authenticators shall prohibit cloning of the secret key onto multiple devices</t>
  </si>
  <si>
    <t>MLSR302_122</t>
  </si>
  <si>
    <t>Organization shall ensure that any memorized secret used by multi-factor OTP authenticator for activation shall be a randomly-chosen numeric secret at least 6 decimal digits in length.</t>
  </si>
  <si>
    <t>MLSR302_123</t>
  </si>
  <si>
    <t>Organization shall ensure that any biometric data derived from biometric sample such as a probe produced through signal processing shall be zeroized immediately after an OTP has been generated.</t>
  </si>
  <si>
    <t>MLSR302_129</t>
  </si>
  <si>
    <t>5.1.6.1</t>
  </si>
  <si>
    <t>Single-Factor Cryptographic Software Authenticators</t>
  </si>
  <si>
    <t>Organization shall ensure secret key encapsulated in cryptographic authenticators, is stored in suitable secure storage and strongly protected against unauthorized disclosure by use of access controls that limit access to key to only those software components on device requiring access.</t>
  </si>
  <si>
    <t>MLSR302_132</t>
  </si>
  <si>
    <t>5.1.7.1</t>
  </si>
  <si>
    <t>Single-Factor Cryptographic Device Authenticators</t>
  </si>
  <si>
    <t>Organization shall ensure that single-factor cryptographic device authenticators encapsulate one or more secret keys unique to the device that shall not be exportable or alternatively use hardware TPM.</t>
  </si>
  <si>
    <t>MLSR302_133</t>
  </si>
  <si>
    <t>Verifiers shall ensure that the challenge nonce presented by cryptographic device authenticators are at least 64 bits in length and use approved cryptography.</t>
  </si>
  <si>
    <t>MLSR302_134</t>
  </si>
  <si>
    <t>Organization shall ensure that single-factor cryptographic device authenticators require a physical input (e.g., the pressing of a button) in order to operate and provide defense against unintended operation of device</t>
  </si>
  <si>
    <t>MLSR302_134_ref</t>
  </si>
  <si>
    <t>MLSR302_136</t>
  </si>
  <si>
    <t>5.1.7.2</t>
  </si>
  <si>
    <t>Single-Factor Cryptographic Device Verifiers</t>
  </si>
  <si>
    <t>Verifier shall ensure that both symmetric and asymmetric cryptographic keys corresponding to each authenticators are protected against modification and symmetric keys are additionally protected against unauthorized disclosure.</t>
  </si>
  <si>
    <t>MLSR302_141</t>
  </si>
  <si>
    <t>5.1.8.1</t>
  </si>
  <si>
    <t>Multi-Factor Cryptographic Software Authenticators</t>
  </si>
  <si>
    <t>Organization shall ensure that memorized secret used by the multi-factor cryptographic software authenticator for activation is a randomly-chosen numeric value with at least 6 decimal digits in length</t>
  </si>
  <si>
    <t>MLSR302_148</t>
  </si>
  <si>
    <t>5.1.9.1</t>
  </si>
  <si>
    <t xml:space="preserve"> Multi-Factor Cryptographic Device Authenticators</t>
  </si>
  <si>
    <t>Organization shall ensure that each authentication operation using Multi-Factor cryptographic device authenticator shall require the input of the additional factor which can be accomplished via either direct input on the device or a hardware connection.</t>
  </si>
  <si>
    <t>MLSR302_154</t>
  </si>
  <si>
    <t>5.2.1</t>
  </si>
  <si>
    <t>Physical Authenticators</t>
  </si>
  <si>
    <t>CSP shall provide a mechanism to revoke or suspend the authenticator device immediately upon notification from subscriber that loss or theft of the authenticator is suspected.</t>
  </si>
  <si>
    <t>MLSR302_154_ref</t>
  </si>
  <si>
    <t>MLSR302_155</t>
  </si>
  <si>
    <t>Verifier shall implement controls to protect against online guessing attacks and limit consecutive failed authentication attempts on a single account to no more than 100.</t>
  </si>
  <si>
    <t>MLSR302_157</t>
  </si>
  <si>
    <t>Verifier shall ensure that the claimant completes a CAPTCHA before attempting authentication.</t>
  </si>
  <si>
    <t>MLSR302_158</t>
  </si>
  <si>
    <t>Verifier shall ensure that the claimant waits following a failed attempt for a period of time that increases as the account approaches its maximum allowance for consecutive failed attempts</t>
  </si>
  <si>
    <t>MLSR302_159</t>
  </si>
  <si>
    <t>Verifier shall accept only authentication requests that come from a white list of IP addresses from which the subscriber has been successfully authenticated before</t>
  </si>
  <si>
    <t>MLSR302_161</t>
  </si>
  <si>
    <t>Verifier shall remove any previous failed attempts for that user from the same IP address when the subscriber successfully authenticates</t>
  </si>
  <si>
    <t>5.2.3</t>
  </si>
  <si>
    <t>Use of Biometrics</t>
  </si>
  <si>
    <t>Organization shall implement presentation attack detection (PAD) technologies (e.g., liveness detection) to mitigate the risk of presentation attacks and additional trust in the sensor or biometric processing is required to ensure that PAD is operating in accordance with the needs of the CSP and the subscriber.</t>
  </si>
  <si>
    <t>MLSR302_167_ref</t>
  </si>
  <si>
    <t>MLSR302_169</t>
  </si>
  <si>
    <t>CSP shall ensure that biometrics are used only as part of multi-factor authentication with a physical authenticator</t>
  </si>
  <si>
    <t>MLSR302_170</t>
  </si>
  <si>
    <t>Organization shall establish authenticated protected channel between biometric sensor and verifier</t>
  </si>
  <si>
    <t>MLSR302_170_1</t>
  </si>
  <si>
    <t>Organization shall ensure that biometric sensor or endpoint is authenticated prior to capturing the biometric sample from the claimant</t>
  </si>
  <si>
    <t>MLSR302_171</t>
  </si>
  <si>
    <t>Organization shall ensure that the biometric system shall operate with an FMR (false matching rate) of 1 in 1000 or better.</t>
  </si>
  <si>
    <t>MLSR302_174</t>
  </si>
  <si>
    <t xml:space="preserve"> Use of Biometrics</t>
  </si>
  <si>
    <t>Organization shall ensure that biometric system prohibit to allow more than 5 consecutive failed authentication attempts or 10 consecutive failed attempts if PAD is implemented</t>
  </si>
  <si>
    <t>MLSR302_174_1</t>
  </si>
  <si>
    <t>Organization shall impose a delay of at least 30 seconds on biometric system before the next attempt, increasing exponentially with each successive attempt</t>
  </si>
  <si>
    <t>MLSR302_174_2</t>
  </si>
  <si>
    <t>Organization shall disable biometric user authentication when failed attempts exceeded limits and offer another factor such as different biometric modality or a PIN/Passcode if it is not already a required factor.</t>
  </si>
  <si>
    <t>MLSR302_179</t>
  </si>
  <si>
    <t>Organization shall ensure that biometric comparison is preferred to be performed locally on claimant’s device than at a central verifier, since the potential for attacks on a larger scale is greater at central verifiers</t>
  </si>
  <si>
    <t>MLSR302_180</t>
  </si>
  <si>
    <t>CSP shall ensure that use of the biometric as an authentication factor is limited to one or more specific devices that are identified using approved cryptography if comparison is performed centrally</t>
  </si>
  <si>
    <t>MLSR302_181</t>
  </si>
  <si>
    <t>Organization shall implement biometric revocation (referred to as biometric template protection), if biometric comparison is performed centrally</t>
  </si>
  <si>
    <t>MLSR302_182</t>
  </si>
  <si>
    <t>Organization shall ensure that all transmission of biometrics are over the authenticated protected channel if biometric comparison is performed centrally</t>
  </si>
  <si>
    <t>MLSR302_189</t>
  </si>
  <si>
    <t>5.2.5</t>
  </si>
  <si>
    <t>Verifier Impersonation Resistance</t>
  </si>
  <si>
    <t>Organization shall ensure that verifier impersonation-resistant authentication protocol establishes authenticated protected channel with the verifier and shall strongly and irreversibly bind a channel identifier that was negotiated in establishing the authenticated protected channel to the authenticator output.</t>
  </si>
  <si>
    <t>MLSR302_190</t>
  </si>
  <si>
    <t>Organization shall use approved cryptographic algorithms to establish verifier impersonation resistance with keys of minimum security strength (112 bits)</t>
  </si>
  <si>
    <t>MLSR302_193</t>
  </si>
  <si>
    <t>5.2.6</t>
  </si>
  <si>
    <t xml:space="preserve">  Verifier-CSP Communications</t>
  </si>
  <si>
    <t>Organization shall ensure that communications between the verifier and CSP shall occur through a mutually-authenticated secure channel (client-authenticated TLS connection) using approved cryptography</t>
  </si>
  <si>
    <t>MLSR302_221</t>
  </si>
  <si>
    <t>5.2.10</t>
  </si>
  <si>
    <t>Restricted Authenticators</t>
  </si>
  <si>
    <t>CSPs shall maintain a record of all authenticators that are or have been associated with each identity throughout digital identity lifecycle and information required for throttling authentication attempts.</t>
  </si>
  <si>
    <t>MLSR302_223</t>
  </si>
  <si>
    <t>Organization shall ensure that record created by CSP contains date and time the authenticator was bound to account and the record shall include information about source of binding of any device associated with enrollment and source of unsuccessful authentications attempted with authenticator</t>
  </si>
  <si>
    <t>MLSR302_224</t>
  </si>
  <si>
    <t>CSP shall ensure that the binding of multi-factor authenticators shall require multi-factor authentication or equivalent to be used in order to bind a new authenticator to a subscriber account.</t>
  </si>
  <si>
    <t>MLSR302_225</t>
  </si>
  <si>
    <t>6.1.1</t>
  </si>
  <si>
    <t>Binding at Enrollment</t>
  </si>
  <si>
    <t>CSP shall ensure that authenticators are bound to subscriber accounts at enrollment, enabling access to personal data, including that established by identity proofing.</t>
  </si>
  <si>
    <t>MLSR302_226</t>
  </si>
  <si>
    <t>CSP shall bind at least two physical(something you have) authenticators to subscriber’s online identity, in addition to a memorized secret or one or more biometrics, in order to recover from loss or theft of subscriber’s primary authenticator.</t>
  </si>
  <si>
    <t>MLSR302_252</t>
  </si>
  <si>
    <t>MLSR302_231</t>
  </si>
  <si>
    <t>Organization shall ensure that applicant identifies themselves in each new binding transaction by presenting a temporary secret established during a prior transaction or sent to the applicant's phone number, email address, or postal address of record, for remote transactions.</t>
  </si>
  <si>
    <t>MLSR302_232</t>
  </si>
  <si>
    <t>Organization shall ensure that long-term authenticator secrets are only issued to the applicant within a protected session for remote transactions</t>
  </si>
  <si>
    <t>MLSR302_234</t>
  </si>
  <si>
    <t>Organization shall ensure that the applicant identify themselves in person by either using a secret or through use of a biometric that was recorded during a prior encounter.</t>
  </si>
  <si>
    <t>MLSR302_235</t>
  </si>
  <si>
    <t>Organization shall ensure that temporary secrets are not reused for in-person transactions</t>
  </si>
  <si>
    <t>MLSR302_236</t>
  </si>
  <si>
    <t>Organization shall ensure that long-term authenticator secrets (issued by CSP) during a physical transaction, are loaded locally onto a physical device that is issued in person to the applicant or delivered in a manner that confirms the address of record.</t>
  </si>
  <si>
    <t>MLSR302_239</t>
  </si>
  <si>
    <t>6.1.2.1</t>
  </si>
  <si>
    <t xml:space="preserve"> Binding of an Additional Authenticator at Existing AAL</t>
  </si>
  <si>
    <t>CSPs shall permit the binding of additional authenticators to a subscriber’s account and also limit number of authenticators that may be bound.</t>
  </si>
  <si>
    <t>6.1.2.2</t>
  </si>
  <si>
    <t>Adding an Additional Factor to a Single-Factor Account</t>
  </si>
  <si>
    <t>CSP shall ensure to send a notification of the event to the subscriber via a mechanism independent of the transaction binding the new authenticator (e.g., email to an address previously associated with the subscriber)</t>
  </si>
  <si>
    <t>MLSR302_241_ref</t>
  </si>
  <si>
    <t>MLSR302_242</t>
  </si>
  <si>
    <t>6.1.2.3</t>
  </si>
  <si>
    <t>Replacement of a Lost Authentication Factor</t>
  </si>
  <si>
    <t>CSP shall repeat the identity proofing process, if subscriber loses all authenticators of a factor necessary to complete multi-factor authentication and has been identity proofed already.</t>
  </si>
  <si>
    <t>MLSR302_243</t>
  </si>
  <si>
    <t>CSP shall send a notification of the event to the subscriber if an authenticator is lost.</t>
  </si>
  <si>
    <t>MLSR302_244</t>
  </si>
  <si>
    <t>CSP shall ensure that If a biometric is bound to a subscriber account, the biometric and associated physical authenticator shall be used to establish a new memorized secret when it is lost or forgotten.</t>
  </si>
  <si>
    <t>MLSR302_245</t>
  </si>
  <si>
    <t>CSP shall ensure that when there is no biometric bound to the account and it is lost, a new memorized secret with authentication using two physical authenticators is bound, along with a confirmation code that has been sent to one of the subscriber’s addresses of record.</t>
  </si>
  <si>
    <t>MLSR302_249</t>
  </si>
  <si>
    <t>6.1.4</t>
  </si>
  <si>
    <t>Renewal</t>
  </si>
  <si>
    <t>CSP shall bind an updated authenticator within an appropriate amount of time before an existing authenticator’s expiration</t>
  </si>
  <si>
    <t>Organization shall ensure that suspension, revocation or destruction of compromised authenticators are performed within a specified time limit, once detected.</t>
  </si>
  <si>
    <t>MLSR302_252_ref</t>
  </si>
  <si>
    <t>MLSR302_253</t>
  </si>
  <si>
    <t>Loss, Theft, Damage, and Unauthorized Duplication</t>
  </si>
  <si>
    <t>CSP shall provide the subscriber with a method of authenticating to the CSP using a backup or alternate authenticator to facilitate secure reporting of the loss, theft, or damage to an authenticator.</t>
  </si>
  <si>
    <t>MLSR302_253_1</t>
  </si>
  <si>
    <t>CSP shall set a time limit after which a suspended authenticator can no longer be reactivated.</t>
  </si>
  <si>
    <t>MLSR302_255</t>
  </si>
  <si>
    <t>CSPs shall give an indication to the subscriber that the authentication failure is due to expiration rather than some other cause, when an authentication is attempted using an expired authenticator.</t>
  </si>
  <si>
    <t>MLSR302_256</t>
  </si>
  <si>
    <t>CSP shall ensure that subscribers surrender or prove destruction of any physical authenticator after expiration or receipt of a renewed authenticator</t>
  </si>
  <si>
    <t>MLSR302_259</t>
  </si>
  <si>
    <t>CSPs shall revoke the binding of authenticators when an online identity ceases to exist, when requested by the subscriber, or when the CSP determines that the subscriber no longer meets its eligibility requirements</t>
  </si>
  <si>
    <t>MLSR302_260</t>
  </si>
  <si>
    <t>CSP shall ensure that subscribers surrender or certify destruction of any physical authenticator after revocation or termination takes place</t>
  </si>
  <si>
    <t>MLSR302_267</t>
  </si>
  <si>
    <t>Session Management</t>
  </si>
  <si>
    <t>Organization shall ensure that session secret shall be presented directly by the subscriber’s software or possession of the secret shall be proven using a cryptographic mechanism.</t>
  </si>
  <si>
    <t>MLSR302_270</t>
  </si>
  <si>
    <t>Organization shall ensure that secrets used for session binding shall be generated by session host during an interaction in response to authentication event.</t>
  </si>
  <si>
    <t>MLSR302_270_ref</t>
  </si>
  <si>
    <t>MLSR302_271</t>
  </si>
  <si>
    <t>Organization shall ensure that secrets used for session binding are generated by an approved random bit generator and contain at least 64 bits of entropy.</t>
  </si>
  <si>
    <t>MLSR302_272</t>
  </si>
  <si>
    <t>Organization shall ensure that secrets used for session binding are erased or invalidated by the session subject when the subscriber logs out.</t>
  </si>
  <si>
    <t>MLSR302_273</t>
  </si>
  <si>
    <t>Organization shall ensure that secrets used for session binding are erased on the subscriber endpoint when the user logs out or when the secret is deemed to have expired.</t>
  </si>
  <si>
    <t>MLSR302_274</t>
  </si>
  <si>
    <t>Organization shall ensure that secrets used for session binding are not placed in insecure locations such as HTML5 Local Storage due to the potential exposure of local storage to cross-site scripting (XSS) attacks</t>
  </si>
  <si>
    <t>MLSR302_275</t>
  </si>
  <si>
    <t>Organization shall ensure that secrets used for session binding are sent to and received from the device using an authenticated protected channel.</t>
  </si>
  <si>
    <t>MLSR302_276</t>
  </si>
  <si>
    <t>Organization shall ensure that secrets used for session binding are timed out and not accepted after specified time.</t>
  </si>
  <si>
    <t>MLSR302_277</t>
  </si>
  <si>
    <t>Organization shall ensure that secrets used for session binding are not available to insecure communications between the host and subscriber’s endpoint and prohibit authenticated sessions from falling back to an insecure transport, such as from https to http, after authentication.</t>
  </si>
  <si>
    <t>MLSR302_283</t>
  </si>
  <si>
    <t>7.1.1</t>
  </si>
  <si>
    <t>Browser Cookies</t>
  </si>
  <si>
    <t>System shall ensure that cookies are tagged to be accessible only on secure (HTTPS) sessions</t>
  </si>
  <si>
    <t>MLSR302_284</t>
  </si>
  <si>
    <t>System shall ensure that cookies are accessible to the minimum practical set of hostnames and paths.</t>
  </si>
  <si>
    <t>MLSR302_285</t>
  </si>
  <si>
    <t>System shall ensure that cookies are tagged to be inaccessible via JavaScript (HttpOnly).</t>
  </si>
  <si>
    <t>MLSR302_286</t>
  </si>
  <si>
    <t>System shall ensure that cookies are tagged to expire at, or soon after, the session’s validity period</t>
  </si>
  <si>
    <t>MLSR302_293</t>
  </si>
  <si>
    <t xml:space="preserve">7.1.3 </t>
  </si>
  <si>
    <t xml:space="preserve"> Device Identification</t>
  </si>
  <si>
    <t>Organization shall ensure that session secrets are not retained across restart of the associated application or a reboot of the host device.</t>
  </si>
  <si>
    <t>MLSR302_294</t>
  </si>
  <si>
    <t>Organization shall ensure that periodic reauthentication of sessions are performed to confirm continued presence of subscriber at an authenticated session.</t>
  </si>
  <si>
    <t>MLSR302_296</t>
  </si>
  <si>
    <t>Organization shall ensure that when a session has been terminated due to a time-out or other action, the user is required to establish a new session by authenticating again</t>
  </si>
  <si>
    <t>MLSR302_300</t>
  </si>
  <si>
    <t>7.2.1</t>
  </si>
  <si>
    <t>Reauthentication from a Federation or Assertion</t>
  </si>
  <si>
    <t>Organization shall ensure that the maximum acceptable authentication age is specified and reauthenticate the subscriber if it is not authenticated within the specified time period.</t>
  </si>
  <si>
    <t>MLSR302_371</t>
  </si>
  <si>
    <t>10.2.1</t>
  </si>
  <si>
    <t>Memorized Secrets</t>
  </si>
  <si>
    <t>System shall prohibit memorized secrets to be changed arbitrarily unless there is a user request or evidence of authenticator compromise.</t>
  </si>
  <si>
    <t>MLSR302_372</t>
  </si>
  <si>
    <t>System shall provide clear, meaningful and actionable feedback when chosen passwords are rejected.</t>
  </si>
  <si>
    <t>MLSR302_381</t>
  </si>
  <si>
    <t xml:space="preserve">10.2.3  </t>
  </si>
  <si>
    <t>Out-of-Band</t>
  </si>
  <si>
    <t>System shall notify users of the receipt of a secret on a locked device and if the out of band device is locked, authentication to the device should be required to access secret</t>
  </si>
  <si>
    <t>MLSR302_383</t>
  </si>
  <si>
    <t>System shall provide features that do not require text entry on mobile devices such as a single tap on screen, or a copy feature to copy and paste out- of-band secrets, when using out-of-band authentication</t>
  </si>
  <si>
    <t>MLSR302_417</t>
  </si>
  <si>
    <t>Biometrics Usability Considerations</t>
  </si>
  <si>
    <t>System shall provide clear, meaningful feedback on the number of remaining allowed attempts and inform users of the time period they have to wait until next attempt.</t>
  </si>
  <si>
    <t>MLSR302_433</t>
  </si>
  <si>
    <t xml:space="preserve">A.2 </t>
  </si>
  <si>
    <t>Length</t>
  </si>
  <si>
    <t>Organization shall ensure that passwords are complex enough that rate limiting does not occur after a modest number of erroneous attempts, but does occur before there is a significant chance of a successful guess.</t>
  </si>
  <si>
    <t>MLSR302_436</t>
  </si>
  <si>
    <t xml:space="preserve"> Complexity</t>
  </si>
  <si>
    <t>Organization shall ensure to use composition rules to increase the difficulty of guessing user-chosen passwords</t>
  </si>
  <si>
    <t>MLSR302_437</t>
  </si>
  <si>
    <t>Organization shall enforce complex passwords for users and prohibit using spaces as it may introduce usability issues</t>
  </si>
  <si>
    <t>MLSR302_439</t>
  </si>
  <si>
    <t>Organization shall prohibit highly complex memorized secrets that are less likely to be memorable</t>
  </si>
  <si>
    <t>MLSR302_104</t>
  </si>
  <si>
    <t>Authentication using the Public Switched Telephone Network</t>
  </si>
  <si>
    <t>Verifier shall verify that the pre-registered telephone number being used is associated with a specific physical device if out-of-band verification is to be made using the PSTN.</t>
  </si>
  <si>
    <t>MLSR307_31</t>
  </si>
  <si>
    <t>Requirement 1: Install and maintain a firewall configuration to protect cardholder data</t>
  </si>
  <si>
    <t>Organization shall build firewall and router configurations that restrict connections between untrusted networks and any system components in the cardholder data environment.</t>
  </si>
  <si>
    <t>MLSR307_31_ref</t>
  </si>
  <si>
    <t>MLSR307_32</t>
  </si>
  <si>
    <t>1.2.1</t>
  </si>
  <si>
    <t>Organization shall restrict inbound and outbound traffic to that which is necessary for the cardholder data environment, and specifically deny all other traffic.</t>
  </si>
  <si>
    <t>MLSR307_33</t>
  </si>
  <si>
    <t>1.2.2</t>
  </si>
  <si>
    <t>Organization shall secure and synchronize router configuration files such as the running configuration match with the start-up configuration (used when machines are booted).</t>
  </si>
  <si>
    <t>MLSR307_34</t>
  </si>
  <si>
    <t>1.2.3</t>
  </si>
  <si>
    <t>Organization shall install perimeter firewalls between all wireless networks and the cardholder data environment, and configure these firewalls to deny or, if traffic is necessary for business purposes, permit only authorized traffic between the wireless environment and the cardholder data environment.</t>
  </si>
  <si>
    <t>MLSR307_35</t>
  </si>
  <si>
    <t>Organization shall prohibit direct public access between the Internet and any system component in the cardholder data environment.</t>
  </si>
  <si>
    <t>MLSR307_36</t>
  </si>
  <si>
    <t>1.3.1</t>
  </si>
  <si>
    <t>Organization shall implement DMZ to limit inbound traffic to only system components that provide authorized publicly accessible services, protocols, and ports.</t>
  </si>
  <si>
    <t>MLSR307_37</t>
  </si>
  <si>
    <t>1.3.2</t>
  </si>
  <si>
    <t>1.3.2 - PCI DSS Requirements
Testing Procedures
Guidance</t>
  </si>
  <si>
    <t>Organization shall ensure that inbound Internet traffic is limited to IP addresses within DMZ</t>
  </si>
  <si>
    <t>MLSR307_38</t>
  </si>
  <si>
    <t>1.3.3</t>
  </si>
  <si>
    <t>Organization shall implement anti-spoofing measures to detect and block forged source IP addresses from entering the network such as blocking traffic originating from Internet with an internal source address.</t>
  </si>
  <si>
    <t>MLSR307_39</t>
  </si>
  <si>
    <t>1.3.4</t>
  </si>
  <si>
    <t>Organization shall prohibit unauthorized outbound traffic from the cardholder data environment to the Internet such as by restricting source/destination addresses/ports, and/or blocking of content.</t>
  </si>
  <si>
    <t>MLSR307_40</t>
  </si>
  <si>
    <t>1.3.5</t>
  </si>
  <si>
    <t>Organization shall permit only “established” connections into the network.</t>
  </si>
  <si>
    <t>MLSR307_41</t>
  </si>
  <si>
    <t>1.3.6</t>
  </si>
  <si>
    <t>Organization shall place system components that store cardholder data (such as a database) on internal network zone, segregated from DMZ and other untrusted networks.</t>
  </si>
  <si>
    <t>MLSR307_42</t>
  </si>
  <si>
    <t>1.3.7</t>
  </si>
  <si>
    <t>Organization shall restrict disclosure of private IP addresses and routing information from internal networks to the Internet using methods to obscure IP addressing such as Network Address Translation (NAT)</t>
  </si>
  <si>
    <t>MLSR307_43</t>
  </si>
  <si>
    <t>Organization shall install personal firewall software or equivalent functionality on any portable computing devices that connect to Internet when outside the network (for example, laptops used by employees), and which are also used to access the cardholder data environment.</t>
  </si>
  <si>
    <t>MLSR307_46</t>
  </si>
  <si>
    <t>Requirement 2: Do not use vendor-supplied defaults for system passwords and other security parameters</t>
  </si>
  <si>
    <t>Organization shall ensure to change vendor-supplied defaults and remove or disable unnecessary default accounts before installing a system on the network.</t>
  </si>
  <si>
    <t>MLSR307_47</t>
  </si>
  <si>
    <t>Organization shall change all wireless vendor defaults at installation such as default wireless encryption keys, passwords for wireless environments connected to cardholder data environment or transmitting cardholder data.</t>
  </si>
  <si>
    <t>MLSR307_47_ref</t>
  </si>
  <si>
    <t>MLSR307_49</t>
  </si>
  <si>
    <t>Organization shall ensure to implement only one primary function per server to prevent functions that require different security levels from co-existing on the same server such that web servers, database servers, and DNS operation on separate servers</t>
  </si>
  <si>
    <t>MLSR307_50</t>
  </si>
  <si>
    <t>2.2.2</t>
  </si>
  <si>
    <t>Organization shall enable only necessary services, protocols, daemons as required for function of system.</t>
  </si>
  <si>
    <t>MLSR307_53</t>
  </si>
  <si>
    <t>2.2.5</t>
  </si>
  <si>
    <t>Organization shall remove all unnecessary functionality, such as scripts, drivers, features, subsystems, file systems, and unnecessary web servers.</t>
  </si>
  <si>
    <t>MLSR307_54</t>
  </si>
  <si>
    <t>Organization shall encrypt all non-console administrative access using strong cryptography by implementing secure authentication and encrypted communications to prevent revealing sensitive administrative information to an eavesdropper.</t>
  </si>
  <si>
    <t>MLSR307_71</t>
  </si>
  <si>
    <t>Requirement 3: Protect stored cardholder data</t>
  </si>
  <si>
    <t>Organization shall limit cardholder data storage amount and retention time as required for legal, regulatory, and/or business requirements and implement secure deletion of data when no longer needed.</t>
  </si>
  <si>
    <t>MLSR307_71_ref</t>
  </si>
  <si>
    <t>MLSR307_72</t>
  </si>
  <si>
    <t>Organization shall prohibit to store sensitive authentication data after authorization, even if encrypted.</t>
  </si>
  <si>
    <t>MLSR307_85</t>
  </si>
  <si>
    <t>3.2.2</t>
  </si>
  <si>
    <t>Organization shall prohibit to store the card verification code or value after authorization.</t>
  </si>
  <si>
    <t>MLSR307_86</t>
  </si>
  <si>
    <t>3.2.3</t>
  </si>
  <si>
    <t>Organization shall prohibit to store the personal identification number (PIN) or the encrypted PIN block after authorization.</t>
  </si>
  <si>
    <t>MLSR307_105</t>
  </si>
  <si>
    <t>Organization shall manage logical access separately and independently of native OS authentication and access control mechanisms, if disk encryption is used, by prohibiting to use same user account authenticator as OS.</t>
  </si>
  <si>
    <t>MLSR307_105_ref</t>
  </si>
  <si>
    <t>MLSR307_108</t>
  </si>
  <si>
    <t>Organization shall implement mechanism to protect keys used to secure stored cardholder data against disclosure and misuse</t>
  </si>
  <si>
    <t>MLSR307_108_ref</t>
  </si>
  <si>
    <t>MLSR307_110</t>
  </si>
  <si>
    <t>System shall restrict access to cryptographic keys to fewest number of custodians necessary.</t>
  </si>
  <si>
    <t>MLSR307_111</t>
  </si>
  <si>
    <t>Organization shall ensure secret and private keys is encrypted with a key-encrypting key that is at least as strong as the data-encrypting key, and that is stored separately from the data-encrypting key</t>
  </si>
  <si>
    <t>MLSR307_111_1</t>
  </si>
  <si>
    <t>Organization shall store secret and private keys within a secure cryptographic device such as HSM or PTS-approved point-of-interaction device</t>
  </si>
  <si>
    <t>MLSR307_117</t>
  </si>
  <si>
    <t>3.6.1</t>
  </si>
  <si>
    <t>Organization shall ensure to generate strong cryptographic keys to increase the level of security of encrypted cardholder data</t>
  </si>
  <si>
    <t>MLSR307_118</t>
  </si>
  <si>
    <t>Organization shall secure cryptographic key distribution by distributing only to custodians who have access.</t>
  </si>
  <si>
    <t>MLSR307_119</t>
  </si>
  <si>
    <t>3.6.3</t>
  </si>
  <si>
    <t>Organization shall secure cryptographic key storage.</t>
  </si>
  <si>
    <t>MLSR307_120</t>
  </si>
  <si>
    <t>3.6.4</t>
  </si>
  <si>
    <t>Organization shall ensure to change cryptographic keys that have reached the end of their cryptoperiod</t>
  </si>
  <si>
    <t>MLSR307_121</t>
  </si>
  <si>
    <t>3.6.5</t>
  </si>
  <si>
    <t>Organization shall ensure to replace/ archive/ destroy keys, when the integrity of the key has been weakened or keys are suspected of being compromised</t>
  </si>
  <si>
    <t>MLSR307_123</t>
  </si>
  <si>
    <t xml:space="preserve">3.6.6 </t>
  </si>
  <si>
    <t>Organization shall implement split knowledge and dual control when manual clear-text cryptographic key-management operations are used.</t>
  </si>
  <si>
    <t>MLSR307_125</t>
  </si>
  <si>
    <t>3.6.7</t>
  </si>
  <si>
    <t>Organization shall prevent unauthorized substitution of cryptographic keys by preventing substitution from unauthorized sources.</t>
  </si>
  <si>
    <t>MLSR307_129</t>
  </si>
  <si>
    <t>Requirement 4: Encrypt transmission of cardholder data across open, public networks</t>
  </si>
  <si>
    <t>System shall use strong cryptography and secure versions of protocols to safeguard sensitive cardholder data during transmission over open, public networks</t>
  </si>
  <si>
    <t>MLSR307_132</t>
  </si>
  <si>
    <t>Organization shall use industry best practices to implement strong encryption for authentication and transmission of cardholder data in wireless networks.</t>
  </si>
  <si>
    <t>MLSR307_137</t>
  </si>
  <si>
    <t>Requirement 5: Protect all systems against malware and regularly update anti-virus software or programs</t>
  </si>
  <si>
    <t>Organization shall deploy anti-virus software on all systems commonly affected by malicious software (particularly personal computers and servers).</t>
  </si>
  <si>
    <t>MLSR307_138</t>
  </si>
  <si>
    <t>Organization shall ensure that anti-virus programs are capable of detecting, removing, and protecting against all known types of malicious software</t>
  </si>
  <si>
    <t>MLSR307_140</t>
  </si>
  <si>
    <t>Organization shall ensure that all anti-virus mechanisms are kept current, periodic scans are performed and audit logs are generated</t>
  </si>
  <si>
    <t>MLSR307_141</t>
  </si>
  <si>
    <t>Organization shall ensure that anti-virus mechanisms are actively running and cannot be disabled or altered by users, unless specifically authorized by management on a case-by-case basis for a limited time period.</t>
  </si>
  <si>
    <t>MLSR307_150</t>
  </si>
  <si>
    <t>Requirement 6: Develop and maintain secure systems and applications</t>
  </si>
  <si>
    <t>Organization shall ensure that all system components and software are protected from known vulnerabilities by installing applicable vendor-supplied security patches</t>
  </si>
  <si>
    <t>Organization shall remove development, test and/or custom application accounts, user IDs, and passwords before applications become active or are released to customers.</t>
  </si>
  <si>
    <t>MLSR307_153_ref</t>
  </si>
  <si>
    <t>MLSR307_158</t>
  </si>
  <si>
    <t>Organization shall separate development/test environments from production environments, and enforce separation with access controls</t>
  </si>
  <si>
    <t>MLSR307_159</t>
  </si>
  <si>
    <t>Organization shall implement separation of duties between development/test and production environments</t>
  </si>
  <si>
    <t>MLSR307_160</t>
  </si>
  <si>
    <t>Organization shall prohibit to use production data for testing or development</t>
  </si>
  <si>
    <t>MLSR307_161</t>
  </si>
  <si>
    <t>Organization shall ensure to remove test data and accounts from system components before system becomes active / goes into production.</t>
  </si>
  <si>
    <t>MLSR307_171</t>
  </si>
  <si>
    <t>6.5.1</t>
  </si>
  <si>
    <t>Organization shall prevent injection flaws by validating all input data before being sent to the application such as by checking for all alpha characters, mix of alpha and numeric characters.</t>
  </si>
  <si>
    <t>MLSR307_172</t>
  </si>
  <si>
    <t>6.5.2</t>
  </si>
  <si>
    <t>Organization shall prevent buffer overflows by implementing appropriate bounds checking on its buffer space.</t>
  </si>
  <si>
    <t>MLSR307_173</t>
  </si>
  <si>
    <t>6.5.3</t>
  </si>
  <si>
    <t>Organization shall address insecure cryptographic storage using coding techniques that prevent cryptographic flaws and use strong cryptographic algorithms and keys.</t>
  </si>
  <si>
    <t>MLSR307_174</t>
  </si>
  <si>
    <t>6.5.4</t>
  </si>
  <si>
    <t>Organization shall address insecure communications by using coding techniques that properly authenticate and encrypt all sensitive communications</t>
  </si>
  <si>
    <t>MLSR307_175</t>
  </si>
  <si>
    <t>6.5.5</t>
  </si>
  <si>
    <t>Organization shall ensure improper error handling is addressed by returning generic rather than specific error details</t>
  </si>
  <si>
    <t>MLSR307_177</t>
  </si>
  <si>
    <t>6.5.7</t>
  </si>
  <si>
    <t>Organization shall ensure that cross-site scripting (XSS) is addressed by using coding techniques that include validating all parameters before inclusion and utilizing context-sensitive escaping.</t>
  </si>
  <si>
    <t>MLSR307_178</t>
  </si>
  <si>
    <t>6.5.8</t>
  </si>
  <si>
    <t>Organization shall prohibit improper access control such as insecure direct object references, failure to restrict URL access, directory traversal, and failure to restrict user access to functions and ensure only authorized users shall be permitted to access direct object references to sensitive resources.</t>
  </si>
  <si>
    <t>MLSR307_181</t>
  </si>
  <si>
    <t>6.5.9</t>
  </si>
  <si>
    <t>Organization shall address cross-site request forgery (CSRF) by using coding techniques that ensure applications do not rely on authorization credentials and tokens automatically submitted by browsers.</t>
  </si>
  <si>
    <t>MLSR307_182</t>
  </si>
  <si>
    <t>6.5.10</t>
  </si>
  <si>
    <t>Organization shall address broken authentication and session management via coding techniques that include flagging session tokens as “secure”, not exposing session IDs in the URL, incorporating appropriate time-outs and rotation of session IDs after a successful login.</t>
  </si>
  <si>
    <t>Organization shall ensure to install automated mechanism such as web-application firewall to detect and prevent web-based attacks, in front of public-facing web applications, to continually check all traffic.</t>
  </si>
  <si>
    <t>MLSR307_183_ref</t>
  </si>
  <si>
    <t>MLSR307_188</t>
  </si>
  <si>
    <t>Requirement 7: Restrict access to cardholder data by business need to know</t>
  </si>
  <si>
    <t>Organization shall limit access to system components and cardholder data to only those individuals whose job requires such access.</t>
  </si>
  <si>
    <t>MLSR307_189</t>
  </si>
  <si>
    <t>Organization shall define access needs for each role, including, system components and data resources that each role needs to access for their job function and level of privilege required for accessing resources.</t>
  </si>
  <si>
    <t>MLSR307_190</t>
  </si>
  <si>
    <t>7.1.2</t>
  </si>
  <si>
    <t>Organization shall restrict access to privileged user IDs to least privileges necessary to perform job responsibilities</t>
  </si>
  <si>
    <t>MLSR307_192</t>
  </si>
  <si>
    <t>7.1.3</t>
  </si>
  <si>
    <t>Organization shall assign privileges based on individual’s job classification and function</t>
  </si>
  <si>
    <t>MLSR307_194</t>
  </si>
  <si>
    <t xml:space="preserve">Organization shall establish an access control system(s) for systems components that restricts access based on a user’s need to know, and is set to “deny all” unless specifically allowed  </t>
  </si>
  <si>
    <t>MLSR307_202</t>
  </si>
  <si>
    <t>8.1.1</t>
  </si>
  <si>
    <t>Requirement 8: Identify and authenticate access to system components</t>
  </si>
  <si>
    <t>Organization shall assign all users a unique ID before allowing them to access system components or cardholder data .</t>
  </si>
  <si>
    <t>MLSR307_203</t>
  </si>
  <si>
    <t>8.1.2</t>
  </si>
  <si>
    <t>System shall control addition, deletion, and modification of user IDs, credentials, and other identifier objects</t>
  </si>
  <si>
    <t>MLSR307_204</t>
  </si>
  <si>
    <t>8.1.3</t>
  </si>
  <si>
    <t>System shall immediately revoke access for any terminated users.</t>
  </si>
  <si>
    <t>MLSR307_206</t>
  </si>
  <si>
    <t>8.1.4</t>
  </si>
  <si>
    <t>System shall remove/disable inactive user accounts within 90 days.</t>
  </si>
  <si>
    <t>MLSR307_207</t>
  </si>
  <si>
    <t>8.1.5</t>
  </si>
  <si>
    <t>Organization shall manage IDs used by third parties to access, support or maintain system components via remote access by enabling only during the time period needed and disabling when not in use and implement monitoring when in use.</t>
  </si>
  <si>
    <t>MLSR307_209</t>
  </si>
  <si>
    <t>8.1.6</t>
  </si>
  <si>
    <t>System shall limit repeated access attempts by locking out the user ID after not more than six invalid logon attempts.</t>
  </si>
  <si>
    <t>MLSR307_210</t>
  </si>
  <si>
    <t>8.1.7</t>
  </si>
  <si>
    <t>System shall set the lockout duration to a minimum of 30 minutes or until an administrator enables the user ID once a user account is locked out</t>
  </si>
  <si>
    <t>MLSR307_211</t>
  </si>
  <si>
    <t>8.1.8</t>
  </si>
  <si>
    <t>System shall enforce the user to re-authenticate to re-activate the terminal or session if a session has been idle for more than 15 minutes.</t>
  </si>
  <si>
    <t>MLSR307_212</t>
  </si>
  <si>
    <t>Organization shall ensure proper user-authentication management for non-consumer users and administrators on all system components by employing password or passphrase, token device or smart card and biometric in addition to unique ID.</t>
  </si>
  <si>
    <t>MLSR307_213</t>
  </si>
  <si>
    <t>8.2.1</t>
  </si>
  <si>
    <t>Organization shall ensure using strong cryptography, render all authentication credentials (such as passwords/phrases) unreadable during transmission and storage on all system components.</t>
  </si>
  <si>
    <t>MLSR307_214</t>
  </si>
  <si>
    <t>8.2.2</t>
  </si>
  <si>
    <t>System shall verify user identity before modifying any authentication credential such as password resets, provisioning new tokens, or generating new keys</t>
  </si>
  <si>
    <t>MLSR307_215</t>
  </si>
  <si>
    <t>8.2.3</t>
  </si>
  <si>
    <t>System shall ensure that passwords/ passphrases require a minimum length of at least seven characters and contain both numeric and alphabetic characters.</t>
  </si>
  <si>
    <t>MLSR307_217</t>
  </si>
  <si>
    <t>8.2.4</t>
  </si>
  <si>
    <t>System shall ensure to change user passwords/passphrases at least once every 90 days</t>
  </si>
  <si>
    <t>MLSR307_219</t>
  </si>
  <si>
    <t>8.2.5</t>
  </si>
  <si>
    <t>System shall prohibit individual to submit a new password/passphrase that is the same as any of the last four passwords/ passphrases used earlier</t>
  </si>
  <si>
    <t>MLSR307_221</t>
  </si>
  <si>
    <t>8.2.6</t>
  </si>
  <si>
    <t>System shall ensure to set passwords/ passphrases for first-time use and upon reset to a unique value for each user and then change immediately after the first use</t>
  </si>
  <si>
    <t>MLSR307_222</t>
  </si>
  <si>
    <t>Organization shall secure all individual non-console administrative access and all remote access to the cardholder data environment using multi-factor authentication</t>
  </si>
  <si>
    <t>MLSR307_223</t>
  </si>
  <si>
    <t>Organization shall incorporate multi-factor authentication for all non-console access into the cardholder data environment for personnel with administrative access</t>
  </si>
  <si>
    <t>MLSR307_224</t>
  </si>
  <si>
    <t>Organization shall incorporate multi-factor authentication for all remote network access originating from outside entity’s network</t>
  </si>
  <si>
    <t>MLSR307_228</t>
  </si>
  <si>
    <t>System shall prohibit creation and use of group, shared / generic IDs or passwords</t>
  </si>
  <si>
    <t>MLSR307_230</t>
  </si>
  <si>
    <t>Organization shall prohibit to use shared authentication mechanism by employing physical / logical controls to uniquely identify the user of the account such as PIN, biometric data or password</t>
  </si>
  <si>
    <t>MLSR307_233</t>
  </si>
  <si>
    <t>Organization shall restrict all access to database containing cardholder data by allowing only programmatic access to queries, user actions; permitting only database admin to directly access or query databases; allowing use of application IDs for database by relevant applications only and not by individual users or other non-application processes.</t>
  </si>
  <si>
    <t>MLSR307_277</t>
  </si>
  <si>
    <t>Regularly Monitor and Test Networks</t>
  </si>
  <si>
    <t>Organization shall implement audit trails to link all access to system components to each individual user and to trace back suspicious activity to a specific user.</t>
  </si>
  <si>
    <t>MLSR307_278</t>
  </si>
  <si>
    <t>Organization shall implement automated audit trails for all system components to provide a history trail for post-incident follow-up</t>
  </si>
  <si>
    <t>MLSR307_279</t>
  </si>
  <si>
    <t>System shall generate audit record of all individual accesses to cardholder data to identify which accounts may have been compromised or misused.</t>
  </si>
  <si>
    <t>MLSR307_280</t>
  </si>
  <si>
    <t>10.2.2</t>
  </si>
  <si>
    <t>System shall log all actions taken by any individual with root or administrative privileges to trace misuse of privilege back to specific action and individual.</t>
  </si>
  <si>
    <t>MLSR307_281</t>
  </si>
  <si>
    <t>10.2.3</t>
  </si>
  <si>
    <t>System shall log access to all audit trails to identify changes, additions, and deletions that help to retrace steps made by unauthorized personnel.</t>
  </si>
  <si>
    <t>MLSR307_282</t>
  </si>
  <si>
    <t>10.2.4</t>
  </si>
  <si>
    <t>System shall log all invalid logical access attempts to identify an unauthorized user’s attempts to “brute force” or guess a password.</t>
  </si>
  <si>
    <t>MLSR307_283</t>
  </si>
  <si>
    <t>10.2.5</t>
  </si>
  <si>
    <t>System shall log use of identification and authentication mechanisms including creation, updation and deletion in user accounts.</t>
  </si>
  <si>
    <t>MLSR307_284</t>
  </si>
  <si>
    <t>10.2.6</t>
  </si>
  <si>
    <t>System shall log initialization of audit logs and stopping or pausing of audit logs</t>
  </si>
  <si>
    <t>MLSR307_285</t>
  </si>
  <si>
    <t>10.2.7</t>
  </si>
  <si>
    <t>System shall log creation and deletion of system level objects such as database tables or stored procedures, to identify unauthorized modifications.</t>
  </si>
  <si>
    <t>MLSR307_287</t>
  </si>
  <si>
    <t>10.3.1</t>
  </si>
  <si>
    <t>System shall include user identification, type of event, date and time, success or failure indication, origination of event and identity or name of affected data, system component, or resource in audit trail.</t>
  </si>
  <si>
    <t>MLSR307_293</t>
  </si>
  <si>
    <t>Organization shall use time-synchronization technology such as Network Time Protocol (NTP) to synchronize all critical system clocks and times for acquiring, distributing, and storing time.</t>
  </si>
  <si>
    <t>MLSR307_294</t>
  </si>
  <si>
    <t>10.4.1</t>
  </si>
  <si>
    <t>Organization shall ensure that critical systems have the correct and consistent time such that only designated central time server(s) receives time signals from external sources, and time signals from external sources are based on International Atomic Time or UTC.</t>
  </si>
  <si>
    <t>MLSR307_296</t>
  </si>
  <si>
    <t>10.4.2</t>
  </si>
  <si>
    <t>System shall restrict access to only authorized personnel to modify time synchronization settings used for generating audit logs.</t>
  </si>
  <si>
    <t>MLSR307_298</t>
  </si>
  <si>
    <t>10.4.3</t>
  </si>
  <si>
    <t>Organization shall ensure that time settings are received from industry-accepted time sources and time server(s) accept time updates from specific, industry-accepted external sources to prevent a malicious individual from changing clock.</t>
  </si>
  <si>
    <t>MLSR307_299</t>
  </si>
  <si>
    <t>Organization shall secure audit trails to prevent alteration by malicious individuals and to ensure completeness, accuracy, and integrity of audit logs.</t>
  </si>
  <si>
    <t>MLSR307_300</t>
  </si>
  <si>
    <t>10.5.1</t>
  </si>
  <si>
    <t>Organization shall limit viewing of audit trails to only authorized individuals with a job-related need.</t>
  </si>
  <si>
    <t>MLSR307_302</t>
  </si>
  <si>
    <t>10.5.3</t>
  </si>
  <si>
    <t>Organization shall periodically back up audit trail files to a centralized log server or media to keep the logs protected even if the system generating the logs becomes compromised.</t>
  </si>
  <si>
    <t>MLSR307_303</t>
  </si>
  <si>
    <t>10.5.4</t>
  </si>
  <si>
    <t>System shall write logs for external-facing technologies (such as wireless, firewalls, DNS, mail) onto a secure, centralized, internal log server or media device.</t>
  </si>
  <si>
    <t>10.5.5</t>
  </si>
  <si>
    <t>Organization shall use file-integrity monitoring or change-detection systems to check for changes to log files, and notify when such changes are noted.</t>
  </si>
  <si>
    <t>MLSR307_304_ref</t>
  </si>
  <si>
    <t>MLSR307_306</t>
  </si>
  <si>
    <t>10.6.1</t>
  </si>
  <si>
    <t>Organization shall review frequently all security events, logs of all system components that store, process or transmit sensitive data, logs of all critical system components and logs of all servers and components that perform security functions.</t>
  </si>
  <si>
    <t>MLSR307_310</t>
  </si>
  <si>
    <t>Organization shall retain audit trail history for at least one year, with a minimum of three months immediately available for analysis</t>
  </si>
  <si>
    <t>MLSR307_477</t>
  </si>
  <si>
    <t>A3.4.1</t>
  </si>
  <si>
    <t>Appendix A3: Designated Entities Supplemental Validation (DESV)</t>
  </si>
  <si>
    <t>Organization shall review user accounts and access privileges to in-scope system components at least every six months to ensure user accounts and access remain appropriate based on job function and authorized</t>
  </si>
  <si>
    <t>MLSR307_478</t>
  </si>
  <si>
    <t>A3.5.1</t>
  </si>
  <si>
    <t>A3.5 Identify and respond to suspicious events.</t>
  </si>
  <si>
    <t>Organization shall implement a methodology for timely identification of attack patterns and undesirable behavior across systems using centrally managed or automated log-correlation tools</t>
  </si>
  <si>
    <r>
      <rPr>
        <b/>
        <sz val="9"/>
        <color theme="1"/>
        <rFont val="Times New Roman"/>
        <family val="1"/>
      </rPr>
      <t>Note:</t>
    </r>
    <r>
      <rPr>
        <sz val="9"/>
        <color theme="1"/>
        <rFont val="Times New Roman"/>
        <family val="1"/>
      </rPr>
      <t xml:space="preserve"> Format for "MLSR Requirement No" shall be (MLSRXXX_XXX) E.g. MLSR001_001</t>
    </r>
  </si>
  <si>
    <r>
      <rPr>
        <b/>
        <sz val="9"/>
        <color theme="1"/>
        <rFont val="Times New Roman"/>
        <family val="1"/>
      </rPr>
      <t>Note:</t>
    </r>
    <r>
      <rPr>
        <sz val="9"/>
        <color theme="1"/>
        <rFont val="Times New Roman"/>
        <family val="1"/>
      </rPr>
      <t xml:space="preserve"> 
1. Format for "Change in Requirement" shall be (MLSRXXX_XXX: &lt;&lt;Change in Requirement content&gt;&gt;)
2. Each "Change in Requirement" to be placed in new line using Alt+Enter in the same cell</t>
    </r>
    <r>
      <rPr>
        <sz val="11"/>
        <color theme="1"/>
        <rFont val="Times New Roman"/>
        <family val="1"/>
      </rPr>
      <t xml:space="preserve">
</t>
    </r>
  </si>
  <si>
    <r>
      <t xml:space="preserve">NIST - Cybersecurity framework function mapping
</t>
    </r>
    <r>
      <rPr>
        <b/>
        <sz val="9"/>
        <color theme="1"/>
        <rFont val="Calibri"/>
        <family val="2"/>
        <scheme val="minor"/>
      </rPr>
      <t>Note: NIST Function, Category, Sub Category will be auto populated from "Product-Requirement"</t>
    </r>
  </si>
  <si>
    <t>Applicable To Country</t>
  </si>
  <si>
    <t>Change in Requirements</t>
  </si>
  <si>
    <t>Duplicates</t>
  </si>
  <si>
    <t>Remarks/ 
Implementation Note</t>
  </si>
  <si>
    <t>Sub Category</t>
  </si>
  <si>
    <t>Requirement Applicability</t>
  </si>
  <si>
    <t>Responsibility</t>
  </si>
  <si>
    <t>HIPPA</t>
  </si>
  <si>
    <t>Develop feature in system to create, update and review user/ system accounts</t>
  </si>
  <si>
    <t xml:space="preserve">MLSR049_161: assign account managers to create/modify/disable accounts
MLSR049_183: create system accounts dynamically and validate privileges
MLSR049_188: monitor and report usage of system accounts to defined personnel
MLSR049_323: notify user for accounts changes
MLSR079_295: maintain record of all access accounts including details of individuals and devices
MLSR079_1009: ensure all established access accounts are reviewed periodically
MLSR079_1010: maintain records of all access accounts and permissions
MLSR079_1021: review established access accounts on regular basis
MLSR079_1022: reconfirm with appropriate manager if accounts are unused for extended period of time
MLSR079_1028: allow users to have more than one account based on particular job-role at particular time
MLSR076_79: review user account to identify valid accounts
MLSR076_80: implement mechanism for creating, changing, safeguarding, and terminating accounts 
MLSR050_112: identify system users, processes acting on behalf of users and devices
MLSR092_114: use valid/active accounts with required privileges for system operation and user management
MLSR079_1053: enforce to have individual user IDs and passwords for each operator for team environments
MLSR079_1005: ensure every user is identifiable with separate access accounts
MLSR016_110: maintain list of valid user accounts by adding, removing, suspending user accounts
MLSR043_149: provide capability for managing cross-machine accounts to protect health data access
MLSR043_159: provide option to associate personal preferences with user accounts
MLSR302_223: ensure record created by CSP contains date and time when authenticator was bound to account and binding of device associated with enrollment
MLSR302_239: permit binding of additional authenticators and limit number of authenticators bound to subscriber's account
MLSR307_203: control addition, deletion, and modification of user IDs, credentials, and other identifier objects
MLSR307_207: enable IDs used by third parties only during the time period needed and disable when not needed
MLSR307_228: prohibit creation and use of group, shared / generic IDs or  passwords
MLSR307_230:  prohibit to use shared authentication mechanism by employing physical / logical controls to uniquely identify user of account such as PIN, biometric data or password
MLSR037_329: create emergency user accounts with privileges to access PHI in an emergency
</t>
  </si>
  <si>
    <t>MLSR076_81: implement mechanism for creating, changing, safeguarding, and terminating accounts
MLSR037_607: ensure that each user can be uniquely identified within system
MLSR074_329: enforce use of individual user IDs and passwords to maintain accountability</t>
  </si>
  <si>
    <t>Use Identity and Access management tools to manage accounts.
Example:
1. Okta [Cloud, On-Premises]
2. Azure Active Directory[Cloud]
3. Centrify[Mobile, Cloud]</t>
  </si>
  <si>
    <t>Must</t>
  </si>
  <si>
    <t>UL 2900-1-1 8.5</t>
  </si>
  <si>
    <t>IEC 62443-2-1 4.3.3.5.4_x000D_
IEC 62443-2-1 A.3.3.5.3.10_x000D_
IEC 62443-2-1 A.3.3.5.3.11_x000D_
IEC 62443-2-1 A.3.3.5.4.1_x000D_
IEC 62443-2-1 A.3.3.5.4.2_x000D_
IEC 62443-2-1 A.3.3.6.5.2_x000D_
IEC 62443-2-1 A.3.3.5.3.7_x000D_
IEC TIR80001-2-2 5.11_x000D_
IEC TIR80001-2-2 5.12_x000D_
ISO 27799 9.2.5_x000D_
ISO 27799 14.1.1.1_x000D_
ISO/IEC 27002 9.4.3</t>
  </si>
  <si>
    <t>NIST SP 800-53 R4 AC-2_x000D_
NIST SP 800-53 R4 AC-9_x000D_
NIST SP 800-171 R1 Sec Req_x000D_
NIST SP 800-63B 5.2.10_x000D_
NIST SP 800-63B 6.1.2.1</t>
  </si>
  <si>
    <t>PCI DSS 8.1.2_x000D_
PCI DSS 8.1.5_x000D_
PCI DSS 8.5_x000D_
PCI DSS 8.6</t>
  </si>
  <si>
    <t>AUTO11-A2 4.1.1_x000D_
ANSM’S GUIDELINE 1</t>
  </si>
  <si>
    <t>Develop feature in system to remove user accounts that are no longer needed</t>
  </si>
  <si>
    <t>MLSR049_174: disable inactive account after defined time period
MLSR049_190: disable account when found posing a risk to organization
MLSR079_296: remove access accounts when no longer needed
MLSR049_185: terminate shared account when member leaves group
MLSR079_1008: ensure user accounts inactivated, suspended/removed and revoked when no longer needed
MLSR076_78: terminate user account/temporary account once user leaves organization
MLSR049_170: employ automated mechanism to manage account during termination/transfer
MLSR049_993: disable identifier after a period of inactivity
MLSR307_206: remove/disable inactive user accounts within 90 days
MLSR307_46: remove or disable unnecessary default accounts before installing system on network
MLSR049_172: disable temporary/emergency account after defined time period</t>
  </si>
  <si>
    <t>MLSR050_118: disable identifiers after defined period of inactivity</t>
  </si>
  <si>
    <t>Use Identity and Access management tools to disable accounts.
Example:
1. Okta [Cloud, On-Premises]
2. Azure Active Directory[Cloud]
3. Centrify[Mobile, Cloud]</t>
  </si>
  <si>
    <t>IEC 62443-2-1 4.3.3.5.5_x000D_
IEC 62443-2-1 A.3.3.5.3.9</t>
  </si>
  <si>
    <t>NIST SP 800-53 R4 AC-2_x000D_
NIST SP 800-53 R4 IA-4_x000D_
NIST SP 800-171 R1 Sec Req</t>
  </si>
  <si>
    <t>PCI DSS 8.1.4_x000D_
PCI DSS 2.1</t>
  </si>
  <si>
    <t>AUTO11-A2 4.1.1</t>
  </si>
  <si>
    <t>Develop feature in system to maintain identity and credentials for users</t>
  </si>
  <si>
    <t>MLSR049_602: maintain reviewer/releaser identity and credentials within established chain of custody for all information reviewed or released
MLSR049_597: bind identity of information producer with information
MLSR049_600: validate binding of information producer identity to information periodically
MLSR049_604: validate binding of information reviewer identity
MLSR049_1068: receive, validate, and transmit identification information
MLSR049_1042: use FICAM approved path discovery and products and services
MLSR065_102: provision and de-provision credentials simultaneously throughout cloud system</t>
  </si>
  <si>
    <t>MLSR065_101: implement mechanism for de-provisioning credentials</t>
  </si>
  <si>
    <t xml:space="preserve">Use Identity and Access management tools to maintain identity.
Example:
1. Okta [Cloud, On-Premises]
2. Azure Active Directory[Cloud]
3. Centrify[Mobile, Cloud]
</t>
  </si>
  <si>
    <t>NIST SP 800-53 R4 AU-10_x000D_
NIST SP 800-53 R4 AU-9_x000D_
NIST SP 800-53 R4 IA-9_x000D_
NIST SP 800-53 R4 IA-5</t>
  </si>
  <si>
    <t>ENISA - Cloud 6.4.2</t>
  </si>
  <si>
    <t>Develop feature in system to monitor and lock/disable account after predefined unsuccessful login attempts</t>
  </si>
  <si>
    <t>MLSR049_308: lock account after configured number of continuous unsuccessful login attempts
MLSR049_307: limit number of consecutive unsuccessful login attempts
MLSR079_314: disable account for remote user after pre-defined number of failed login attempts
MLSR079_1055: enforce account lockout after predefined number of failed login attempt
MLSR076_96: disable user account after continuous unsuccessful login attempts
MLSR092_118: monitor number of failed attempts
MLSR016_100: disable credential or define timeout (30 mins) after sequential number of unsuccessful login attempts
MLSR016_101: increase delay for each unsuccessful attempt
MLSR310_29: limit or increasingly delay failed login attempts
MLSR311_120: define API threshold for a designated time interval from a given location for number of login attempts
MLSR302_64: implement rate-limiting mechanism that limits number of failed authentication attempts
MLSR302_155: limit consecutive failed authentication attempts on single account to no more than 100
MLSR302_158: ensure claimant waits after a failed attempt for a period of time that increases as account approaches its maximum allowance for consecutive failed attempts
MLSR302_161: remove previous failed attempts for user from same IP address when subscriber successfully authenticates
MLSR302_417: provide feedback on number of remaining allowed attempts and inform users of time period to wait until next attempt
MLSR307_209: lock user ID after six invalid repeated logon attempts
MLSR307_210: set lockout duration to minimum of 30 mins or until administrator enables user ID once user account is locked out</t>
  </si>
  <si>
    <t xml:space="preserve">MLSR050_61: limit unsuccessful login attempts
MLSR079_1062: disable account after predefined number of failed login attempts by remote user
MLSR016_106: provide option to limit number of unsuccessful attempts
</t>
  </si>
  <si>
    <t>Use Identity and Access management tools to lock accounts.
Example:
1. Okta [Cloud, On-Premises]
2. Azure Active Directory[Cloud]
3. Centrify[Mobile, Cloud]</t>
  </si>
  <si>
    <t>UL 2900-1-1 8.3</t>
  </si>
  <si>
    <t>IEC 62443-2-1 4.3.3.6.7_x000D_
IEC 62443-2-1 A.3.3.6.5.2_x000D_
IEC 62443-2-1 A.3.3.6.5.3</t>
  </si>
  <si>
    <t>NIST SP 800-53 R4 AC-7_x000D_
NIST SP 800-204 4.7_x000D_
NIST SP 800-63B 5.1.1.2_x000D_
NIST SP 800-63B 5.2.2_x000D_
NIST SP 800-63B 10.4_x000D_
NIST SP 800-171 R1 Sec Req</t>
  </si>
  <si>
    <t>PCI DSS 8.1.6_x000D_
PCI DSS 8.1.7</t>
  </si>
  <si>
    <t>OWASP Top 10 2017 A2:2017</t>
  </si>
  <si>
    <t>AUTO11-A2 4.1.3.2_x000D_
ANSM’S GUIDELINE 1</t>
  </si>
  <si>
    <t xml:space="preserve">Develop feature to lock/unlock mobile device by an administrator </t>
  </si>
  <si>
    <t>MLSR305_71: limit number of retries permitted without negative consequences such as locking account
MLSR305_73: ensure mobile device automatically locks itself after specified number of minutes of inactivity
MLSR305_74: allow administrator to remotely lock mobile device if left in unlocked state in unsecured location</t>
  </si>
  <si>
    <t>MLSR312_75: ensure administrator remotely locks mobile device if it is lost or left in unlocked state</t>
  </si>
  <si>
    <t xml:space="preserve">Use MDM to unlock mobile device
Example:
-&gt;Microsoft Enterprise Mobility
-&gt;ManageEngine Mobile Device Manager Plus
</t>
  </si>
  <si>
    <t>NIST SP 1800-4 4.3.1_x000D_
NIST SP 800-124 R2 4.2.1.2</t>
  </si>
  <si>
    <t>Develop feature in system to identify unique user, track and manage identifiers assigned to users</t>
  </si>
  <si>
    <t xml:space="preserve">MLSR049_991: select identifier and assign to intended individual, group, role or device
MLSR049_992: prevent reuse of identifier that are previously assigned
MLSR049_995: prohibit use of identifier that are same as public identifiers for individual mail accounts
MLSR049_997: include supervisor authorization for an identifier during registration process
MLSR049_1000: manage identifiers by identifying unique characteristics of each individual
MLSR049_1004: coordinate cross-organization management of identifiers
MLSR076_84:  implement unique user identification to track and identify user
MLSR050_117: prevent reuse of identifiers for defined period
MLSR307_202: assign all users a unique ID before allowing them to access system components or cardholder data </t>
  </si>
  <si>
    <t>Use Identity and Access management tools to manage identifiers.
Example:
1. Okta [Cloud, On-Premises]
2. Azure Active Directory[Cloud]
3. Centrify[Mobile, Cloud]</t>
  </si>
  <si>
    <t>NIST SP 800-53 R4 IA-3_x000D_
NIST SP 800-53 R4 IA-4_x000D_
NIST SP 800-171 R1 Sec Req</t>
  </si>
  <si>
    <t>PCI DSS 8.1.1</t>
  </si>
  <si>
    <t>AUTO11-A2 4.1.2</t>
  </si>
  <si>
    <t>Develop feature in system to authorize and grant physical access for users</t>
  </si>
  <si>
    <t>MLSR049_1196: designate authorized personnel to supervise maintenance activities of personnel who do not possess required access
MLSR049_1195 : authorize non-escorted personnel performing maintenance
MLSR049_1304: authorize physical access to system in addition to physical access controls for facility
MLSR049_1201: provide security clearances and formal access approvals for highest classification level of information on system
MLSR076_103: grant vendor personnel, physical access to IVD system
MLSR076_146: protect computer hardware from unwanted access to physical computer components
MLSR074_627: provide physical access to suppliers for support purposes with management approval</t>
  </si>
  <si>
    <t>MLSR049_1207: authorize non-escorted personnel performing maintenance
MLSR219_104: implement physical safeguards for workstations to restrict access to authorized users</t>
  </si>
  <si>
    <t>ISO/IEC 27002 12.5.1</t>
  </si>
  <si>
    <t>NIST SP 800-53 R4 MA-5_x000D_
NIST SP 800-53 R4 MA-4_x000D_
NIST SP 800-53 R4 MP-8_x000D_
NIST SP 800-66 4.12</t>
  </si>
  <si>
    <t>AUTO11-A2 4.1.6_x000D_
AUTO11-A2 4.3.8</t>
  </si>
  <si>
    <t>Implement mechanism to control remote access in containers</t>
  </si>
  <si>
    <t xml:space="preserve">MLSR301_135:  ensure remote management of containers are done through container runtime APIs or by creating remote shell sessions to host </t>
  </si>
  <si>
    <t>Use tools for remote management in containers
Example:
-&gt; Docker
-&gt; Google Kubernetes Engine
-&gt; AWS ECS/EKS</t>
  </si>
  <si>
    <t>NIST SP 800-190 4.1.2</t>
  </si>
  <si>
    <t>Employ mechanism to authorize and control remote access and remote sessions</t>
  </si>
  <si>
    <t>MLSR049_377: establish usage restrictions and configuration/ connection requirements for remote access
MLSR049_378: authorize remote access connections prior to connect
MLSR049_276: allow to access computing platforms residing on multiple different security domains
MLSR049_384: protect integrity/confidentiality of remote access sessions
MLSR049_391: protect information about remote access mechanisms from unauthorized use and disclosure
MLSR049_395: disconnect remote users after a period of inactivity
MLSR049_382: monitor, audit and control remote access sessions via automated mechanism to detect cyber attacks
MLSR049_1780: prevent split-tunneling in remote devices by preventing configuration settings to be configurable by users 
MLSR049_1780: prohibit connection to remote device if it is configured for split-tunneling
MLSR049_386: route/limit all remote access through defined number of managed network access control points
MLSR079_313: configure policy addressing remote login/connections to control system
MLSR050_65: monitor and control remote access session
MLSR050_196: prevent remote devices from establishing non-remote connections in external networks
MLSR050_68: authorize remote execution and remote access to security-relevant information
MLSR050_66: employ cryptographic mechanism to protect confidentiality of remote access sessions
MLSR049_1189: implement cryptography to protect integrity of nonlocal maintenance communication</t>
  </si>
  <si>
    <t>MLSR050_67: route remote access via managed access control points</t>
  </si>
  <si>
    <t xml:space="preserve">Use VPN to establish secure remote connections.
Example:
-&gt;Cisco AnyConnect
-&gt;Citrix Virtual Apps and Desktops
</t>
  </si>
  <si>
    <t>IEC 62443-2-1 4.3.3.6.6</t>
  </si>
  <si>
    <t>NIST SP 800-53 R4 AC-16_x000D_
NIST SP 800-53 R4 AC-17_x000D_
NIST SP 800-53 R4 AC-4_x000D_
NIST SP 800-53 R4 SC-7_x000D_
NIST SP 800-171 R1 Sec Req_x000D_
NIST SP 800-53 R4 MA-4</t>
  </si>
  <si>
    <t>Implement access control for protection of card holder data</t>
  </si>
  <si>
    <t xml:space="preserve">MLSR307_105: manage logical access independently of native OS authentication and access control mechanisms, if disk encryption is used
MLSR307_110: restrict access to cryptographic keys to fewest number of custodians necessary
MLSR307_178: prohibit improper access control such as insecure direct object references, failure to restrict URL access, failure to restrict user access to functions
</t>
  </si>
  <si>
    <t>PCI DSS 3.4.1_x000D_
PCI DSS 3.5.2_x000D_
PCI DSS 6.5.8</t>
  </si>
  <si>
    <t>Develop feature in system to maintain and review access rights periodically for user</t>
  </si>
  <si>
    <t>MLSR074_284: review access rights periodically and after changes such as promotion, demotion or termination of employment
MLSR074_286: review privileged access rights at frequent intervals
MLSR049_298: review privileges assigned to users and remove, reassign privileges if any changes on user roles
MLSR074_270: implement authorization process and maintain a record of all privileges allocated
MLSR307_477: review user accounts and access privileges at least every six months to ensure access remain appropriate based on job function</t>
  </si>
  <si>
    <t>MLSR074_283: review users access rights at regular intervals
MLSR074_287: check privilege allocations at regular intervals
MLSR074_285: review and re-allocate user access rights when moving from one role to another 
MLSR079_297: review account permissions to ensure only minimum required permissions are given</t>
  </si>
  <si>
    <t>ISO/IEC 27002 9.2.5_x000D_
ISO/IEC 27002 9.2.3_x000D_
IEC 62443-2-1 4.3.3.5.6</t>
  </si>
  <si>
    <t>NIST SP 800-53 R4 AC-6</t>
  </si>
  <si>
    <t>PCI DSS A3.4.1</t>
  </si>
  <si>
    <t>Develop feature in system to identify, assign and restrict roles for privileged user accounts</t>
  </si>
  <si>
    <t xml:space="preserve">MLSR049_181: monitor privileged role assignments and take necessary action
MLSR049_287: allow privileged user to use non-privileged account while accessing non-security functions
MLSR049_255: provide capability for privileged administrators to enable and disable security policy filters
MLSR049_293: restrict privileged accounts to defined personnel or roles
MLSR065_93: provision read/write/delete permissions to accounts which have system-wide privileges in cloud
MLSR065_94: manage all accounts with highest level of privilege on cloud
MLSR065_99: provision ‘administrator’ role for customer which has access to limited features
MLSR074_269: identify privileged access rights associated with each system or process
MLSR043_83: allow IT administrator to disable automatic logoff function and set expiration time
MLSR016_108: define ’administrator’ or ’system’ role that has privileges exclusively related to product management
MLSR049_180: administer privileged user accounts in accordance with role-based access
MLSR065_96: ensure proper segregation of duties while allocating high privilege roles
MLSR050_58: employ principle of least privilege for specific security functions and privileged accounts
MLSR307_190: restrict access to privileged user IDs to least privileges necessary to perform job responsibilities
MLSR088_80: allow authorized IT administrator to select product security capabilities
MLSR076_210: ensure data stored in cloud cannot be accessed by administrators of cloud
MLSR079_1049: perform all system administrator or application configuration functions locally at device </t>
  </si>
  <si>
    <t xml:space="preserve">MLSR049_257: provide capability for privileged administrators to configure security policy filters
MLSR043_106: allow IT administrator to configure device security capabilities and required privilege for system
</t>
  </si>
  <si>
    <t xml:space="preserve">Use OAuth 2.0/SAML 2.0 framework for implementing authorization
Example:
-&gt;Okta
-&gt;AWS IAM
</t>
  </si>
  <si>
    <t>UL 2900-1-1 8.4</t>
  </si>
  <si>
    <t>ISO/IEC 27002 9.2.3_x000D_
IEC TIR80001-2-2 5.1_x000D_
IEC TR80001-2-8 4.5_x000D_
IEC 62443-2-1 A.3.3.6.5.1_x000D_
IEC TIR80001-2-2 5.4</t>
  </si>
  <si>
    <t>NIST SP 800-53 R4 AC-3_x000D_
NIST SP 800-53 R4 AC-6_x000D_
NIST SP 800-53 R4 AC-4_x000D_
NIST SP 800-53 R4 AC-2_x000D_
NIST SP 800-171 R1 Sec Req</t>
  </si>
  <si>
    <t>PCI DSS 7.1.2</t>
  </si>
  <si>
    <t>ENISA - Cloud 6.4.1_x000D_
AUTO11-A2 4.7.2</t>
  </si>
  <si>
    <t>Develop feature in system to control execution of privileged functions by users</t>
  </si>
  <si>
    <t>MLSR049_289: authorize network access to use privileged commands
MLSR049_296: prohibit non-organizational users to use privileged information
MLSR049_300: prevent software execution at higher privilege levels than users executing software
MLSR049_388: authorize privileged command execution
MLSR049_304: prevent non-privileged users to execute privileged functions
MLSR049_835: allow only authorized user or higher privileged user to install software
MLSR203_64: ensure critical functions are executed only by users with required rights
MLSR092_115: allow only admin user or higher role to access data export functions
MLSR050_59: use non-privileged accounts/roles when accessing non-security functions
MLSR049_1734: prevent presentation of system management-related functionality for non-privileged users</t>
  </si>
  <si>
    <t xml:space="preserve">MLSR050_60: prevent non-privileged users from executing privileged functions
</t>
  </si>
  <si>
    <t>NIST SP 800-53 R4 AC-6_x000D_
NIST SP 800-53 R4 AC-17_x000D_
NIST SP 800-53 R4 CM-11_x000D_
NIST SP 800-171 R1 Sec Req_x000D_
NIST SP 800-53 R4 SC-2</t>
  </si>
  <si>
    <t>CSR-NET 3.1_x000D_
ANSM’S GUIDELINE 1</t>
  </si>
  <si>
    <t>Develop feature in system to authorize, restrict and maintain security and privacy attributes</t>
  </si>
  <si>
    <t>MLSR049_349: ensure security attributes are associated with necessary values
MLSR049_358: allow only authorized users to define/change security attributes
MLSR049_360: maintain association and integrity of security and privacy attributes
MLSR049_362: allow only authorized user to associate security and privacy attributes
MLSR049_368: provide consistent interpretation of security attributes transmitted
MLSR049_370: protect security attributes with defined level of assurance
MLSR049_372: re-assign security attributes using only validated re-grading mechanisms
MLSR049_374: allow only authorized users to change type and value of security and privacy attributes
MLSR049_462: enforce access control decisions based on security attributes
MLSR049_1861: associate security attributes with exchanged information
MLSR049_215: revoke access authorizations when security attributes change
MLSR049_268: bind security attributes to information
MLSR049_356: dynamically associate security attributes with subjects and objects as information is created and combined</t>
  </si>
  <si>
    <t>NIST SP 800-53 R4 AC-16_x000D_
NIST SP 800-53 R4 AC-24_x000D_
NIST SP 800-53 R4 SC-13_x000D_
NIST SP 800-53 R4 AC-3_x000D_
NIST SP 800-53 R4 AC-4</t>
  </si>
  <si>
    <t>Develop feature in system to allow only authorized user to edit alarm settings/configuration</t>
  </si>
  <si>
    <t>MLSR020_101: prevent operator from unauthorized access for changing auditory alarm signal
MLSR020_129: prevent operator from saving changes to alarm preset and restrict it only to responsible organization
MLSR020_130: provide option for responsible organization to restore alarm preset to its manufacturer-configured state
MLSR020_136: prevent operator from saving changes to any manufacturer-configured alarm preset
MLSR020_136: restrict alarm preset only to responsible organization
MLSR020_137: prevent individual operator from saving changes to alarm presets that were stored by any other operator
MLSR020_142: prevent any operator from storing changes to default alarm preset
MLSR020_143: allow only responsible organization to restore default alarm preset to its manufacturer-configured values
MLSR020_173: allow only responsible organization to enable and disable reminder signal 
MLSR020_173: configure maximum reminder signal interval when adjustment is provided
MLSR020_174: allow only responsible organization to permit designated operators to enable and disable reminder signal
MLSR020_177: allow only responsible organization to enable or disable any global alarm OFF or audio OFF
MLSR020_177: prevent clinical operator from changing configuration in normal use
MLSR020_186: allow only responsible organization to provide options for operator to adjust interval only up to maximum
MLSR020_195: allow only responsible organization to select between latching and non-latching alarm signals
MLSR020_389: use password-protection for each operator to store his or her own operator-configured alarm presets
MLSR020_389: restrict operator from changing alarm preset configuration of other operators</t>
  </si>
  <si>
    <t>ISO 60601-1-8 6.3.3.1_x000D_
ISO 60601-1-8 6.5.3.1_x000D_
ISO 60601-1-8 6.5.3.2_x000D_
ISO 60601-1-8 6.5.4.1_x000D_
ISO 60601-1-8 6.8.2_x000D_
ISO 60601-1-8 6.8.3_x000D_
ISO 60601-1-8 6.8.5_x000D_
ISO 60601-1-8 6.10_x000D_
ISO 60601-1-8 A.2</t>
  </si>
  <si>
    <t>Develop feature in system to discover and authenticate bluetooth devices</t>
  </si>
  <si>
    <t xml:space="preserve">MLSR304_34:  implement bluetooth (classic) security mode 3 ( link level-enforced) for authentication and then perform service-level authorization
MLSR304_40:  enable Secure Connections Only Mode for devices(classic) when service requires authenticated link key using Secure Connections
MLSR304_50: implement OOB pairing method for device(classic) discovery and cryptographic value exchange
MLSR304_55: increase time interval exponentially before making new attempt when authentication fails
MLSR304_71: implement user based authentication within bluetooth security framework through application layers
MLSR304_80:  implement security mode 1 and level 3 for BLE device pairing if version is 4.0 and 4.1
MLSR304_81: implement security mode 1 and level 4 for BLE Secure Connection pairing if version is 4.2 and above
MLSR304_88:  implement numeric comparison in BLE device to provide MITM protection when BLE version is 4.2 and above
MLSR304_124 : ensure device enters into discoverable or connectable mode to pair or connect, only for a minimal amount of time
MLSR304_158: set bluetooth devices by default as undiscoverable and remain undiscoverable except as needed for pairing
MLSR304_161: implement mutual authentication for all connections in bluetooth devices
MLSR304_166: implement user authentication overlays such as biometrics, smart cards, two-factor authentication or PKI
MLSR304_171:  ensure portable devices with bluetooth interfaces are configured with password to prevent unauthorized access </t>
  </si>
  <si>
    <t>NIST SP 800-121 R2 3.1_x000D_
NIST SP 800-121 R2 3.1.1.2_x000D_
NIST SP 800-121 R2 3.1.2_x000D_
NIST SP 800-121 R2 3.1.4_x000D_
NIST SP 800-121 R2 3.2.1_x000D_
NIST SP 800-121 R2 3.2.2.2_x000D_
NIST SP 800-121 R2 4.1_x000D_
NIST SP 800-121 R2 4.4</t>
  </si>
  <si>
    <t>Develop feature in bluetooth device for authorization</t>
  </si>
  <si>
    <t>MLSR304_72:  implement user based fine-grained access control within bluetooth security framework through application layer
MLSR304_164: enforce bluetooth device to prompt user to authorize all incoming connection requests</t>
  </si>
  <si>
    <t>NIST SP 800-121 R2 3.1.4_x000D_
NIST SP 800-121 R2 4.4</t>
  </si>
  <si>
    <t xml:space="preserve">Develop feature to limit access for apps and services in mobile device
</t>
  </si>
  <si>
    <t xml:space="preserve">MLSR049_412: authorize mobile device to system
MLSR049_420: prohibit use of unclassified mobile devices in facilities unless permitted by authorizing official
MLSR049_421: use unclassified mobile devices with proper permission and restrictions
MLSR050_71: control connection of mobile devices by applying usage restrictions
MLSR305_58: limit or prevent access to enterprise services when device is rooted/jailbroken
MLSR305_59: limit or prevent access to enterprise services based on mobile deviceʼs OS version
MLSR305_60: limit or prevent access to enterprise services based on mobile deviceʼs vendor/brand or model
MLSR305_61: limit or prevent access to enterprise services based on MDM software client version
MLSR305_68: set mobile device unlock code before authorizing access to organization’s resources
MLSR305_75: restrict use of OS and application synchronization services to control access for data-sharing functions
MLSR305_82: restrict permissions assigned to each application in mobile device
MLSR305_84: safeguard mechanisms used to install, update, or remove applications from managed devices by role-based access
MLSR305_144: implement application-level access policies on OS-provided functionality to transfer data into or out of managed applications
MLSR305_162: restrict access to organization resources to provisioned mobile devices
MLSR312_123: employ EMM to deny a device access to enterprise data if it is in an insecure state
</t>
  </si>
  <si>
    <t>MLSR312_86:  restrict permissions assigned to each application in mobile device
MLSR312_87: safeguard mechanisms used to install, update and remove apps on mobile device.
MLSR312_88: restrict use of OS and app-synchronization and sharing services</t>
  </si>
  <si>
    <t>Use MDM to limit access in mobile device.
Example:
-&gt;Intune
-&gt;ManageEngine 
-&gt;Cisco Meraki</t>
  </si>
  <si>
    <t>NIST SP 800-53 R4 AC-19_x000D_
NIST SP 800-171 R1 Sec Req_x000D_
NIST SP 1800-4 4.3.1_x000D_
NIST SP 1800-4 Appendix C_x000D_
NIST SP 800-124 R2 4.3.1_x000D_
NIST SP 800-124 R2 4.2.2</t>
  </si>
  <si>
    <t>Develop feature to install only whitelisted applications on mobile device</t>
  </si>
  <si>
    <t>MLSR305_80: allow only whitelisted application stores for use in mobile device
MLSR312_85: restrict to install applications on mobile device through whitelisting or blacklisting
MLSR305_86: distribute applications from a dedicated mobile application store which has explicit whitelist of applications
MLSR312_90: distribute organization’s apps from a dedicated mobile appstore</t>
  </si>
  <si>
    <t>MLSR312_84: allow only whitelisted application stores for use in mobile device
MLSR312_89: distribute applications from a dedicated mobile application store
MLSR305_81: restrict to install applications on mobile device through whitelisting or blacklisting</t>
  </si>
  <si>
    <t xml:space="preserve">Use MDM tools to whitelist apps and download apps only from dedicated stores in mobile device
Example:
-&gt;Microsoft Enterprise Mobility
-&gt;ManageEngine Mobile Device Manager Plus
-&gt; Intune Company Portal
</t>
  </si>
  <si>
    <t>NIST SP 1800-4 4.3.1_x000D_
NIST SP 800-124 R2 4.2.2</t>
  </si>
  <si>
    <t>Develop feature in system to authorize audit access for users</t>
  </si>
  <si>
    <t>MLSR049_587: authorize access to management of audit functionality to only privileged users
MLSR049_589: enforce dual authorization for movement/deletion of audit information
MLSR049_591: allow read-only access to audit records for restricted privileged user
MLSR050_94: protect audit information and audit logging tools from unauthorized access
MLSR074_601: prohibit system administrators to erase or de-activate logs of their own activities
MLSR074_604: prohibit alterations to message types that are recorded in a log
MLSR203_74: ensure critical and confidential information logged are protected against unauthorized access
MLSR037_507: safeguard access to system audit tools and audit trails to prevent misuse
MLSR043_93: prohibit to edit or delete audit data
MLSR065_63: employ controls to protect logs from unauthorized access or tampering
MLSR307_281: log access to all audit trails to retrace steps made by unauthorized personnel
MLSR307_296: restrict access to only authorized personnel to modify time synchronization settings used for generating audit logs
MLSR307_299: secure audit trails to prevent alteration by malicious individuals
MLSR307_300: limit viewing of audit trails to only authorized individuals with a job-related need</t>
  </si>
  <si>
    <t>MLSR049_579: protect audit information and audit tools
MLSR088_73: avoid editing and deleting of audit data
MLSR074_603: protect log information against tampering and unauthorized access
MLSR050_95: limit management of audit logging functionality to subset of privileged users</t>
  </si>
  <si>
    <t>ISO/IEC 27002 12.4.1_x000D_
ISO/IEC 27002 12.4.2_x000D_
ISO 27799 12.4.2_x000D_
IEC TIR80001-2-2 5.2_x000D_
IEC TR80001-2-8 4.3</t>
  </si>
  <si>
    <t>NIST SP 800-53 R4 AU-9_x000D_
NIST SP 800-171 R1 Sec Req_x000D_
NIST SP 800-53 R4 AU-8</t>
  </si>
  <si>
    <t>PCI DSS 10.2.3_x000D_
PCI DSS 10.4.2_x000D_
PCI DSS 10.5_x000D_
PCI DSS 10.5.1</t>
  </si>
  <si>
    <t>CSR-NET 3.1_x000D_
ENISA - Cloud 6.3</t>
  </si>
  <si>
    <t>Employ mechanisms to isolate security functions from nonsecurity functions</t>
  </si>
  <si>
    <t>MLSR049_1737: isolate security functions from nonsecurity functions using isolation boundary like partitions and domains
MLSR049_1732: separate user functionality from system management functionality
MLSR049_1741: isolate security functions enforcing access and information flow control from nonsecurity functions</t>
  </si>
  <si>
    <t>NIST SP 800-53 R4 SC-2_x000D_
NIST SP 800-53 R4 SA-22_x000D_
NIST SP 800-53 R4 SC-3</t>
  </si>
  <si>
    <t>Develop role based access (RBAC) feature in system and follow least privilege principle for users</t>
  </si>
  <si>
    <t>MLSR049_162: establish conditions for group and role membership
MLSR049_283: provide only necessary privilege to perform tasks
MLSR079_325: establish appropriate logical access for users to devices based on roles
MLSR079_326: grant permission to access appropriate systems based on role
MLSR079_1002: ensure accounts are role based to perform particular job function
MLSR079_1004: implement separation of duties with separate approvers and implementers of account configuration
MLSR065_105: follow need to know principle for granting access to customer data within cloud
MLSR065_127: allow for separation of roles and responsibilities for multiple domains
MLSR080_191: implement RBAC to manage access to devices
MLSR203_57: implement granular access control to protect sensitive data
MLSR088_77_1: implement RBAC to access only approved data, functions assigned to their roles
MLSR088_77_2: implement RBAC to provide access to system functions and data
MLSR092_113: clearly define roles and privileges of stakeholders/users
MLSR037_282: establish access control based on predefined roles with associated authorities
MLSR037_315: define workgroup-based access control to determine access level of workgroup
MLSR105_58: implement role or layer based authorization to manage user access rights 
MLSR049_291: separate processing domains to allocate finer-grained privileges
MLSR043_157: create and use role based access control to control and monitor network access
MLSR043_99: implement permissions-based access to system functions and data appropriate to role(s) of individual
MLSR310_74: implement model access controls to enforce record ownership, rather than allow user to modify any record
MLSR307_189: define access needs for each role including, system components and data resources that each role needs to access
MLSR307_192: assign privileges based on individual’s job classification and function
MLSR079_1003: assign minimum privileges and authorizations to users
MLSR016_111: support assigning privileges and permissions to roles and credentials
MLSR049_177: implement dynamic privilege management</t>
  </si>
  <si>
    <t>MLSR049_212: enforce role-based access to users
MLSR049_279: separate the duties of individuals
MLSR037_132: segregate duties and responsibilities for personnel
MLSR050_57: separate duties of individuals to reduce risk of malevolent activity
MLSR103_55:  implement RBAC to protect resources from unauthorized access
MLSR092_109: implement role based (RBAC) authorization process to protect resources
MLSR037_314: implement RBAC to restrict user access privileges to one or more well-defined roles
MLSR105_70: apply principle of least privilege to allow access level necessary to perform function
MLSR065_97: implement role based access control and least privilege principle
MLSR016_112: enforce principle of least privilege for every authorized role or user 
MLSR210_224: apply principle of least privilege to user workstations and connected devices
MLSR078_269: address internal threats by placing more emphasis on separation of duties
MLSR079_1016: assign minimum privileges and authorizations to users</t>
  </si>
  <si>
    <t>Use OAuth 2.0/SAML 2.0 framework for implementing role based access control.
Example:
-&gt;Okta
-&gt;AWS IAM
-&gt;WSO2</t>
  </si>
  <si>
    <t>UL 2900-1-1 8.6_x000D_
UL 2900-1-1 8.7</t>
  </si>
  <si>
    <t>IEC 62443-2-1 4.3.3.7.2_x000D_
IEC 62443-2-1 4.3.3.7.3_x000D_
IEC 62443-2-1 A.3.3.5.3.4_x000D_
IEC 62443-2-1 A.3.3.5.3.6_x000D_
IEC/TR 62443-3-1 5.2.2_x000D_
IEC TR80001-2-8 N/A_x000D_
ISO 27799 9.1.1_x000D_
ISO 27799 9.2.3_x000D_
IEC TIR80001-2-2 5.12_x000D_
IEC TIR80001-2-2 5.3_x000D_
IEC 62443-2-1 A.3.3.5.3.5_x000D_
ISO 27799 6.1.2_x000D_
IEC/TS 62443-1-1 5.6.6_x000D_
IEC 62443-2-1 A.3.3.5.4.1</t>
  </si>
  <si>
    <t>NIST SP 800-53 R4 AC-2_x000D_
NIST SP 800-53 R4 AC-6_x000D_
NIST SP 800-53 R4 AC-3_x000D_
NIST SP 800-53 R4 AC-5_x000D_
NIST SP 800-171 R1 Sec Req</t>
  </si>
  <si>
    <t>PCI DSS 7.1.1_x000D_
PCI DSS 7.1.3</t>
  </si>
  <si>
    <t>OWASP Top 10 2017 A5:2017</t>
  </si>
  <si>
    <t>FDA-PMS V_x000D_
CAN-PMR Table 1</t>
  </si>
  <si>
    <t>ENISA - Cloud 6.4.3_x000D_
ENISA - Cloud 6.4.8.2_x000D_
CSR-NET 3.1_x000D_
ANSM’S GUIDELINE 1_x000D_
ENISA - Cloud 6.4.1_x000D_
MDCG 7</t>
  </si>
  <si>
    <t>Develop feature in system to control authorization for users</t>
  </si>
  <si>
    <t xml:space="preserve">MLSR049_163: allow only authorized user to access information system
MLSR049_193: approve only authorized users to access system resources and privileged functions
MLSR049_223: provide audited override of access control mechanisms for critical functions
MLSR049_225: enforce approved authorizations for controlling information flow
MLSR049_598: allow only authorized individuals to determine identity of producer of information
MLSR049_426: allow only authorized users to process, store, or transmit information using external systems
MLSR049_285: authorize access to security functions and security-relevant information
MLSR079_294: grant, change, or terminate access on authority of appropriate manager
MLSR065_95: classify single or dual authorization based on criticality in access management system
MLSR076_159: provide access to employees who design, manufacture and install systems
MLSR074_251: provide access to network services that users are authorized to use
MLSR080_241: ensure authority to change higher-level password is limited to trusted employees
MLSR201_15: build capability for patients to request access and fetch patient-specific information
MLSR076_101: provide authorization mechanism when system provides multiple user roles
MLSR221_79: provide option to access user specific personal data 
MLSR221_814: deny unauthorized persons access to perform unauthorized reading and modification
MLSR017_92: protect software interfacing directly to hardware, against unauthorized modifications or access
MLSR310_72:  implement access control in trusted server side code or server less API and with exception of public resources, deny by default
MLSR307_194: establish access control for components that restricts access based on user’s need to know and set to “deny all” unless specifically allowed
MLSR307_233: restrict all access to database containing cardholder data by allowing only programmatic access to queries and user actions
MLSR307_233: permitting only database admin to directly access or query databases
MLSR307_233: allowing use of application IDs for database by relevant applications only and not by individual users or other non-application processes
MLSR076_87: allow access only to persons or software programs having access rights 
MLSR050_193: prevent unauthorized and unintended information transfer via shared system resources
MLSR074_713: obtain approval prior to using external public services such as instant messaging, social networking or file sharing
MLSR076_61: implement authorization of vendor’s personnel and ensure that default settings allow only the minimum data necessary for each purpose to be collected
MLSR074_744: implement authorization processes associated with who may approve contents of , issue or sign key transactional documents
MLSR049_2021: authorize, monitor and control system components use
</t>
  </si>
  <si>
    <t xml:space="preserve">MLSR079_1007: ensure access is granted on authority of appropriate manager 
MLSR079_1019: grant, change or terminate access on authority of appropriate manager
</t>
  </si>
  <si>
    <t>UL 2900-2-1 12.4.3.19</t>
  </si>
  <si>
    <t>IEC 62443-2-1 4.3.3.5.3_x000D_
ISO/IEC 27002 9.1.2_x000D_
IEC/TR 62443-3-1 5.3.7_x000D_
ISO/IEC 27002 13.2.3_x000D_
ISO/IEC 27002 14.1.2_x000D_
IEC 62443-2-1 A.3.3.5.3.8_x000D_
IEC 62443-2-1 A.3.3.5.4.1</t>
  </si>
  <si>
    <t>NIST SP 800-53 R4 AC-2_x000D_
NIST SP 800-53 R4 AC-3_x000D_
NIST SP 800-53 R4 AC-4_x000D_
NIST SP 800-53 R4 AU-10_x000D_
NIST SP 800-53 R4 AC-19_x000D_
NIST SP 800-53 R4 AC-6_x000D_
NIST SP 800-171 R1 Sec Req_x000D_
NIST SP 800-53 R4 SC-42</t>
  </si>
  <si>
    <t>PCI DSS 7.2_x000D_
PCI DSS 8.7</t>
  </si>
  <si>
    <t>FDA-PHI IV.</t>
  </si>
  <si>
    <t>ENISA - Cloud 6.4.1_x000D_
AUTO11-A2 4.4.3_x000D_
AUTO11-A2 4.1.5_x000D_
GDPR Legislative acts_x000D_
GDPR Article 29_x000D_
AUTO11-A2 4.1.2_x000D_
AUTO11-A2 3</t>
  </si>
  <si>
    <t>Implement access restrictions in system to prevent unauthorized execution of utility and user-installed software</t>
  </si>
  <si>
    <t>MLSR074_341: use identification, authentication and authorization procedures for utility programs
MLSR074_344: authorize for ad hoc use of utility programs
MLSR074_343: limit use of utility programs to minimum number of authorized users
MLSR074_340: restrict and tightly control use of utility programs
MLSR074_342: segregate utility programs from applications software
MLSR074_345: limit availability of utility programs
MLSR074_349: prohibit utility programs availability to users having access to application 
MLSR049_2153: enforce that user-installed software executes in confined environment with limited privileges
MLSR049_2157: allow execution of binary or machine-executable code with explicit approval and only in confined VM environments
MLSR049_2159: prohibit use of binary or machine-executable code and provide exception with approval for mission critical operations
MLSR049_828: enforce strict restrictions on use of open source software</t>
  </si>
  <si>
    <t>Use Endpoint Protection tool to restrict unauthorized use of utility programs.
Example:
--&gt; Symantec Endpoint Protection</t>
  </si>
  <si>
    <t>Suggested</t>
  </si>
  <si>
    <t>ISO/IEC 27002 9.4.4</t>
  </si>
  <si>
    <t>NIST SP 800-53 R4 SI-7_x000D_
NIST SP 800-53 R4 CM-10</t>
  </si>
  <si>
    <t>Develop feature in system to control/limit access for users to avoid unauthorized access</t>
  </si>
  <si>
    <t xml:space="preserve">MLSR049_757: define, approve and enforce physical and logical access restrictions for system changes 
MLSR049_759: enforce access restrictions for any changes to  hardware, software,  firmware components of information systems 
MLSR049_2179:restrict use of manual override capability to only authorized individuals
MLSR049_1750:prevent unauthorized information transfer via shared system resources
MLSR049_184:restrict use of shared/group accounts when organization conditions are met
MLSR049_186:enforce usage conditions for specific system accounts
MLSR074_268: restrict and control allocation and use of privileged access rights 
MLSR088_77: avoid unauthorized access to data and functions to preserve system and data confidentiality
MLSR076_262: limit access to operational monitoring data based on context–specific user authorization for devices
MLSR076_263: limit access to operational monitoring data based on context–specific user authorization for mobile apps
MLSR076_270: limit access enabling changing of operational parameters based on context–specific user authorization for devices
MLSR076_271: limit access triggering action on device based on context–specific user authorization
MLSR076_272: limit changing of triggering actions on device based on context–specific user authorization for mobile apps
MLSR076_277: limit access for viewing and editing data based on specimen context–specific user authorization for device
MLSR076_278: limit access for viewing and editing data based on specimen context–specific user authorization for mobile apps
MLSR076_373: limit users from directly accessing external or internet systems
MLSR050_53: limit access to authorized users, processes acting on behalf of authorized users and devices
MLSR050_54:  limit access to types of transaction and functions permitted to authorized users
MLSR102_224: limit device access and privileges, based on user profiles
MLSR079_1054: restrict access to non-local domain controllers and active directory servers 
MLSR076_144: protect system from unwanted access via external I/O devices
MLSR105_56: limit device access only to authenticated users
MLSR222_1554: protect against unauthorized access that hamper device from functioning as intended
MLSR043_100: allow user to access only approved data and only perform approved functions on device
MLSR078_194: control access to selected devices, information or both to protect against unauthorized interrogation
MLSR102_68:  address unauthorised access to or modification of device
MLSR307_188: limit access to system components to only those individuals who require such access
MLSR049_767: limit, review and re-evaluate privileges for system changes 
MLSR049_769: limit privileges to change software resident within software libraries
MLSR049_1148: employ security safeguards for information exposed to unauthorized personnel
</t>
  </si>
  <si>
    <t>MLSR049_1753: prevent unauthorized information transfer via shared system resources
MLSR078_195: control use of selected devices, information or both to protect against unauthorized operation of device
MLSR221_814_2: prevent unauthorised input of personal data and  unauthorised inspection, modification or deletion of stored personal data</t>
  </si>
  <si>
    <t>Use OAuth 2.0/SAML 2.0 framework for implementing authorization to control or limit access to user.
Example:
-&gt;Okta
-&gt;AWS IAM
-&gt;WSO2</t>
  </si>
  <si>
    <t>ISO/IEC 27002 9.2.3_x000D_
IEC TR80001-2-8 4.4_x000D_
IEC 62443-2-1 A.3.3.6.5.2_x000D_
IEC TIR80001-2-2 5.3_x000D_
IEC/TS 62443-1-1 5.3</t>
  </si>
  <si>
    <t>NIST SP 800-53 R4 CM-3_x000D_
NIST SP 800-53 R4 CM-5_x000D_
NIST SP 800-53 R4 SI-10_x000D_
NIST SP 800-53 R4 SC-3_x000D_
NIST SP 800-53 R4 AC-2_x000D_
NIST SP 800-171 R1 Sec Req_x000D_
NIST SP 800-53 R4 IR-9_x000D_
NIST SP 800-53 R4 SC-4</t>
  </si>
  <si>
    <t>PCI DSS 7.1</t>
  </si>
  <si>
    <t>FDA-PMS V</t>
  </si>
  <si>
    <t>AUTO11-A2 4.8.4_x000D_
AUTO11-A2 4.8.5_x000D_
AUTO11-A2 5.6_x000D_
AS-TGA TGA_x000D_
AUTO11-A2 4.3.7_x000D_
EU MDR 18.8_x000D_
GDPR Article 29</t>
  </si>
  <si>
    <t>Implement access restrictions for operating system</t>
  </si>
  <si>
    <t xml:space="preserve">MLSR076_108: prevent unauthorized access to OS features when user has privilege to access OS of system
MLSR076_109: implement security measures to control access to OS based on user credentials
MLSR076_110: access to OS features to authorized user shall be kept minimum 
</t>
  </si>
  <si>
    <t>AUTO11-A2 4.2</t>
  </si>
  <si>
    <t>Develop feature in system to enable dual /multiple authorization for critical actions</t>
  </si>
  <si>
    <t>MLSR049_765: enforce dual authorization for system changes
MLSR049_923: enforce dual authorization for deletion or destruction of backup
MLSR049_197: enforce dual authorization for privileged functions
MLSR079_327: employ multiple authorization methods to limit access to critical control environments
MLSR203_61: enforce dual-control principle for critical actions on product</t>
  </si>
  <si>
    <t>IEC 62443-2-1 4.3.3.7.4</t>
  </si>
  <si>
    <t>NIST SP 800-53 R4 CM-5_x000D_
NIST SP 800-53 R4 CP-9_x000D_
NIST SP 800-53 R4 AC-3</t>
  </si>
  <si>
    <t>CSR-NET 3.1</t>
  </si>
  <si>
    <t xml:space="preserve">Configure network address allocation for systems
</t>
  </si>
  <si>
    <t>MLSR049_986: standardize dynamic address allocation
MLSR049_1810: implement separate network addresses to connect to systems</t>
  </si>
  <si>
    <t>Use tools to assign and resolve IP address.
Example:
-&gt;Windows server 2016
-&gt;SolarWinds IP Address Manager</t>
  </si>
  <si>
    <t>NIST SP 800-53 R4 IA-3_x000D_
NIST SP 800-53 R4 SC-7</t>
  </si>
  <si>
    <t xml:space="preserve">Implement segregation and segmentation of network to limit propagation of attacks
</t>
  </si>
  <si>
    <t>MLSR049_1769: implement subnetworks for publicly accessible system components that are separated from internal networks [Medical Facility]
MLSR049_1792: implement physically separate subnetworks with managed interfaces [Medical Facility]
MLSR049_1806: segregate information system components from other components of system
MLSR049_1808: employ boundary protection mechanisms to separate information system components supporting business functions
MLSR079_956: employ network segmentation for medium to high-risk control systems [Medical Facility]
MLSR079_974: employ cyber and physical protection layers to address residual risk remaining after isolation of control system from business zone [Medical Facility]
MLSR079_980: disconnect high-risk control system from business zone [Medical Facility]
MLSR076_117: segment network into multiple sub networks and limit communication between networks [Medical Facility]
MLSR074_676: segregate groups of information services, users and information systems on network  [Medical Facility]
MLSR080_441_1: ensure to properly segment networks to mitigate risks of broadcast storms [Medical Facility]
MLSR203_53: implement  network segmentation by default and keep configuration data separate from device's medical functions  [Medical Facility]
MLSR092_141: provide option of isolating device software from network or from all communication channels
MLSR210_158: implement partitioning mechanisms,  network / traffic segmentation to limit propagation of attack  [Medical Facility]</t>
  </si>
  <si>
    <t>MLSR210_156: implement security control for network segmentation, traffic filtering and data encryption.
MLSR050_194: implement subnetworks for publicly accessible system components separated from internal networks  [Medical Facility]</t>
  </si>
  <si>
    <t>IEC 62443-2-1 A.3.3.4.2.2_x000D_
IEC 62443-2-1 A.3.3.4.2.5_x000D_
IEC 62443-2-1 A.3.3.4.4.1_x000D_
ISO/IEC 27002 13.1.3_x000D_
IEC/TR 62443-3-1 6.4.2</t>
  </si>
  <si>
    <t>NIST SP 800-53 R4 SC-6_x000D_
NIST SP 800-53 R4 SC-7_x000D_
NIST SP 800-171 R1 Sec Req</t>
  </si>
  <si>
    <t>AUTO11-A2 4.3.1_x000D_
CSR-NET 3.1_x000D_
ANSM’S GUIDELINE 1_x000D_
MDCG 3.6</t>
  </si>
  <si>
    <t>Implement demilitarized zones (DMZ) to improve security while connecting to external networks</t>
  </si>
  <si>
    <t>MLSR079_963: use DMZ to reduce direct communication between control zone and business zone
MLSR079_989: employ DMZ segmentation architecture
MLSR080_393: ensure to place servers between firewalls in DMZ
MLSR080_411_1: ensure only open traffic from administrative network to DMZ
MLSR307_36: implement DMZ to limit inbound traffic to only system components that provide authorized publicly accessible services, protocols,  ports in cardholder data environment
MLSR307_37: ensure inbound Internet traffic is limited to IP addresses within DMZ for cardholder data environment
MLSR307_41: place system components that store cardholder data on internal network zone, segregated from DMZ and other untrusted networks</t>
  </si>
  <si>
    <t>MLSR079_964: ensure devices are located in DMZ that function as a bridge between devices in business zone and control zone</t>
  </si>
  <si>
    <t>IEC 62443-2-1 A.3.3.4.2.3_x000D_
IEC 62443-2-1 A.3.3.4.4.2_x000D_
IEC/TR 62443-3-1 6.2.1_x000D_
IEC/TR 62443-3-1 6.2.7</t>
  </si>
  <si>
    <t>PCI DSS 1.3.1_x000D_
PCI DSS 1.3.2_x000D_
PCI DSS 1.3.6</t>
  </si>
  <si>
    <t>Develop feature in system to manage lost/ expired/ compromised authenticators for users</t>
  </si>
  <si>
    <t>MLSR302_252: ensure suspension, revocation or destruction of compromised authenticators are performed within specified time limits once detected 
MLSR302_253_1: set a time limit after which a suspended authenticator can no longer be reactivated
MLSR302_253: provide subscriber with method of authenticating to the CSP using a backup or alternate authenticator
MLSR302_244: use biometric and associated physical authenticator to establish new memorized secret when lost, if biometric is bound to subscriber account
MLSR302_245: ensure a new memorized secret with authentication using two physical authenticators is bound, when there is no biometric bound to the account and it is lost
MLSR302_226: bind at least two physical (something you have) authenticators to subscriber’s online identity
MLSR302_249: bind updated authenticator within an appropriate amount of time before an existing authenticator’s expiration
MLSR302_255: indicate subscriber that authentication failure is due to expiration if authentication is attempted using expired authenticator
MLSR302_256: ensure subscribers surrender or prove destruction of any physical authenticator after expiration or receipt of renewed authenticator
MLSR302_259: revoke binding of authenticators promptly when online identity ceases to exist or when subscriber no longer meets eligibility requirements
MLSR302_260: ensure subscribers surrender or certify destruction of any physical authenticator after revocation or termination</t>
  </si>
  <si>
    <t xml:space="preserve">Examples of physical authenticator.
-&gt;Access Card
-&gt;Biometrics(Fingerprint/Face)
</t>
  </si>
  <si>
    <t>NIST SP 800-63B 6.1.4_x000D_
NIST SP 800-63B 6.2_x000D_
NIST SP 800-63B 6.1.2.3_x000D_
NIST SP 800-63B 6.1.1</t>
  </si>
  <si>
    <t>Develop feature in system to protect authenticators for users</t>
  </si>
  <si>
    <t xml:space="preserve">MLSR049_1009: manage information system authenticators such as  passwords, tokens, biometrics and PKI certificates by verifying identity of individual, group, role, or device receiving authenticator
MLSR049_1011: implement administrative procedures for initial authenticator distribution, for lost/compromised authenticators, and for revoking authenticators
MLSR049_1040: prohibit use of cached authenticators
MLSR076_92: ensure passwords are not recorded where they are accessible or recognizable by any individual other than originator
MLSR076_93: prohibit use of same password for system and personal access
MLSR076_94: prohibit to use remember password feature
MLSR076_91: protect password from disclosure and maintain confidentiality
MLSR074_335: prohibit to display passwords on screen when being entered
MLSR074_506: use key lock or equivalent control(password) to secure computers or mobile devices
MLSR074_511: protect unattended computers and terminals using key locks, passwords, token or other controls
MLSR080_216: use passwords to limit requests for services and functions to authorized users
MLSR080_759: have login password mechanism if embedded device has user interface
MLSR049_1014: protect authenticator content from unauthorized disclosure
MLSR049_1026: protect authenticators commensurate with security category of information to which use of authenticator permits access
</t>
  </si>
  <si>
    <t>MLSR074_321: prohibit display of password being entered</t>
  </si>
  <si>
    <t>ISO/IEC 27002 9.4.3_x000D_
ISO/IEC 27002 11.2.8_x000D_
ISO/IEC 27002 11.2.9_x000D_
IEC/TR 62443-3-1 5.3.2_x000D_
IEC/TR 62443-3-1 9.3.2_x000D_
ISO/IEC 27002 9.4.2</t>
  </si>
  <si>
    <t>NIST SP 800-53 R4 IA-4_x000D_
NIST SP 800-53 R4 IA-5</t>
  </si>
  <si>
    <t>AUTO11-A2 4.1.3.2</t>
  </si>
  <si>
    <t>Develop change password/authenticator feature in system for user accounts</t>
  </si>
  <si>
    <t xml:space="preserve">MLSR049_1015: change authenticators for group/role accounts when account membership changes
MLSR079_1057: enforce to change password after a specified number of days
MLSR079_1018: establish alternate identification process for lost credentials or forgotten password
MLSR076_97: provide guidelines to reset password and distribute to authorized users in a secure manner
MLSR074_330: allow users to select and change their own passwords
MLSR074_333: enforce regular password changes and as needed
MLSR302_372: provide clear, meaningful and actionable feedback when chosen passwords are rejected
MLSR307_217: change user passwords/ passphrases at least once every 90 days
</t>
  </si>
  <si>
    <t>MLSR079_1006: ensure alternate identification process exists in event of forgotten password</t>
  </si>
  <si>
    <t>IEC 62443-2-1 A.3.3.6.5.2_x000D_
IEC 62443-2-1 A.3.3.5.4.1_x000D_
ISO/IEC 27002 9.4.3_x000D_
IEC 62443-2-1 A.3.3.5.3.7</t>
  </si>
  <si>
    <t>NIST SP 800-53 R4 IA-5_x000D_
NIST SP 800-63B 10.2.1</t>
  </si>
  <si>
    <t>PCI DSS 8.2.4</t>
  </si>
  <si>
    <t>Develop feature to change default passwords for user accounts on first use</t>
  </si>
  <si>
    <t>MLSR049_1012: change default content of authenticators prior to installation
MLSR079_298: change default passwords for access accounts before putting device into service
MLSR079_1013: ensure default passwords are changed upon setup
MLSR079_1023: enforce default passwords to be changed immediately
MLSR076_95: change default password for user accounts before system is moved to production
MLSR080_754: ensure to change vendor’s default passwords
MLSR310_25: prohibit to ship or deploy with any default credentials, particularly for admin user
MLSR307_221: set passwords for first-time use and upon reset to unique value for each user and then change immediately after first use</t>
  </si>
  <si>
    <t>MLSR074_332: force users to change their passwords at first log-on
MLSR074_280: ensure default secret authentication information is altered after installation
MLSR050_121: enforce to change temporary password immediately after logon 
MLSR074_276: ensure users change temporary secret authentication information on first use</t>
  </si>
  <si>
    <t>IEC 62443-2-1 4.3.3.5.7_x000D_
IEC 62443-2-1 A.3.3.5.3.13_x000D_
IEC 62443-2-1 A.3.3.5.4.1_x000D_
IEC/TR 62443-3-1 9.2.7_x000D_
ISO/IEC 27002 9.4.3_x000D_
ISO/IEC 27002 9.2.4</t>
  </si>
  <si>
    <t>NIST SP 800-53 R4 IA-5_x000D_
NIST SP 800-171 R1 Sec Req</t>
  </si>
  <si>
    <t>PCI DSS 8.2.6</t>
  </si>
  <si>
    <t>Develop feature in system to manage OTP authenticator</t>
  </si>
  <si>
    <t xml:space="preserve">MLSR302_109: prohibit cloning of secret key onto multiple devices for single-factor OTP authenticators
MLSR302_111: ensure nonce is changed at least every 2 minutes if it is used to generate authenticator output based on real time clock
MLSR302_111: ensure OTP value associated with given nonce is accepted only once
MLSR302_116: ensure multi-factor OTP device generates OTPs after activation through additional authentication factor
MLSR302_117: ensure multi-factor OTP authenticators mandate input of additional factor through entry of either memorized secret or use of biometric to obtain OTP
MLSR302_119: prohibit cloning of secret key onto multiple devices for multi-factor OTP authenticators
MLSR302_122: ensure memorized secret used by multi-factor OTP authenticator for activation is a randomly-chosen numeric secret at least 6 decimal digits in length
MLSR302_123: ensure that biometric data derived from probe shall be zeroized immediately after OTP has been generated
MLSR302_231: ensure applicant identifies themselves in each new binding transaction by presenting a temporary secret  
MLSR302_235: ensure temporary secrets are not reused for in-person transactions
</t>
  </si>
  <si>
    <t>Use tool to generate OTP for authentication.
Example:
-&gt;Google Authenticator
-&gt;Microsoft Authenticator
-&gt;FreeOTP</t>
  </si>
  <si>
    <t>NIST SP 800-63B 5.1.4.1_x000D_
NIST SP 800-63B 5.1.5_x000D_
NIST SP 800-63B 5.1.5.1_x000D_
NIST SP 800-63B 6.1.1</t>
  </si>
  <si>
    <t xml:space="preserve">Develop feature in system to establish lifetime, strength and complexity of memorized secrets </t>
  </si>
  <si>
    <t xml:space="preserve">MLSR302_56: ensure memorized secrets are at least 8 characters in length if chosen by subscriber and at least 6 characters in length if chosen randomly
MLSR302_59:  ensure memorized secrets are generated using an approved random bit generator
MLSR302_61: compare prospective secrets against list that contains values known to be compromised when processing memorized secrets
MLSR302_62: ensure subscriber is advised to select a different secret, if chosen secret is found in list that contains values known to be compromised
MLSR302_63: implement password-strength meter to assist user in choosing strong memorized secret
MLSR302_65: prohibit to impose composition rules for memorized secrets such as consecutively repeated characters
MLSR302_67: use “paste” functionality when entering memorized secret while using password manager, in order to enforce strong secrets
MLSR302_75: use approved random bit generator to generate look-up secret authenticators and deliver authenticator securely to subscriber
MLSR302_75: ensure look-up secrets have at least 20 bits of entropy
MLSR302_77: ensure used secret is disposed of after successful authentication, if authenticator uses look-up secrets sequentially from a list
MLSR302_78: prompt claimant for next secret from their authenticator for look-up secrets and ensure given secret from authenticator is used successfully only once
MLSR302_102: accept authentication secret only once during validity period and consider it invalid, if authentication is not completed within specified duration for OOB authentication
MLSR302_371: prohibit to change memorized secrets arbitrarily unless there is user request or evidence of authenticator compromise
MLSR302_141: ensure memorized secret used by multi-factor cryptographic software authenticator for activation is randomly-chosen numeric value with at least 6 decimal digits in length
MLSR302_439: prohibit highly complex memorized secrets that are less likely to be memorable
</t>
  </si>
  <si>
    <t>Use approved Random bit generator algorithm to generate memorized secrets such as password/passcode/PIN.</t>
  </si>
  <si>
    <t>NIST SP 800-63B 5.1.1.1_x000D_
NIST SP 800-63B 5.1.1.2_x000D_
NIST SP 800-63B 5.1.2.1_x000D_
NIST SP 800-63B 5.1.2.2_x000D_
NIST SP 800-63B 5.1.3.2_x000D_
NIST SP 800-63B 10.2.1_x000D_
NIST SP 800-63B 5.1.8.1_x000D_
NIST SP 800-63B A.3</t>
  </si>
  <si>
    <t>Develop feature in system to notify users on addition/change in authenticators</t>
  </si>
  <si>
    <t>MLSR302_241: ensure CSP sends a notification to subscriber via a mechanism such as email, while binding a new authenticator
MLSR302_243: send notification of event to subscriber if an authenticator is lost
MLSR016_105: ensure all default credentials have mechanism for change upon first use after installation with a user notification</t>
  </si>
  <si>
    <t>NIST SP 800-63B 6.1.2.2_x000D_
NIST SP 800-63B 6.1.2.3</t>
  </si>
  <si>
    <t>Develop feature in system to establish lifetime, strength and complexity of authenticators for user accounts</t>
  </si>
  <si>
    <t xml:space="preserve">MLSR049_1010: ensure authenticators have sufficient strength of mechanism
MLSR049_1013: establish minimum and maximum lifetime restrictions and reuse conditions for authenticators
MLSR049_1022: employ tools to determine password strength in authenticators
MLSR049_1017: enforce minimum password complexity
MLSR049_1017: prohibit password reuse for defined number of generations
MLSR049_1024: enforce installer to provide unique authenticator prior to installation
MLSR049_1177: employ strong authenticators in the establishment of nonlocal maintenance and diagnostic sessions
MLSR079_1048: ensure strong account user ID and password practices on system and application accounts
MLSR079_1056: enforce robust long passwords that contain mix of alpha, numeric and special characters
MLSR076_90: use strong passwords with criteria such as length, characters, case sensitivity, re-use
MLSR050_119: enforce change of characters when new passwords are created
MLSR074_331: enforce a choice of quality passwords
MLSR074_334: maintain record of previously used passwords and prevent re-use
MLSR074_278: ensure temporary secret authentication information is unique to individual and is not guessable
MLSR080_220: validate password strength by validating its length and entropy
MLSR105_60: avoid use of passwords that are hardcoded, default, easily-guessed, easily compromised
MLSR016_99: ensure to maintain complexity, update frequency, strength or length for credentials
MLSR016_99: use minimum 6 characters length for password
MLSR302_221: maintain record of all authenticators associated with each identity and information required for throttling authentication attempts
MLSR302_433: ensure that passwords are complex enough that rate limiting does not occur after modest number of erroneous attempts
MLSR302_436: use composition rules to increase the difficulty of guessing user-chosen passwords
MLSR302_437: enforce complex passwords for users and prohibit using spaces
MLSR307_215: ensure passwords require minimum length of at least 7 characters and contain both numeric and alphabetic characters
MLSR307_219: prohibit individual to submit a new password/ passphrase that is same as any of  last four passwords/ passphrases used earlier
</t>
  </si>
  <si>
    <t>MLSR065_107: implement security controls for ensuring strong password 
MLSR050_120: prohibit password reuse for specified number of generations</t>
  </si>
  <si>
    <t>IEC 62443-2-1 A.3.3.6.5.1_x000D_
IEC 62443-2-1 A.3.3.6.5.2_x000D_
ISO/IEC 27002 9.4.3_x000D_
ISO/IEC 27002 9.2.4_x000D_
IEC/TR 62443-3-1 5.3.4</t>
  </si>
  <si>
    <t>NIST SP 800-53 R4 IA-5_x000D_
NIST SP 800-53 R4 MA-3_x000D_
NIST SP 800-171 R1 Sec Req_x000D_
NIST SP 800-63B 5.2.10_x000D_
NIST SP 800-63B A.2_x000D_
NIST SP 800-63B A.3</t>
  </si>
  <si>
    <t>PCI DSS 8.2.3_x000D_
PCI DSS 8.2.5</t>
  </si>
  <si>
    <t>AUTO11-A2 4.1.3.1_x000D_
ENISA - Cloud 6.4.4</t>
  </si>
  <si>
    <t>Develop feature in system to verify personal identity verification credentials for users</t>
  </si>
  <si>
    <t>MLSR049_976: accept and electronically verify Personal Identity Verification (PIV) credentials
MLSR049_1032: coordinate cross-organization management of credentials
MLSR049_1057: accept only Federal Identity, Credential, and Access Management (FICAM) approved credentials
MLSR049_1063: accept and electronically verify Personal Identity Verification - Interoperable (PIV-I) credentials
MLSR302_234: ensure applicant identifies themselves in person by either using a secret or through use of biometric
MLSR302_236: ensure long-term authenticator secrets during physical transaction, are loaded locally onto physical device and issued in person to applicant
MLSR302_242: repeat identity proofing process if a subscriber loses all authenticators of a factor necessary to complete multi-factor authentication
MLSR307_214: verify user identity before modifying any authentication credential such as password resets
MLSR050_113: authenticate or verify identities of users, processes, or devices, before allowing access to systems
MLSR219_109: implement procedures to verify person or entity seeking access to ePHI is one claimed</t>
  </si>
  <si>
    <t>MLSR049_1055: accept and electronically verify Personal Identity Verification (PIV) credentials 
MLSR221_81: verify identity of user requesting access for system</t>
  </si>
  <si>
    <t>Use FICAM approved products for PIV management.</t>
  </si>
  <si>
    <t>NIST SP 800-53 R4 IA-2_x000D_
NIST SP 800-53 R4 IA-5_x000D_
NIST SP 800-53 R4 IA-8_x000D_
NIST SP 800-63B 6.1.1_x000D_
NIST SP 800-63B 6.1.2.3_x000D_
NIST SP 800-171 R1 Sec Req_x000D_
NIST SP 800-66 4.17</t>
  </si>
  <si>
    <t>PCI DSS 8.2.2</t>
  </si>
  <si>
    <t>GDPR Legislative acts</t>
  </si>
  <si>
    <t>Develop feature in system to verify and review user identities during registration</t>
  </si>
  <si>
    <t xml:space="preserve">MLSR049_998:  ensure multiple forms of certification of individual identification are presented to registration authority
MLSR049_1002: validate identities and related credentials through pre-established trust relationships and authorities
MLSR049_1006: conduct registration procedures in person before registration authority to receive individual identifier
MLSR049_1021: conduct registration procedures in person before registration authority to receive specific authenticator
MLSR065_100: verify identity of user accounts at registration and provision identities using different levels of identity checks
MLSR074_259: implement formal user registration and de-registration process to enable assignment of access rights
MLSR037_297: ensure authentication level required of claimed identity is consistent with level(s) of access provided after registration process
MLSR037_298: periodically review user registration detail
MLSR302_225: ensure authenticators are bound to subscriber accounts at enrollment, enabling access to personal data
</t>
  </si>
  <si>
    <t>ISO/IEC 27002 9.2.1_x000D_
ISO 27799 9.2.1</t>
  </si>
  <si>
    <t>NIST SP 800-53 R4 IA-4_x000D_
NIST SP 800-53 R4 IA-5_x000D_
NIST SP 800-63B 6.1.1</t>
  </si>
  <si>
    <t>Develop feature in system to logout user for protecting user session from unauthorized use</t>
  </si>
  <si>
    <t xml:space="preserve">MLSR049_176: logout users after a period of time
MLSR049_337: provide logout for user-initiated communication sessions
MLSR049_338: display explicit logout message after termination of user session
MLSR076_106: logout user after defined period of inactivity
MLSR302_272: ensure secrets used for session binding are erased or invalidated by session subject when subscriber logs out
MLSR302_273: ensure secrets used for session binding are erased on subscriber endpoint when user logs out or when secret has expired
MLSR049_1899: invalidate session identifiers upon user logout
MLSR203_83: ensure automatic logoff is implemented in case user forgot to logout
MLSR074_505: log-off from applications or network services when no longer needed 
 </t>
  </si>
  <si>
    <t>ISO/IEC 27002 11.2.8</t>
  </si>
  <si>
    <t>NIST SP 800-53 R4 AC-2_x000D_
NIST SP 800-53 R4 AC-12_x000D_
NIST SP 800-63B 7_x000D_
NIST SP 800-53 R4 SC-23</t>
  </si>
  <si>
    <t>AUTO11-A2 4.1.8_x000D_
CSR-NET 3.2</t>
  </si>
  <si>
    <t>Develop feature in system to display messages to user before and after login</t>
  </si>
  <si>
    <t>MLSR049_315: retain notification message or banner on screen until users acknowledge usage conditions
MLSR049_324: notify user defined information including date and time of last logon, upon successful logon 
MLSR049_322: notify number of successful and unsuccessful logon attempts
MLSR074_320: display date and time of previous successful log-on details, upon any unsuccessful log-on attempts
MLSR074_314: display general notice warning that computer should only be accessed by authorized users as part of logon
MLSR203_76: issue warning message when brute force attack occurs in login
MLSR092_121: show login details to authenticated user on successful login</t>
  </si>
  <si>
    <t>MLSR049_319: display user name, last login date and time on successful login
MLSR049_321: notify user on unsuccessful logon attempts after successful logon.</t>
  </si>
  <si>
    <t>ISO/IEC 27002 9.4.2</t>
  </si>
  <si>
    <t>NIST SP 800-53 R4 AC-8_x000D_
NIST SP 800-53 R4 AC-9</t>
  </si>
  <si>
    <t>Develop feature in mobile device to display privacy notices to users</t>
  </si>
  <si>
    <t>MLSR305_163: ensure notifications are provided to users about implications to privacy by use of organizational resources for enrolled devices</t>
  </si>
  <si>
    <t>NIST SP 1800-4 Appendix C</t>
  </si>
  <si>
    <t>Develop feature in system to display privacy notices to users</t>
  </si>
  <si>
    <t>MLSR049_314: display privacy and security notices to users before granting access to system
MLSR055_303: display short notices that provide clear, concise one-page summaries of company’s essential online policies
MLSR050_62: provide privacy and security notices consistent with applicable CUI rules</t>
  </si>
  <si>
    <t>IEC 27032 12.2</t>
  </si>
  <si>
    <t>NIST SP 800-53 R4 AC-8_x000D_
NIST SP 800-171 R1 Sec Req</t>
  </si>
  <si>
    <t xml:space="preserve">Develop feature in system to protect sessions in microservices </t>
  </si>
  <si>
    <t>MLSR311_116: implement session persistence to send all requests in a client session to same upstream microservice instance 
MLSR311_117: securely store session information for a client and protect session artifact used for conveying the binding server information</t>
  </si>
  <si>
    <t>Use methods such as Sticky cookies to persist sessions in microservices.</t>
  </si>
  <si>
    <t>NIST SP 800-204 4.6</t>
  </si>
  <si>
    <t xml:space="preserve">Develop feature in system to generate session attributes </t>
  </si>
  <si>
    <t xml:space="preserve">MLSR302_270: ensure secrets used for session bindings are generated by session host during interaction in response to authentication event
MLSR302_271: ensure secrets used for session binding are generated by approved random bit generator and contain at least 64 bits of entropy
MLSR307_182: address broken authentication and session management by flagging session tokens as “secure” and not exposing session IDs in URL
</t>
  </si>
  <si>
    <t>NIST SP 800-63B 7</t>
  </si>
  <si>
    <t>PCI DSS 6.5.10</t>
  </si>
  <si>
    <t>Develop feature in system to secure cookies</t>
  </si>
  <si>
    <t>MLSR055_304: securely handle sessions for web applications (cookies)
MLSR302_283: ensure cookies are tagged to be accessible only on secure (HTTPS) sessions
MLSR302_284: ensure cookies are accessible to minimum practical set of hostnames and paths
MLSR302_285: ensure cookies are tagged to be inaccessible via JavaScript (HttpOnly)
MLSR302_286: ensure cookies are tagged to expire at, or soon after, session’s validity period</t>
  </si>
  <si>
    <t>NIST SP 800-63B 7.1.1</t>
  </si>
  <si>
    <t xml:space="preserve">Develop feature in system to establish secure sessions </t>
  </si>
  <si>
    <t xml:space="preserve">MLSR049_327: limit number of concurrent sessions based on account types
MLSR049_1902: generate a unique session identifier for each session
MLSR076_329: implement secure session management for data stored
MLSR203_63: implement secure session management when product is accessed by several persons
MLSR203_65: ensure isolation of sessions is achieved during operations
MLSR203_66: implement configurable time-outs for sessions
MLSR088_66: ensure health data are cleared from display if system is idle for more than pre-configured duration
MLSR016_95: implement inactivity time-out interval, configurable at user level
MLSR016_114: prohibit to use stored data from previous session during new session creation
MLSR310_30: use server side, secure, built in session manager to generate new random session ID with high entropy after login
MLSR302_274: ensure secrets used for session binding are not placed in insecure locations
MLSR311_69: use stateless authentication tokens with short expiry times
</t>
  </si>
  <si>
    <t>UL 2900-1-1 8.2_x000D_
UL 2900-1-1 8.8</t>
  </si>
  <si>
    <t>IEC TR80001-2-8 4.2</t>
  </si>
  <si>
    <t>NIST SP 800-53 R4 AC-10_x000D_
NIST SP 800-53 R4 SC-23_x000D_
NIST SP 800-63B 7_x000D_
NIST SP 800-204 4.1</t>
  </si>
  <si>
    <t>AUTO11-A2 5.1.1_x000D_
CSR-NET 3.1</t>
  </si>
  <si>
    <t>Develop feature in system to terminate sessions when no longer needed</t>
  </si>
  <si>
    <t>MLSR049_334: terminate user session after defined conditions or trigger events requiring session disconnect
MLSR049_335: terminate user session without terminating network session
MLSR049_336: terminate processes associated with user's logical session that are specifically created by user
MLSR074_323: terminate inactive sessions after a defined period of inactivity especially in high risk locations
MLSR074_504: terminate active sessions when finished unless secured by appropriate lock
MLSR105_57: automatically terminate user session after period of time
MLSR302_276: ensure secrets used for session binding are timed out and not accepted after specified time</t>
  </si>
  <si>
    <t>MLSR050_64: terminate user session after defined condition
MLSR043_81: automatically terminate or lock authorized user sessions after a pre-set period of time</t>
  </si>
  <si>
    <t>ISO/IEC 27002 9.4.2_x000D_
ISO/IEC 27002 11.2.8_x000D_
IEC TIR80001-2-2 5.1</t>
  </si>
  <si>
    <t>NIST SP 800-53 R4 AC-12_x000D_
NIST SP 800-63B 7_x000D_
NIST SP 800-171 R1 Sec Req</t>
  </si>
  <si>
    <t>Develop feature in system to uniquely identify users and control authentication</t>
  </si>
  <si>
    <t>MLSR049_1053: uniquely identify and authenticate non-organizational users
MLSR049_954: uniquely identify and authenticate organizational users
MLSR049_963: authenticate individuals with an individual authenticator, when a group authenticator is employed 
MLSR049_342: provide capability to access user actions without authentication under defined conditions
MLSR079_309: authenticate users before using requested application
MLSR079_1017: control access by appropriate method of authentication
MLSR079_1075: enforce manually entered user ID and password as minimum level of authentication
MLSR074_310: ensure access are controlled by secure log-on procedure according to access control policy
MLSR079_308: employ authentication strategy that defines method of authentication
MLSR079_312: employ authentication scheme with appropriate strength to identify remote interactive user
MLSR076_133: implement mechanisms for authenticating data source
MLSR049_2064: implement security safeguards to authenticate defined remote commands
MLSR074_743: implement authentication to ensure level of confidence each party requires in each other’s claimed identity
MLSR079_310: use strong authentication methods on system and application accounts
MLSR016_115: implement mechanism such that authentication cannot be bypassed using any procedures that uses less computation
MLSR210_155: ensure operating environment include appropriates security controls such as application whitelisting and session management
MLSR307_212: employ user authentication using password or passphrase, token device or smart card and biometric in addition to unique ID for non-consumer users and admins</t>
  </si>
  <si>
    <t>MLSR079_1047: enforce all users are authenticated before using requested application
MLSR079_1074: authenticate all users prior to use of particular application
MLSR078_268: address threats by employing authentication</t>
  </si>
  <si>
    <t>Use tools for authenticating users
 Example:
 1. Okta [Cloud, On-Premises]
 2. Azure Active Directory[Cloud]
 3. Centrify[Mobile, Cloud]
Frameworks for authentication development
-&gt;OpenID connect with OAuth 2.0</t>
  </si>
  <si>
    <t>UL 2900-1-1 8.9</t>
  </si>
  <si>
    <t>IEC 62443-2-1 4.3.3.6.2_x000D_
IEC 62443-2-1 A.3.3.5.4.1_x000D_
IEC 62443-2-1 A.3.3.6.6.1_x000D_
ISO/IEC 27002 9.4.2_x000D_
IEC 62443-2-1 4.3.3.6.1_x000D_
IEC 62443-2-1 4.3.3.6.5_x000D_
ISO/IEC 27002 14.1.2_x000D_
IEC 62443-2-1 4.3.3.6.3_x000D_
IEC 62443-2-1 A.3.3.6.5.1_x000D_
IEC/TS 62443-1-1 5.6.6</t>
  </si>
  <si>
    <t>NIST SP 800-53 R4 IA-7_x000D_
NIST SP 800-53 R4 CP-13_x000D_
NIST SP 800-53 R4 IA-2_x000D_
NIST SP 800-53 R4 AC-14_x000D_
NIST SP 800-53 R4 SI-3</t>
  </si>
  <si>
    <t>PCI DSS 8.2</t>
  </si>
  <si>
    <t>AUTO11-A2 4.3.4_x000D_
MDCG 3.6</t>
  </si>
  <si>
    <t>Develop feature to disable or suspend authenticator device</t>
  </si>
  <si>
    <t>MLSR302_154: revoke or suspend authenticator device immediately upon notification from subscriber that loss or theft of authenticator is suspected</t>
  </si>
  <si>
    <t>NIST SP 800-63B 5.2.1</t>
  </si>
  <si>
    <t>Implement physical input in single factor cryptographic device to generate authenticator</t>
  </si>
  <si>
    <t xml:space="preserve">MLSR302_134: ensure single-factor cryptographic device authenticators require physical input (e.g., the pressing of a button) in order to operate
</t>
  </si>
  <si>
    <t>NIST SP 800-63B 5.1.7.1</t>
  </si>
  <si>
    <t>Develop feature in system to control authentication for devices, services and networks</t>
  </si>
  <si>
    <t xml:space="preserve">MLSR049_266: uniquely identify and authenticate source and destination points
MLSR049_981: uniquely identify and authenticate devices before establishing connections
MLSR049_983: authenticate devices before establishing connections using bidirectional authentication
MLSR049_988: ensure that device identification and authentication based on attestation is handled
MLSR079_1044: authenticate task-to-task communications between devices by checking IP and MAC address
MLSR065_129: enable mutual authentication when API commands are sent through management interface
MLSR080_261: use CHAP for remote users, routers, and network access servers to provide authentication
MLSR088_106: implement node authentication according to industry standards
MLSR055_308: ensure to authenticate service using HTTPS credentials registered
MLSR105_66: implement mutual authentication for all external connections initiated over trusted channels
MLSR079_316: employ appropriate authentication schemes for task-to-task communication
MLSR088_108: implement authentication when providing access to health data and to control access to devices, network resources
MLSR074_714: implement stronger levels of authentication controlling access from publicly accessible networks
MLSR079_1070: employ mechanism to authenticate each device or network
MLSR105_65: use cryptographically strong authentication to authenticate personnel, messages, commands, communication pathways
MLSR043_150: support node authentication for stand-alone and central administration
MLSR017_89: use whitelisting for authentication to avoid new hazards
MLSR049_1066: authenticate system services using security safeguards such as information or code signing, provenance graphs, electronic signatures
MLSR105_63: use authentication to prevent unauthorized software execution
MLSR302_159: accept only authentication requests that come from a white list of IP addresses
MLSR203_78: implement authentication mechanism for modifying configuration in product
</t>
  </si>
  <si>
    <t>MLSR079_1076: authenticate task-to-task communication for device by knowing IP and MAC address
MLSR043_151: support for node authentication according industry standards</t>
  </si>
  <si>
    <t xml:space="preserve">Use protocols to identify/ authenticate devices on local and wide area networks.
Example:
-&gt;MAC or TCP/IP addresses
-&gt;Radius server with EAP-TLS
-&gt;Kerberos </t>
  </si>
  <si>
    <t>UL 2900-2-1 12.4.3.16</t>
  </si>
  <si>
    <t>IEC 62443-2-1 A.3.3.6.4_x000D_
IEC/TR 62443-3-1 5.4.6_x000D_
IEC TR80001-2-8 4.12_x000D_
IEC 27032 12.2_x000D_
IEC 62443-2-1 4.3.3.6.9_x000D_
IEC TR80001-2-8 4.13_x000D_
ISO/IEC 27002 13.2.3_x000D_
IEC 62443-2-1 A.3.3.6.5.4_x000D_
IEC TIR80001-2-2 5.11_x000D_
IEC 62443-2-1 A.3.3.6.6.1</t>
  </si>
  <si>
    <t>NIST SP 800-53 R4 AC-4_x000D_
NIST SP 800-53 R4 IA-2_x000D_
NIST SP 800-53 R4 IA-3_x000D_
NIST SP 800-53 R4 IA-8_x000D_
NIST SP 800-63B 5.2.2</t>
  </si>
  <si>
    <t>ENISA - Cloud 6.4.8.3_x000D_
CSR-NET 3.2</t>
  </si>
  <si>
    <t>Develop feature in system to re-authenticate users and devices when session is terminated</t>
  </si>
  <si>
    <t>MLSR049_1076: enforce users and devices to re-authenticate when situations require re-authentication
MLSR079_1063: enforce re-authentication for remote user after defined period of inactivity
MLSR076_88: implement authentication mechanism when unlocking existing user session
MLSR016_113: enable renewed authentication when communication session is lost or terminated over remote interface
MLSR302_293: ensure session secrets are not retained across restart of associated application or reboot of host device
MLSR302_294: ensure periodic reauthentication of sessions are performed
MLSR302_296: ensure user establishes new session by authenticating again, when a session is terminated due to a time-out
MLSR302_300: specify maximum acceptable authentication age and reauthenticate subscriber, if not authenticated within specified time period
MLSR307_211: enforce user to re-authenticate to re-activate terminal or session if it has been idle for more than 15 minutes</t>
  </si>
  <si>
    <t>MLSR079_315: re-authenticate remote user after defined period of inactivity</t>
  </si>
  <si>
    <t>UL 2900-1-1 8.8</t>
  </si>
  <si>
    <t>IEC 62443-2-1 A.3.3.6.5.3_x000D_
IEC 62443-2-1 4.3.3.6.8</t>
  </si>
  <si>
    <t>NIST SP 800-53 R4 IA-10_x000D_
NIST SP 800-63B 7.1.3_x000D_
NIST SP 800-63B 7.2.1</t>
  </si>
  <si>
    <t>PCI DSS 8.1.8</t>
  </si>
  <si>
    <t>AUTO11-A2 4.1.3</t>
  </si>
  <si>
    <t>Develop features in system using approved authentication protocols</t>
  </si>
  <si>
    <t>MLSR049_1049: implement authentication to cryptographic module that meets federal laws
MLSR049_1061: conform to FICAM-issued profiles of approved FICAM authentication protocols
MLSR065_124: allow federated identity management infrastructure interoperable both for high assurance such as OTP systems and low assurance such as username and password 
MLSR065_130:  support federated mechanism for authentication
MLSR092_119: implement secured authentication mechanism as per NIST electronic authentication guidelines</t>
  </si>
  <si>
    <t>Use approved FICAM authentication protocols 
Example:
-&gt;SAML 2.0 
-&gt;OpenID 2.0</t>
  </si>
  <si>
    <t>NIST SP 800-53 R4 IA-6_x000D_
NIST SP 800-53 R4 IA-8</t>
  </si>
  <si>
    <t>ENISA - Cloud 6.4.8.1_x000D_
ENISA - Cloud 6.4.8.3_x000D_
ANSM’S GUIDELINE 1</t>
  </si>
  <si>
    <t>Develop feature to manage biometric authentication</t>
  </si>
  <si>
    <t>MLSR302_167: implement PAD technologies to mitigate risk of presentation attacks in biometric device
MLSR049_1038: ensure biometric-based authentication satisfy biometric quality requirements such as acceptable crossover rates to ensure accuracy of biometric
MLSR302_169: ensure that biometrics are used only as part of multi-factor authentication with a physical authenticator 
MLSR302_170_1: ensure biometric sensor or endpoint is authenticated prior to capturing biometric sample from claimant
MLSR302_171: ensure that biometric system shall operate with an FMR (false matching rate) of 1 in 1000 or better
MLSR302_174: biometric system prohibit to allow more than 5 consecutive failed authentication attempts or 10 consecutive failed attempts if PAD is implemented
MLSR302_174_1:impose delay of at least 30 seconds on biometric system before next attempt, increasing exponentially with each successive attempt
MLSR302_174_2: disable biometric user authentication when failed attempts exceed limits and offer another factor such as different biometric modality or PIN/ Passcode
MLSR302_179:  ensure biometric comparison is preferred to be performed locally on claimant’s device than at a central verifier
MLSR302_180: ensure use of biometric as authentication factor is limited to specific devices that are using approved cryptography if comparison is performed centrally
MLSR302_181:implement biometric revocation, if biometric comparison is performed centrally</t>
  </si>
  <si>
    <t>NIST SP 800-63B 5.2.3_x000D_
NIST SP 800-53 R4 IA-5</t>
  </si>
  <si>
    <t>Develop feature in system to implement multifactor authentication (MFA) for users</t>
  </si>
  <si>
    <t>MLSR049_957: implement MFA for network access to privileged accounts
MLSR049_959: implement MFA for network access to non-privileged accounts
MLSR049_960: implement MFA for local access to privileged accounts
MLSR049_962: implement MFA for local access to non-privileged accounts.
MLSR049_965: implement MFA for network access to privileged accounts with one factor provided by device separate from system gaining access
MLSR049_967: implement MFA for network access to non-privileged accounts with one factor provided by device separate from system gaining access
MLSR049_974:  implement MFA for remote access to privileged and non-privileged accounts
MLSR049_1072: employ supplemental authentication techniques under specific circumstances 
MLSR065_120: implement two factor authentication to manage critical components
MLSR076_98: use two-factor authentication to establish user session
MLSR050_139: enforce MFA to establish nonlocal maintenance sessions via external network connections
MLSR080_242: enforce challenge/response or two-factor authentication for high risk environments
MLSR080_267:  enforce dual factor authentication when physical token authentication is used
MLSR080_323: use location/geography as additional factor to existing authentication
MLSR092_116: use MFA for secured login and sensitive data update
MLSR055_345: use two or more additional factors of identity verification over and above user ID and password
MLSR037_348:  implement two factor authentication to authenticate health information system users
MLSR105_59: use MFA to permit privileged access to administrators, technicians, maintenance personnel
MLSR092_117:  implement additional factors such as physical media, fingerprint for multi-factor authentication
MLSR049_1034: employ smartcard authentication techniques wherein identity and authenticator are bound together
MLSR079_1067: enforce strong authentication using physical token or smart card (two factor authentication)
MLSR065_42: ensure provider mandate physical token based 2-factor authentication for client access
MLSR080_283: use smart card authentication to support building access
MLSR310_24: implement MFA to prevent credential stuffing, brute force, and stolen credential reuse attacks
MLSR302_148: ensure each authentication operation using Multi-Factor cryptographic device authenticator requires input of additional factor via direct input on device or hardware connection
MLSR302_157: ensure claimant completes CAPTCHA before attempting authentication
MLSR302_224: ensure binding of multi-factor authenticators uses multi-factor authentication to bind authenticator
MLSR307_222: secure all individual non-console administrative access and all remote access to cardholder data environment using MFA
MLSR307_223: incorporate MFA for all non-console access into cardholder data environment for personnel with administrative access
MLSR307_224: incorporate MFA for all remote network access originating from outside entity’s network</t>
  </si>
  <si>
    <t>MLSR050_115: use multifactor authentication for local and network access to privileged and non-privileged accounts
MLSR102_222: implement multi-factor authentication</t>
  </si>
  <si>
    <t>Use MFA tools to authenticate users 
Example:
-&gt;Azure MFA
[Microsoft Authenticator app, OATH Hardware token, SMS, Voice call]
-&gt;Okta MFA               
[Security question, Password, SMS, Voice and Email OTP, Software OTP, Okta Verify Push, Biometrics]</t>
  </si>
  <si>
    <t>IEC/TR 62443-3-1 5.3.7_x000D_
IEC/TR 62443-3-1 5.5.1_x000D_
IEC/TR 62443-3-1 5.8.1_x000D_
IEC 27032 12.5.5_x000D_
ISO 27799 9.4.1_x000D_
IEC 62443-2-1 A.3.3.6.5.3_x000D_
IEC/TR 62443-3-1 5.6.1</t>
  </si>
  <si>
    <t>NIST SP 800-53 R4 IA-2_x000D_
NIST SP 800-53 R4 IA-9_x000D_
NIST SP 800-171 R1 Sec Req_x000D_
NIST SP 800-53 R4 IA-5_x000D_
NIST SP 800-63B 5.1.9.1_x000D_
NIST SP 800-63B 5.2.2_x000D_
NIST SP 800-63B 5.2.10</t>
  </si>
  <si>
    <t>PCI DSS 8.3_x000D_
PCI DSS 8.3.1_x000D_
PCI DSS 8.3.2</t>
  </si>
  <si>
    <t>ENISA - Cloud 6.4.6_x000D_
AUTO11-A2 4.1.4_x000D_
ANSM’S GUIDELINE 1_x000D_
ENISA - Cloud 5.1_x000D_
AS-TGA TGA</t>
  </si>
  <si>
    <t>Implement replay-resistant authentication mechanism for network access</t>
  </si>
  <si>
    <t>MLSR049_968: implement replay-resistant authentication mechanisms for network access to privileged accounts
MLSR049_970: implement replay-resistant authentication mechanisms for network access to non-privileged accounts</t>
  </si>
  <si>
    <t>MLSR050_116: employ replay-resistant authentication for network access</t>
  </si>
  <si>
    <t>Use protocols that use nonces or challenges such as TLS and time synchronous or challenge-response one-time authenticators.</t>
  </si>
  <si>
    <t>NIST SP 800-53 R4 IA-2_x000D_
NIST SP 800-171 R1 Sec Req</t>
  </si>
  <si>
    <t>Develop single sign-on feature for accessing multiple apps</t>
  </si>
  <si>
    <t>MLSR049_972: provide single sign-on capability for information system accounts and services
MLSR065_126: ensure cloud provider incorporates single sign-on capabilities 
MLSR088_109: implement single sign-on mechanism with same password on all work spots
MLSR049_1030:  implement single sign-on to manage risk of compromise due to individuals having accounts on multiple information systems</t>
  </si>
  <si>
    <t xml:space="preserve">Use single sign-on tools for accessing multiple applications
Example:
-&gt;Azure SSO
-&gt;Okta SSO
</t>
  </si>
  <si>
    <t>IEC TR80001-2-8 4.13</t>
  </si>
  <si>
    <t>NIST SP 800-53 R4 IA-2_x000D_
NIST SP 800-53 R4 IA-5</t>
  </si>
  <si>
    <t>ENISA - Cloud 6.4.8.1</t>
  </si>
  <si>
    <t>Implement out-of-band secure authentication for devices and users</t>
  </si>
  <si>
    <t xml:space="preserve">MLSR049_978: implement OOB authentication when two separate communication paths are required, one to identify and authenticate users and other to verify authentication 
MLSR302_91: ensure authentication that uniquely identifies device, when secret is sent to OOB device via PSTN
MLSR302_104: verify that pre-registered telephone number being used is associated with specific physical device, if out-of-band verification is to be made using PSTN
MLSR302_381: notify users of receipt of secret on locked device and if OOB device is locked, enforce authentication to access secret
</t>
  </si>
  <si>
    <t>NIST SP 800-53 R4 IA-2_x000D_
NIST SP 800-63B 5.1.3.1_x000D_
NIST SP 800-63B 5.1.3.3_x000D_
NIST SP 800-63B 10.2.3</t>
  </si>
  <si>
    <t>Implement PKI based authentication for users and devices</t>
  </si>
  <si>
    <t xml:space="preserve">MLSR049_1019:  implement PKI-based authentication and ensure to validate certifications by constructing and verifying a certification path to an accepted trust anchor
MLSR049_1036: employ hardware token-based authentication using PKI-based token
MLSR049_1041: employ PKI-based authentication for managing PKI trust stores, installed across all platforms including networks, OS, browsers and applications
MLSR311_65: ensure microservices APIs with access to sensitive data, use authentication tokens that are digitally signed or verified with authoritative source
</t>
  </si>
  <si>
    <t xml:space="preserve">Use PKI/SSL certificate to authenticate users
Example:
-&gt;OpenSSL
-&gt;Comodo
-&gt;DigiCert
-&gt;Globalsign
</t>
  </si>
  <si>
    <t>NIST SP 800-53 R4 IA-5_x000D_
NIST SP 800-204 4.1</t>
  </si>
  <si>
    <t>Implement encryption to protect confidentiality of data at rest</t>
  </si>
  <si>
    <t>MLSR050_205: protect confidentiality of CUI at rest
MLSR102_225: enforce to encrypt device data both at rest and in transit
MLSR203_58: ensure user credentials are stored as encrypted rather than plain text
MLSR088_126: encrypt health data stored on medical device
MLSR043_325: ensure accidental power-down does not affect encryption of health data on mass storage device
MLSR043_325: ensure in no circumstance of operation, unencrypted health data becomes accessible on storage device
MLSR049_1925: protect the confidentiality, integrity of information at rest like information stored in storage devices
MLSR074_336: store password files separately from application system data
MLSR092_136: implement partitioning between graphical interface and critical data from rest of network</t>
  </si>
  <si>
    <t>Use encryption tools to encrypt data at rest
Example - File system:
-&gt;BitLocker
-&gt;DiskCryptor
Example - Database:
-&gt; SQL server TDE [Enterprise]
-&gt; DbDefense for Microsoft SQL</t>
  </si>
  <si>
    <t>IEC TR80001-2-8 4.18_x000D_
IEC TIR80001-2-2 A.3_x000D_
ISO/IEC 27002 9.4.3</t>
  </si>
  <si>
    <t>NIST SP 800-171 R1 Sec Req_x000D_
NIST SP 800-53 R4 SC-27</t>
  </si>
  <si>
    <t>AS-TGA TGA_x000D_
CSR-NET 3.1_x000D_
ANSM’S GUIDELINE 1</t>
  </si>
  <si>
    <t>Develop feature in system to protect information and maintain confidentiality during transmission</t>
  </si>
  <si>
    <t>MLSR049_260: decompose information into policy-relevant subcomponents when transferring information between different security domains 
MLSR049_263: prohibit transfer of unsanctioned information(malicious code)
MLSR049_261: implement security policy filters when transferring information between security domains
MLSR049_270: apply security policy filtering to metadata when transferring information
MLSR049_274: separate flow of information by logical or physical mechanisms
MLSR049_459: transmit access authorization information to information systems using security safeguards
MLSR076_222: prohibit violation of legal constraints on data transmission when using third party cloud provider
MLSR074_709: ensure information involved in electronic messaging is appropriately protected
MLSR074_711: ensure correct addressing and transportation of message
MLSR074_742: ensure information passing over public networks are protected from fraudulent activity
MLSR074_761: ensure information involved in application service transactions is protected
MLSR092_143: implement sequence number, time-stamping, time-out, source and destination identifiers to prevent replay attack in safety-related communications
MLSR221_60: implement information security for transmitting personal data to prevent accidental events
MLSR049_1815: protect confidentiality and integrity of transmitted information
MLSR049_1819: maintain confidentiality and integrity of information during packing /unpacking
MLSR076_232: reduce misuse of connection by maintaining integrity and confidentiality of transmission
MLSR088_130: maintain confidentiality of health data during transmission between authenticated nodes
MLSR078_197: ensure confidentiality of data on selected communication channels to protect against eavesdropping
MLSR065_113: ensure cloud system encrypts data in transit
MLSR105_76: securely transfer data by data encryption and end point authentication
MLSR208_69: transfer data securely to and from device to prevent unauthorized access or modification
MLSR076_122: use approved standards to encrypt payloads[e.g. AES]
MLSR049_1823: implement cryptographic mechanisms to conceal or randomize communication patterns
MLSR105_78: use NIST recommended standards or equivalent-strength cryptographic protection for communication channels</t>
  </si>
  <si>
    <t>MLSR208_71: implement encryption when data is stored and transferred</t>
  </si>
  <si>
    <t>1.Use TLS/HTTPS encrypted channel to secure data in transit.
2. Use encryption algorithm to encrypt data 
Example:
-&gt; AES
-&gt; Triple-DES</t>
  </si>
  <si>
    <t>ISO/IEC 27002 13.2.3_x000D_
ISO/IEC 27002 14.1.2_x000D_
ISO/IEC 27002 14.1.3_x000D_
IEC TR80001-2-8 4.19_x000D_
IEC/TS 62443-1-1 5.3</t>
  </si>
  <si>
    <t>NIST SP 800-53 R4 AC-4_x000D_
NIST SP 800-53 R4 AC-23_x000D_
NIST SP 800-53 R4 SC-7_x000D_
NIST SP 800-53 R4 SC-8</t>
  </si>
  <si>
    <t>AUTO11-A2 4.7.5_x000D_
ANSM’S GUIDELINE 1_x000D_
GDPR Legislative acts_x000D_
AUTO11-A2 4.8.1_x000D_
ENISA - Cloud 6.4.5_x000D_
IMDRF 5.1_x000D_
AUTO11-A2 4.3.1</t>
  </si>
  <si>
    <t>Implement encryption to protect confidentiality of data at rest on mobile device</t>
  </si>
  <si>
    <t xml:space="preserve">MLSR305_63: implement strong encryption for stored data on built-in storage
MLSR305_64: implement strong encryption for stored data on removable storage
</t>
  </si>
  <si>
    <t>MLSR312_79: enforce to encrypt stored data on built-in storage</t>
  </si>
  <si>
    <t>Use MDM Tools to create policy setting and enforce encryption.
Example:
-&gt;Intune</t>
  </si>
  <si>
    <t>NIST SP 1800-4 4.3.1_x000D_
NIST SP 800-124 R2 4.2.1.3</t>
  </si>
  <si>
    <t>Implement encryption and data isolation mechanism to protect data at rest in cloud</t>
  </si>
  <si>
    <t>MLSR076_209: ensure data stored in cloud are isolated from other data
MLSR065_73:  implement strong isolation level for VMs, physical machines, network and storage for cloud hosted systems
MLSR065_114: ensure cloud system encrypts data at rest
MLSR065_115: ensure cloud system encrypts data in processor or memory
MLSR065_103: ensure cloud provider implements data storage and protection controls to user directory and manages access to it</t>
  </si>
  <si>
    <t>AUTO11-A2 4.7.2_x000D_
ENISA - Cloud 6.3.3_x000D_
ENISA - Cloud 6.4.5_x000D_
ENISA - Cloud 6.4.3</t>
  </si>
  <si>
    <t>Implement mechanisms to ensure availability of resources by allocating adequate capacity</t>
  </si>
  <si>
    <t>MLSR049_1760: manage excess capacity, bandwidth to limit effects of information flooding denial of service attacks [Medical Facility]
MLSR049_1765: protect availability of resources by allocating resources based on priority, quota
MLSR074_539: manage capacity demand by deleting of obsolete data 
MLSR074_539: manage capacity demand by decommissioning of applications, systems, databases or environments
MLSR074_539: manage capacity demand by optimizing batch processes and schedules
MLSR074_539: manage capacity demand by optimizing application logic or database queries
MLSR074_539: manage capacity demand by denying or restricting bandwidth for resource-hungry services
MLSR074_712: ensure reliability and availability of service
MLSR092_153: have capability to ensure availability of critical functions when security is compromised</t>
  </si>
  <si>
    <t>ISO/IEC 27002 12.1.3_x000D_
ISO/IEC 27002 13.2.3</t>
  </si>
  <si>
    <t>NIST SP 800-53 R4 SC-5</t>
  </si>
  <si>
    <t>ANSM’S GUIDELINE 1</t>
  </si>
  <si>
    <t>Implement mechanisms in system to protect against leakage of data</t>
  </si>
  <si>
    <t xml:space="preserve">MLSR049_217: prohibit to send information outside established system boundary
MLSR049_437: prohibit non-organizationally owned systems to process organizational information
MLSR049_443: employ automated mechanism to assist users in making information sharing/collaboration decisions
MLSR049_445: enforce information-sharing decisions by authorized users
MLSR049_446: implement information search and retrieval services to restrict information sharing
MLSR049_1028: ensure unencrypted static authenticators are not embedded in applications
MLSR049_1045: obscure feedback of authentication information
MLSR049_2013: ensure data collected by sensors is reported to authorized individuals
MLSR049_2015: ensure data collected by sensors is only used for authorized purposes
MLSR049_1965: employ system components with no writeable storage that is persistent across component restart or power on/off
MLSR074_313: prohibit to display identifiers until log-on process are completed
MLSR074_315: prohibit to provide help messages during log-on procedure
MLSR074_763: ensure user's secret authentication information is verified and privacy associated with all parties is retained
MLSR105_98: implement features that protect critical functionality and data, even when device’s cybersecurity is compromised
MLSR049_243: enforce limitations on embedding data types within other data types
MLSR049_452: employ data mining prevention and detection techniques for data storage objects
MLSR310_6: use safe API to mitigate injection attacks
MLSR310_9:  use LIMIT within queries to prevent mass disclosure of records in case of SQL injection
MLSR310_30_1: prohibit to use session IDs in URL, securely store and invalidate after logout, idle and absolute timeouts
MLSR310_79: invalidate JWT tokens on server after logout
MLSR310_97: separate untrusted data from active browser content by using frameworks that automatically escape XSS by design
MLSR310_98 : implement escaping untrusted HTTP request data based on context in HTML output 
MLSR310_99 : implement context sensitive encoding when modifying browser document on client side
MLSR310_100: enable content security policy as a defense in depth mitigating control against XSS
MLSR055_379: adopt suitable file sharing tools, instant messenger, and online discussion forum tools that meets security, effectiveness, efficiency, and reliability needs
</t>
  </si>
  <si>
    <t>MLSR050_123: obscure feedback of authentication information</t>
  </si>
  <si>
    <t>ISO/IEC 27002 9.4.2_x000D_
ISO/IEC 27002 14.1.3_x000D_
IEC 27032 13.5.5</t>
  </si>
  <si>
    <t>NIST SP 800-53 R4 AC-3_x000D_
NIST SP 800-53 R4 AC-20_x000D_
NIST SP 800-53 R4 AC-21_x000D_
NIST SP 800-53 R4 IA-5_x000D_
NIST SP 800-53 R4 SC-41_x000D_
NIST SP 800-53 R4 SC-42_x000D_
NIST SP 800-53 R4 SC-34_x000D_
NIST SP 800-53 R4 AC-4_x000D_
NIST SP 800-171 R1 Sec Req</t>
  </si>
  <si>
    <t>OWASP Top 10 2017 A1:2017_x000D_
OWASP Top 10 2017 A2:2017_x000D_
OWASP Top 10 2017 A5:2017_x000D_
OWASP Top 10 2017 A7:2017</t>
  </si>
  <si>
    <t>Implement mechanism to prevent leakage of cardholder data</t>
  </si>
  <si>
    <t xml:space="preserve">MLSR307_71: limit cardholder data storage amount and retention time as required for legal, regulatory, and/or business requirements
MLSR307_72: prohibit to store sensitive authentication data after authorization, even if encrypted
MLSR307_85: prohibit to store card verification code or value after authorization
MLSR307_86: prohibit to store PIN or encrypted PIN block after authorization
</t>
  </si>
  <si>
    <t>PCI DSS 3.1_x000D_
PCI DSS 3.2_x000D_
PCI DSS 3.2.2_x000D_
PCI DSS 3.2.3</t>
  </si>
  <si>
    <t>Implement mechanism to prevent information disclosure of sensitive data</t>
  </si>
  <si>
    <t>MLSR049_622: monitor open source sites to determine if information is disclosed in unauthorized manner
MLSR049_624: employ mechanisms to determine if information is disclosed in an unauthorized manner
MLSR074_748: include protection mechanism for confidential information
MLSR049_626: review open source information sites being monitored periodically
MLSR049_1930: remove organizational information from online storage and store off-line securely
MLSR050_75: control CUI posted or processed on publicly accessible systems
MLSR074_551: ensure sensitive data is not copied into testing system environment
MLSR016_122: ensure confidentiality of all sensitive and personally identifiable data information generated, stored, used or communicated
MLSR310_43: prohibit to store sensitive data unnecessarily and discard when not required
MLSR310_47: disable caching for responses that contain sensitive data
MLSR074_765: ensure storage of transaction details is not directly accessible from internet
MLSR088_72: secure audit data containing personal information</t>
  </si>
  <si>
    <t>UL 2900-1-1 10.1</t>
  </si>
  <si>
    <t>ISO/IEC 27002 14.1.2_x000D_
ISO/IEC 27002 12.1.4_x000D_
ISO/IEC 27002 14.1.3_x000D_
IEC TR80001-2-8 4.3</t>
  </si>
  <si>
    <t>NIST SP 800-53 R4 AU-12_x000D_
NIST SP 800-53 R4 AU-13_x000D_
NIST SP 800-53 R4 SC-28_x000D_
NIST SP 800-171 R1 Sec Req</t>
  </si>
  <si>
    <t>OWASP Top 10 2017 A3:2017</t>
  </si>
  <si>
    <t>Develop feature in system to control information flow to prevent data leaks</t>
  </si>
  <si>
    <t>MLSR049_245: enforce information flow control based on defined metadata
MLSR049_248: enforce one-way information flow using hardware mechanisms
MLSR049_249: enforce information flow control using security policy filters as basis for control decisions</t>
  </si>
  <si>
    <t>NIST SP 800-53 R4 AC-4</t>
  </si>
  <si>
    <t>Develop feature in system to validate inputs to prevent data leaks</t>
  </si>
  <si>
    <t>MLSR049_2176: check validity of system inputs like character set, length, numerical range, format and content 
MLSR049_2178: provide manual override capability for input validation of inputs
MLSR049_2184: ensure predictable behavior when invalid inputs are received
MLSR049_2186: enforce timing interactions to determine appropriate responses for invalid inputs
MLSR049_2188: restrict use of information inputs to trusted sources and formats, by applying concept of whitelisting to inputs
MLSR049_2182: ensure input validation errors are reviewed and resolved within specified time period
MLSR076_321: validate input both on client side and server side
MLSR074_316: validate log-on information only on completion of all input data and prohibit to indicate which part of data is incorrect
MLSR203_56: validate parameters on client side and on server side as well
MLSR203_41: implement validation on interfaces to detect unexpected signals received
MLSR203_51: ensure all interfaces to devices are secured with sufficient input validation
MLSR310_7: use positive or "whitelist" server side input validation to avoid injection attack
MLSR310_8: use escape special characters for dynamic queries using specific escape syntax for interpreter 
MLSR310_61: implement whitelisted server-side input validation, filtering to prevent hostile data within XML document
MLSR310_62: ensure XML or XSL file upload functionality validates incoming XML using XSD validation
MLSR307_171: prevent injection flaws by validating all input data before being sent to application</t>
  </si>
  <si>
    <t>NIST SP 800-53 R4 SI-8_x000D_
NIST SP 800-53 R4 SI-10</t>
  </si>
  <si>
    <t>PCI DSS 6.5.1</t>
  </si>
  <si>
    <t>OWASP Top 10 2017 A1:2017_x000D_
OWASP Top 10 2017 A4:2017</t>
  </si>
  <si>
    <t>Develop feature in system to display error messages or hint, without revealing sensitive information</t>
  </si>
  <si>
    <t>MLSR049_2191: generate error messages without revealing information that could be exploited
MLSR203_59: enforce to show generic error messages without revealing specific details of errors
MLSR016_98: ensure authentication error messages shall not enumerate any valid credentials
MLSR310_28: ensure registration, credential recovery, and API pathways are hardened against account enumeration attacks
MLSR302_60: prohibit to prompt subscribers to use specific types of information when choosing memorized secrets
MLSR302_92: ensure secret sent to out-of-band device prohibits display of authentication secret when device is locked by owner
MLSR307_175: address improper error handling by returning generic rather than specific error details</t>
  </si>
  <si>
    <t>NIST SP 800-53 R4 SI-10_x000D_
NIST SP 800-63B 5.1.1.2_x000D_
NIST SP 800-63B 5.1.3.1</t>
  </si>
  <si>
    <t>PCI DSS 6.5.5</t>
  </si>
  <si>
    <t>Develop feature in system to protect passwords/  memorized secrets</t>
  </si>
  <si>
    <t>MLSR049_1570: implement integrity verification of software and firmware components using one-way hashes
MLSR310_48: store passwords using strong adaptive and salted hashing functions with a work factor such as PBKDF2
MLSR302_70: ensure memorized secrets is salted and hashed using a suitable one-way key derivation function such as PBKDF2 and BALLOON
MLSR302_71: ensure salt is at least 32 bits in length and chosen arbitrarily to minimize salt value collisions among stored hashes
MLSR302_71: ensure both salt value and resulting hash is stored using memorized secret authenticator
MLSR302_72: ensure iteration count of one-way hash function is as large as verification server performance will allow, typically at least 10,000 iterations
MLSR302_73: generate salt value by an approved random bit generator and store secret salt value separately from hashed memorized secrets
MLSR302_79: store look-up secrets with at least 112 bits of entropy hashed with an approved one-way hash function
MLSR307_213: use strong cryptography to render all authentication credentials unreadable during transmission and storage on all system components
MLSR065_116: ensure cloud system encrypts user name and password</t>
  </si>
  <si>
    <t>Use hashing algorithms for password hashing.
Example:
-&gt; Argon2id
-&gt; PBKDF2(recommended by NIST)
-&gt; Bcrypt</t>
  </si>
  <si>
    <t>NIST SP 800-53 R4 RA-5_x000D_
NIST SP 800-63B 5.1.1.2_x000D_
NIST SP 800-63B 5.1.2.2</t>
  </si>
  <si>
    <t>PCI DSS 8.2.1</t>
  </si>
  <si>
    <t>ENISA - Cloud 6.4.5</t>
  </si>
  <si>
    <t>Develop feature in system to implement cryptography to protect integrity of data and as per recommended standards</t>
  </si>
  <si>
    <t xml:space="preserve">MLSR049_585: implement cryptographic mechanisms to protect integrity of audit information
MLSR049_1842: implement cryptography in accordance with applicable policies, regulations, and standards
MLSR049_1928: implement cryptographic mechanisms to prevent unauthorized modification of information
MLSR049_1821: implement cryptographic mechanisms to protect message headers/routing information
MLSR049_2143:  implement cryptographic mechanisms to detect unauthorized changes
MLSR074_1041: have cryptographic controls compliance with relevant agreements, legislation and regulations
MLSR088_74: have appropriate security controls to protect audit data that contains personal/health data
MLSR103_53: implement strong encryption for data stored, transferred to or from device 
MLSR092_210: implement cryptography for data transferred from device
MLSR037_371: implement cryptography to protect confidentiality, authenticity and integrity of information
MLSR092_125: implement cryptographic mechanisms to authenticate software/firmware prior to installation
MLSR050_122: store and transmit only cryptographically-protected passwords
MLSR016_97: use cryptographically secure mechanism to store and transmit credential
MLSR050_200: employ FIPS-validated cryptography to protect confidentiality of CUI
MLSR080_485: ensure to use only units certified to comply with FIPS 140-2 for cryptographic systems
MLSR203_48: use accepted algorithms and standard cryptographic procedures
MLSR203_49: ensure BSI Technical guideline TR-02102 is met during cryptographic implementation
MLSR310_45: ensure up-to-date, strong standard algorithms and keys are in place with proper key management
MLSR302_113: use approved cryptography to generate or obtain secrets required to duplicate OTP authenticator output
MLSR302_190: use approved cryptographic algorithms to establish verifier impersonation resistance with keys of minimum security strength (112 bits)
MLSR302_267: ensure possession of session secret is proven using a cryptographic mechanism
MLSR050_197: implement cryptographic mechanisms to prevent disclosure of CUI during transmission
MLSR080_484: protect system data through cryptography by using separate plaintext and ciphertext ports
</t>
  </si>
  <si>
    <t>MLSR102_108: enforce appropriate cyber security controls to ensure confidentiality, integrity and availability of information 
MLSR221_378:  implement security control to ensure ongoing confidentiality, integrity, availability and resilience of systems and services</t>
  </si>
  <si>
    <t>Use FIPS/ NIST approved cryptographic algorithms to protect data integrity.
Example
-&gt; AES (Symmetric)
-&gt; Triple-DES  (Symmetric)
-&gt; ECDSA  (Asymmetric)
-&gt; RSA (Asymmetric)</t>
  </si>
  <si>
    <t>ISO/IEC 27002 18.1.5_x000D_
IEC TR80001-2-8 4.3_x000D_
ISO 27799 10.1_x000D_
IEC/TR 62443-3-1 7.2.7</t>
  </si>
  <si>
    <t>NIST SP 800-53 R4 AU-9_x000D_
NIST SP 800-53 R4 SC-12_x000D_
NIST SP 800-53 R4 SC-28_x000D_
NIST SP 800-53 R4 SC-8_x000D_
NIST SP 800-53 R4 SI-7_x000D_
NIST SP 800-171 R1 Sec Req_x000D_
NIST SP 800-63B 5.1.4.2_x000D_
NIST SP 800-63B 5.2.5_x000D_
NIST SP 800-63B 7</t>
  </si>
  <si>
    <t>CAN-PMR Table 1</t>
  </si>
  <si>
    <t>ANSM’S GUIDELINE 5_x000D_
ANSM’S GUIDELINE 1_x000D_
CSR-NET 3.1_x000D_
AS-TGA TGA_x000D_
GDPR Article 32</t>
  </si>
  <si>
    <t>Implement cryptography to protect data on mobile device</t>
  </si>
  <si>
    <t>MLSR305_132: implement cryptographic protection for all or portions of device data storage locations
MLSR305_133: implement application-level encryption as a additional layer of cryptographic protection
MLSR305_139: use hardware security modules to provide tamper-resistance to perform cryptographic operations
MLSR050_72: encrypt CUI on mobile devices and mobile computing platforms
MLSR076_250: encrypt IVD system data in application on mobile device
MLSR049_423:implement full-device encryption or container encryption to protect confidentiality and integrity of information on mobile devices</t>
  </si>
  <si>
    <t xml:space="preserve">Use hardware with cryptographic implementation leveraging TEE.
Example:
-&gt; Android - ARM TrustZone
-&gt; Apple - Secure Enclave
</t>
  </si>
  <si>
    <t>NIST SP 1800-4 Appendix C_x000D_
NIST SP 800-171 R1 Sec Req_x000D_
NIST SP 800-53 R4 AC-19</t>
  </si>
  <si>
    <t>AUTO11-A2 4.8.3</t>
  </si>
  <si>
    <t>Employ mechanism to verify digital signatures for mobile application and OS updates</t>
  </si>
  <si>
    <t>MLSR305_76: verify digital signatures on applications to ensure applications are installed from trusted entities
MLSR305_149: ensure application and OS updates are installed from valid source by verifying digital signature
MLSR309_83: ensure MDM Agent only accept digitally signed policies and policy updates
MLSR309_87: ensure MDM Agent prohibit policies installation if policy-signing certificate is deemed invalid</t>
  </si>
  <si>
    <t xml:space="preserve">1. Use Intune to verify unsigned applications or files
2. Use mobile OS capability to verify digital signature of application and OS updates
</t>
  </si>
  <si>
    <t>NIST SP 1800-4 4.3.1_x000D_
NIST SP 1800-4 Appendix C</t>
  </si>
  <si>
    <t>NIAP EP 5.5.3</t>
  </si>
  <si>
    <t>Develop feature in system to encrypt sensitive data/images</t>
  </si>
  <si>
    <t>MLSR049_242: prevent encrypted information from bypassing content-checking mechanisms
MLSR065_111: encrypt customer system images
MLSR076_132: encrypt file system, back up certificates and store them in secure location
MLSR076_132_1: encrypt backup file or partition as well as backup data when transferred through open networks
MLSR076_132_2: identify and classify sensitive data to apply required encryption
MLSR076_132_3: use industry standard cryptographic algorithms for database encryption
MLSR092_129: encrypt file which contains sensitive information
MLSR310_44: implement encryption for all sensitive data at rest</t>
  </si>
  <si>
    <t>Use FIPS/ NIST approved algorithms for encryption.
Example - Data Encryption
-&gt; AES (Symmetric)
-&gt; RSA (Asymmetric)
Example - File Encryption
-&gt;BitLocker
-&gt;DiskCryptor
Example - Database Encryption
-&gt; SQL server TDE [Enterprise]
-&gt; DbDefense for Microsoft SQL</t>
  </si>
  <si>
    <t>ENISA - Cloud 6.4.4_x000D_
AUTO11-A2 4.3.3_x000D_
ANSM’S GUIDELINE 1</t>
  </si>
  <si>
    <t>Develop feature in system to protect and verify integrity of data/ software/ applications/ documents</t>
  </si>
  <si>
    <t>MLSR049_2138: employ centrally managed integrity verification tools
MLSR049_2131: employ integrity verification tools to detect unauthorized changes to software, firmware, and information
MLSR049_1863: validate integrity of transmitted security attributes
MLSR092_147: have capability to perform integrity check and alert authorized users if any critical impact is flagged
MLSR105_75: verify integrity for incoming data to ensure data is well-formed/compliant with expected protocol
MLSR049_2155: verify integrity of user-installed software prior to execution
MLSR049_2133: perform integrity check of software, firmware and information at defined transitional states 
MLSR049_2216: validate information output from software programs to ensure information is consistent with expected content
MLSR076_191: verify integrity of application and components
MLSR203_81: implement integrity check mechanisms for configurations of product
MLSR092_175: implement mechanism to run integrity check at startup and during updates
MLSR203_50: ensure integrity checks are in place for data 
MLSR049_1963: enforce to load and execute operating environment and applications from hardware-enforced, read-only media
MLSR049_1967: protect integrity of information prior to storage on read-only media
MLSR092_162: implement self-test mechanism at startup and during operation to check device integrity
MLSR043_138: ensure integrity of health data is not tampered for both fixed and removable media
MLSR219_38: ensure integrity of ePHI that it creates, receives, maintains, or transmits
MLSR219_39: protect against any reasonably anticipated threats and hazards to security or integrity of ePHI
MLSR219_108: protect ePHI from improper alteration or destruction
MLSR076_141: implement mechanism to ensure integrity of data transmitted
MLSR076_184: ensure integrity of data stored and processed
MLSR037_630: protect integrity of publicly available health information 
MLSR105_77: protect integrity of data necessary to ensure essential performance of device
MLSR088_99: assure integrity of health data has not been altered or destroyed in non-authorized manner
MLSR105_52:  ensure code, data and execution integrity to reduce patient harm
MLSR065_67: protect integrity of operating system and application software
MLSR074_747: ensure level of trust required in integrity of key documents</t>
  </si>
  <si>
    <t>Use FIPS/ NIST approved algorithms to verify integrity of data
Example:
-&gt;SHA-256 
-&gt;HMAC</t>
  </si>
  <si>
    <t>IEC TIR80001-2-2 5.9_x000D_
ISO 27799 14.1.3.1_x000D_
IEC TR80001-2-8 4.1 0_x000D_
ISO/IEC 27002 14.1.2</t>
  </si>
  <si>
    <t>NIST SP 800-53 R4 SI-7_x000D_
NIST SP 800-53 R4 SI-4_x000D_
NIST SP 800-53 R4 SC-16_x000D_
NIST SP 800-53 R4 SI-14_x000D_
NIST SP 800-53 R4 SC-32_x000D_
NIST SP 800-53 R4 SC-34_x000D_
NIST SP 800-66 2.1.1_x000D_
NIST SP 800-66 4.16</t>
  </si>
  <si>
    <t>ANSM’S GUIDELINE 1_x000D_
AUTO11-A2 4.5.4_x000D_
CSR-NET 3.2_x000D_
ANSM’S GUIDELINE 3_x000D_
CSR-NET 3.1_x000D_
ANSM’S GUIDELINE 2_x000D_
AUTO11-A2 4.3.6_x000D_
AUTO11-A2 4.5.3_x000D_
ENISA - Cloud 6.3.1</t>
  </si>
  <si>
    <t>Implement mechanism in system to de-identify sensitive data</t>
  </si>
  <si>
    <t>MLSR076_177: implement de-identification of user information logged in audit trail while distributing to other institutions
MLSR043_119: allow user to de-identify health data for various purposes without patient identity
MLSR221_34: implement pseudonymization/ de-identification process to personal data
MLSR049_2421: locate and remove/redact irrelevant PII and use anonymization and de-identification techniques</t>
  </si>
  <si>
    <t>Use de-identification tools to de-identify sensitive data
Example:
-&gt; ARX Data Anonymization Tool
-&gt; Approximate Minima Perturbation (AMP)</t>
  </si>
  <si>
    <t>IEC TIR80001-2-2 5.6</t>
  </si>
  <si>
    <t>NIST SP 800-53 R4 DM-1</t>
  </si>
  <si>
    <t>AUTO11-A2 4.5.1_x000D_
GDPR Legislative acts</t>
  </si>
  <si>
    <t>Implement digital signatures for software, firmware and network components</t>
  </si>
  <si>
    <t>MLSR049_763: use only approved digitally signed certificate for installation of software and firmware components
MLSR076_188: ensure software updates are digitally signed and check origin of certificate
MLSR092_197: set up secure update function to ensure authenticity and integrity for software
MLSR105_67: verify authentication tags such as signatures, MACs of software/firmware content, version numbers, metadata
MLSR105_72: allow installation of cryptographically verified firmware/software updates
MLSR105_73: use ‘whitelisting’ based on digital signatures to verify integrity of software before execution
MLSR016_129: verify authenticity and integrity of any software update cryptographically before installation
MLSR016_135: validate software updates/ software source by implementing message authentication code, digital signature and hash
MLSR055_272: implement digital code signing for binaries to determine owner of file
MLSR102_218: implement code signing for firmware updates to check integrity before installation
MLSR049_1698: employ anti-tamper techniques during multiple phases in system development life cycle
MLSR049_1621: validate that system component received is genuine and has not been altered
MLSR049_1696: implement tamper protection program for system component
MLSR049_1817: protect information integrity during transmission using digital signatures
MLSR049_1887: provide data origin and integrity protection artifacts for internal name/address resolution queries
MLSR049_1889: perform data origin authentication and data integrity verification on name/address resolution responses
MLSR076_139: validate sender and recipient of message using cryptography
MLSR076_190: ensure backup/archive data are digitally signed and check signature during retrieval
MLSR074_762: ensure to use electronic signatures in application service transaction
MLSR092_144: implement mechanisms for non-rejection and authenticity of communications
MLSR016_119: ensure integrity and authenticity of all data communicated over any remote interface
MLSR016_129: enable offline product update mode such that it supports validation of authenticity and integrity
MLSR310_106:  implement digital signature for serialized objects to prevent hostile object creation or data tampering</t>
  </si>
  <si>
    <t xml:space="preserve">MLSR203_71: implement integrity checks via signatures
</t>
  </si>
  <si>
    <t>Use NIST/FIPS approved digital signature algorithm for software and firmware
Example:
-&gt;RSA
-&gt;DSA
-&gt;ECDSA
Certificate authority
-&gt;OpenSSL
-&gt;Comodo
-&gt;DigiCert
-&gt;Globalsign</t>
  </si>
  <si>
    <t>UL 2900-1-1 11.2_x000D_
UL 2900-1-1 11.6_x000D_
UL 2900-1-1 9.1</t>
  </si>
  <si>
    <t>IEC 27032 11.4.2.2_x000D_
ISO/IEC 27002 14.1.3</t>
  </si>
  <si>
    <t>NIST SP 800-53 R4 CM-5_x000D_
NIST SP 800-53 R4 SA-18_x000D_
NIST SP 800-53 R4 SA-11_x000D_
NIST SP 800-53 R4 SA-17_x000D_
NIST SP 800-53 R4 SC-8_x000D_
NIST SP 800-53 R4 SC-20</t>
  </si>
  <si>
    <t>OWASP Top 10 2017 A8:2017</t>
  </si>
  <si>
    <t>AUTO11-A2 4.5.3_x000D_
ANSM’S GUIDELINE 4_x000D_
AS-TGA TGA_x000D_
AUTO11-A2 4.3.5_x000D_
ANSM’S GUIDELINE 1_x000D_
CSR-NET 3.1</t>
  </si>
  <si>
    <t>Develop feature in system to manage keys used by software/ device authenticators</t>
  </si>
  <si>
    <t xml:space="preserve">MLSR302_112: ensure symmetric keys used by OTP authenticators are strongly protected against compromise
MLSR302_129: ensure secret key encapsulated in cryptographic authenticators, is stored in suitable secure storage 
MLSR302_129: protect secret key encapsulated in cryptographic authenticators, by use of access controls that limit access to key to only those software components requiring access
MLSR302_133: ensure challenge nonce presented by cryptographic device authenticators are at least 64 bits in length and use approved cryptography </t>
  </si>
  <si>
    <t>NIST SP 800-63B 5.1.4.2_x000D_
NIST SP 800-63B 5.1.6.1_x000D_
NIST SP 800-63B 5.1.7.1</t>
  </si>
  <si>
    <t>Implement mechanism to secure keys used to protect cardholder data</t>
  </si>
  <si>
    <t>MLSR307_108: implement mechanism to protect keys used to secure stored cardholder data against disclosure and misuse
MLSR307_111: ensure secret and private keys is encrypted with a key-encrypting key that is at least as strong as data-encrypting key
MLSR307_111: store key-encrypting key separately from data-encrypting key
MLSR307_111_1: store secret keys within a secure cryptographic device such as HSM or PTS-approved point-of-interaction device
MLSR307_117: ensure to generate strong cryptographic keys to increase level of security of encrypted cardholder data
MLSR307_118: secure cryptographic key distribution by distributing only to custodians who have access
MLSR307_119: secure cryptographic key storage
MLSR307_120: change cryptographic keys that have reached end of their cryptoperiod 
MLSR307_121: replace/ archive/ destroy keys when integrity of key has been weakened or keys are suspected of being compromised
MLSR307_123: implement split knowledge and dual control when manual clear-text cryptographic key-management operations are used
MLSR307_125: prevent unauthorized substitution of cryptographic keys by preventing substitution from unauthorized sources
MLSR307_173: address insecure cryptographic storage by using strong cryptographic algorithms and keys</t>
  </si>
  <si>
    <t>PCI DSS 3.5_x000D_
PCI DSS 3.5.3_x000D_
PCI DSS 3.6.1_x000D_
PCI DSS 3.6.2_x000D_
PCI DSS 3.6.3_x000D_
PCI DSS 3.6.4_x000D_
PCI DSS 3.6.5_x000D_
PCI DSS 3.6.6_x000D_
PCI DSS 3.6.7_x000D_
PCI DSS 6.5.3</t>
  </si>
  <si>
    <t>Develop feature in system to prevent unauthorized access and modification of cryptographic keys</t>
  </si>
  <si>
    <t xml:space="preserve">MLSR049_1834: manage cryptographic keys including key generation, distribution, storage, access and destruction
MLSR049_1838: produce, control, and distribute symmetric cryptographic keys using NIST FIPS-compliant and NSA-approved process
MLSR049_1839: produce, control, and distribute asymmetric cryptographic keys using NSA-approved process
MLSR065_108: implement security controls for using keys to sign and encrypt data
MLSR065_109: ensure procedures are in place to handle situation when key is compromised
MLSR065_110: implement key revocation to deal with simultaneity issues for multiple sites
MLSR065_119: implement security mechanism to protect keys stored on cloud 
MLSR065_128: ensure authentication and cryptographic keys are not contained within customer system images
MLSR050_199: implement and manage cryptographic keys employed in system
MLSR074_384: ensure cryptographic keys are protected against modification and loss
MLSR080_482: ensure cryptographic keys are long enough
MLSR092_173: ensure to provide cryptographic key (One Key, One use) during installation
MLSR055_378: backup cryptographic keys along with software and hardware for emergency recovery needs
MLSR105_79: use unique per device cryptographically secure key to prevent leveraging knowledge of one key to access multitude of devices
MLSR016_125: use separate cryptographic key for each service, operation or function 
MLSR302_136: ensure both symmetric and asymmetric cryptographic keys are protected against modification
MLSR302_136: ensure symmetric keys are additionally protected against unauthorized disclosure
</t>
  </si>
  <si>
    <t>Protect cryptographic key using HSM or secure storage</t>
  </si>
  <si>
    <t>UL 2900-1-1 10.4</t>
  </si>
  <si>
    <t>ISO/IEC 27002 10.1.2_x000D_
IEC/TR 62443-3-1 7.2.7_x000D_
IEC 27032 13.5.4</t>
  </si>
  <si>
    <t>NIST SP 800-53 R4 SC-11_x000D_
NIST SP 800-53 R4 SC-12_x000D_
NIST SP 800-171 R1 Sec Req_x000D_
NIST SP 800-63B 5.1.7.2</t>
  </si>
  <si>
    <t>ENISA - Cloud 6.4.4_x000D_
ENISA - Cloud 6.4.5_x000D_
ENISA - Cloud 6.4.8.2_x000D_
ANSM’S GUIDELINE 3</t>
  </si>
  <si>
    <t>Implement mechanism to validate digital certificates, ensure authenticity and integrity</t>
  </si>
  <si>
    <t>MLSR049_1866: obtain public key certificates from an approved service provider
MLSR049_1884: enable verification of a chain of trust among parent and child domains
MLSR049_2161: implement cryptographic mechanisms to authenticate components prior to installation using approved certificates
MLSR203_80: ensure credentials and certificates are changeable for all the services used  
MLSR055_346: consider use of high assurance certificate to provide added assurance to online users
MLSR049_1905: allow use of certificate authorities for verification of protected sessions</t>
  </si>
  <si>
    <t>Use certificate only from approved certificate authority.
Certificate authority
-&gt;OpenSSL
-&gt;Comodo
-&gt;DigiCert
-&gt;Globalsign</t>
  </si>
  <si>
    <t>IEC 27032 12.5.5</t>
  </si>
  <si>
    <t>NIST SP 800-53 R4 SC-16_x000D_
NIST SP 800-53 R4 SC-18_x000D_
NIST SP 800-53 R4 SI-7_x000D_
NIST SP 800-53 R4 SC-23</t>
  </si>
  <si>
    <t>CSR-NET 3.2</t>
  </si>
  <si>
    <t>Develop feature in bluetooth device to protect integrity and confidentiality</t>
  </si>
  <si>
    <t xml:space="preserve">MLSR304_36: use P-256 Elliptic Curve for link key generation in bluetooth classic module when bluetooth (classic) version is above 4.1
MLSR304_37: use HMAC-SHA-256 and AES-CCM encryption to protect message integrity when bluetooth version is above 4.1
MLSR304_46: use ECDH public key cryptography for protection against passive eavesdropping and MITM attacks during pairing of bluetooth (classic) devices
MLSR304_63: enforce master device to set “minimum acceptable” encryption key size parameter to slave device, to prevent driving key size down to minimum of 1 byte
MLSR304_65: implement application-level FIPS-approved encryption over native Bluetooth encryption
MLSR304_70: implement security mode 4 with Service Level 4 in bluetooth(classic) to provide MITM protection and encryption 
MLSR304_74: ensure one BLE device determines LTK and securely sends it to other device during pairing instead of both devices generating same key individually
MLSR304_75:  implement low energy Secure Connections feature using FIPS approved AES-CMAC and P-256 BLE version is 4.2 or above
MLSR304_77: verify cryptographically-signed ATT data frames from bluetooth device over unencrypted links using CSRK
MLSR304_86: generate 128 bit unique random number for TK when both devices support OOB for BLE pairing
MLSR304_89:  use unique, random passkey for each BLE device pairing to provide protection across multiple pairings
MLSR304_159:  implement link encryption to secure all data transmissions during bluetooth connection
MLSR304_118: securely store link key to protect from unauthorized access
MLSR304_163: configure encryption key sizes to maximum allowable to provide protection from brute force attacks
</t>
  </si>
  <si>
    <t>NIST SP 800-121 R2 3.1_x000D_
NIST SP 800-121 R2 3.1.1.2_x000D_
NIST SP 800-121 R2 3.1.3_x000D_
NIST SP 800-121 R2 3.1.3.1_x000D_
NIST SP 800-121 R2 3.1.4_x000D_
NIST SP 800-121 R2 3.2_x000D_
NIST SP 800-121 R2 3.2.2.1_x000D_
NIST SP 800-121 R2 3.2.2.3_x000D_
NIST SP 800-121 R2 4.4_x000D_
NIST SP 800-121 R2 4.1</t>
  </si>
  <si>
    <t>Develop feature in mobile device to verify integrity of boot process</t>
  </si>
  <si>
    <t>MLSR305_147: implement boot validation to verify if device is in known working state</t>
  </si>
  <si>
    <t>Use mobile OS specific boot loader to validate booting process.
Example:
-&gt; Apple - Secure Boot Chain
-&gt; Android -  device specific boot loader</t>
  </si>
  <si>
    <t>Develop feature in system to verify integrity of boot process</t>
  </si>
  <si>
    <t>MLSR049_2149: verify integrity of boot process of devices
MLSR049_2151: verifying authenticity of all updates to boot firmware prior to applying changes
MLSR092_160: check integrity and authenticity of device's software and sensitive data at startup and during operation</t>
  </si>
  <si>
    <t xml:space="preserve">Use TPM to ensure integrity of device boot process. </t>
  </si>
  <si>
    <t>NIST SP 800-53 R4 SI-7</t>
  </si>
  <si>
    <t>ANSM’S GUIDELINE 2</t>
  </si>
  <si>
    <t>Employ mechanism to verify integrity of hardware components</t>
  </si>
  <si>
    <t xml:space="preserve">MLSR049_1574: implement integrity verification of hardware components through hard-to-copy labels, verifiable serial numbers and anti-tampering technologies
MLSR049_1969: employ hardware-based, write-protect for firmware components
MLSR049_1970: disable hardware write-protect for firmware modifications
MLSR049_2220: implement hardware-enforced protection of memory from unauthorized code execution
MLSR302_132: ensure single-factor cryptographic device authenticators encapsulate secret keys unique to device that is not be exportable or alternatively use hardware TPM
</t>
  </si>
  <si>
    <t>NIST SP 800-53 R4 SA-10_x000D_
NIST SP 800-53 R4 SC-34_x000D_
NIST SP 800-53 R4 SI-15_x000D_
NIST SP 800-63B 5.1.7.1</t>
  </si>
  <si>
    <t>Implement baseline configuration  to system components that are up-to-date</t>
  </si>
  <si>
    <t>MLSR049_720: update baseline configuration as part of component installations and upgrades
MLSR049_722: maintain up-to-date baseline configuration
MLSR049_724: retain previous versions of baseline configurations to support rollback
MLSR049_728: maintain operational baseline configuration separately from baseline configuration of development and test environments
MLSR049_731: issue system components and devices with defined configurations to individuals on travel to risk locations
MLSR050_99: establish and maintain baseline configurations throughout system development life cycle
MLSR050_100: establish and enforce security configuration settings</t>
  </si>
  <si>
    <t>NIST SP 800-53 R4 CA-9_x000D_
NIST SP 800-53 R4 CM-2_x000D_
NIST SP 800-171 R1 Sec Req</t>
  </si>
  <si>
    <t xml:space="preserve">Develop, design, update and review information security architecture for system </t>
  </si>
  <si>
    <t>MLSR049_1418: develop security architecture in line with protecting confidentiality, integrity and availability of information
MLSR049_1419: periodically review and update information security architecture
MLSR049_1422: design security architecture using defense-in-depth approach
MLSR049_1424: enforce security safeguards allocated to architectural layers are obtained from different suppliers
MLSR049_1677: produce a design specification and security architecture that completely describes required security functionality
MLSR049_1681: define security-relevant hardware, software and firmware and ensure completeness
MLSR049_1689: structure security-relevant hardware, software and firmware and implement protection with defined semantics
MLSR049_1691: structure security-relevant hardware, software, and firmware to facilitate testing
MLSR049_1693: structure security-relevant hardware, software, and firmware to facilitate controlling access with least privilege
MLSR105_94: design system to anticipate need for software patches and updates
MLSR105_95: design system to facilitate rapid verification, validation, and testing of patches and updates
MLSR105_96: design system to facilitate rapid deployment of patches and updates
MLSR310_89:  design segmented application architecture to provide secure separation between components</t>
  </si>
  <si>
    <t>NIST SP 800-53 R4 PE-11_x000D_
NIST SP 800-53 R4 PL-8_x000D_
NIST SP 800-53 R4 SA-12_x000D_
NIST SP 800-53 R4 SA-17</t>
  </si>
  <si>
    <t>OWASP Top 10 2017 A6:2017</t>
  </si>
  <si>
    <t>Develop platform-independent applications to achieve diversity of technologies</t>
  </si>
  <si>
    <t>MLSR049_1921: implement platform-independent applications that can run on multiple platforms 
MLSR049_1933: implement diverse set of information technologies for system components
MLSR049_1935: employ virtualization techniques to support deployment of diversity of operating systems and applications</t>
  </si>
  <si>
    <t>NIST SP 800-53 R4 SC-26_x000D_
NIST SP 800-53 R4 SC-28_x000D_
NIST SP 800-53 R4 SC-29</t>
  </si>
  <si>
    <t>Implement configuration change control to track and review changes in system</t>
  </si>
  <si>
    <t>MLSR049_735: approve or disapprove proposed configuration-controlled changes with explicit consideration for security impact analyses
MLSR049_735_1: implement approved configuration-controlled changes to system
MLSR049_735_2: retain records of configuration-controlled changes to system for defined time period
MLSR049_739: validate changes to system before implementing changes on operational system
MLSR049_741: implement changes to current baseline and deploy updated baseline across installed base
MLSR080_695: use host configuration management tools to manage resources and control access to systems
MLSR080_695: use host configuration management tools to set general level of security for each host on network
MLSR079_979: employ configuration change management practices on barrier device
MLSR050_102: implement configuration change control to track, review, approve or disapprove and log changes
MLSR049_1706: maintain configuration control over system components awaiting service/repair
MLSR055_312: review security configuration of server
MLSR105_99: allow retention and recovery of device configuration by authenticated privileged user
MLSR049_811: include assessed component configurations and approved deviations to current deployed configurations
MLSR049_773: implement configuration settings using defined checklist and control deviation of changes
MLSR049_778: centrally manage, apply and verify configuration settings for system components
MLSR049_1578: maintain integrity between master build and on-site master copy of data for current version
MLSR049_746: ensure cryptographic mechanism used to provide defined security safeguards are under configuration management
MLSR203_79: ensure delivered configuration for product is secure by default
MLSR049_1580: ensure hardware, software, and firmware updates are distributed exactly as specified by master copies
MLSR049_780: respond changes to configuration settings by alerting authorized personnel and restore previous configuration
MLSR049_744: implement security responses if baseline configurations are changed in an unauthorized manner
MLSR049_738: employ automated mechanism to document, notify and highlight proposed changes to information system
MLSR049_738: employ automated mechanism to prohibit changes to information system until designated approvals are received, and document all changes to information system</t>
  </si>
  <si>
    <t>Use tools to manage configuration changes to system components.
Example:
-&gt;SolarWinds Server Configuration Monitor
-&gt;CFEngine</t>
  </si>
  <si>
    <t>IEC/TR 62443-3-1 8.7.1_x000D_
IEC 62443-2-1 A.3.3.4.4.1_x000D_
IEC 27032 12.3</t>
  </si>
  <si>
    <t>NIST SP 800-53 R4 CM-2_x000D_
NIST SP 800-53 R4 CM-3_x000D_
NIST SP 800-171 R1 Sec Req_x000D_
NIST SP 800-53 R4 SA-18_x000D_
NIST SP 800-53 R4 CM-8_x000D_
NIST SP 800-53 R4 CM-5_x000D_
NIST SP 800-53 R4 CM-6_x000D_
NIST SP 800-53 R4 SA-10</t>
  </si>
  <si>
    <t>Employ mechanisms to maintain backup of information to recover during system failures</t>
  </si>
  <si>
    <t>MLSR049_583: backup audit records in separate physical system other than that being audited 
MLSR049_910: conduct backup of user-level and system-level  information and security related documentations
MLSR076_69:  implement appropriate backup mechanism as needed
MLSR074_579: backup copies information, software and system images and test regularly in accordance with agreed backup policy
MLSR074_584: build capability for full/differential backup and frequency of backups as required
MLSR074_624: archive old versions of software together with all required information and parameters
MLSR076_175: have capability to archive audit information and archiving time is defined by vendor
MLSR037_490: backup all PHI and store in physically secure environment
MLSR092_209: have capability to transfer data and recover it for storage or reuse before erasing data
MLSR307_302: periodically back up audit trail files to centralized log server, to keep logs protected even if system generating logs becomes compromised</t>
  </si>
  <si>
    <t>ISO/IEC 27002 12.3.1_x000D_
ISO/IEC 27002 12.5.1_x000D_
ISO 27799 12.3.1</t>
  </si>
  <si>
    <t>NIST SP 800-53 R4 AU-9_x000D_
NIST SP 800-53 R4 CP-7</t>
  </si>
  <si>
    <t>PCI DSS 10.5.3</t>
  </si>
  <si>
    <t>AUTO11-A2 3_x000D_
AUTO11-A2 4.5.1_x000D_
ANSM’S GUIDELINE 5</t>
  </si>
  <si>
    <t>Configure retention period for backup of information in system</t>
  </si>
  <si>
    <t>MLSR074_591: define retention period for archived copies
MLSR074_1032: define retention schedule for identifying records and period of time for which they should be retained
MLSR221_267: retain personal data only as long as necessary</t>
  </si>
  <si>
    <t>ISO/IEC 27002 12.3.1_x000D_
ISO/IEC 27002 18.1.3</t>
  </si>
  <si>
    <t>Employ mechanisms to protect confidentiality of backup to prevent unauthorized modification</t>
  </si>
  <si>
    <t>MLSR050_153: protect confidentiality of backup CUI at storage locations
MLSR074_588: ensure backups are protected by means of encryption
MLSR203_72: ensure secure mechanisms for standard backup and restore procedures
MLSR037_490_1: ensure PHI are backed up in encrypted format to protect the confidentiality
MLSR049_935: protect backup and restoration of hardware, firmware and software
MLSR076_199: maintain secure backup and restore mechanism to create retrievable copy of system data
MLSR074_586: provide appropriate level of physical and environmental protection to backup information</t>
  </si>
  <si>
    <t>ISO/IEC 27002 12.3.1_x000D_
ISO 27799 12.3.1</t>
  </si>
  <si>
    <t>NIST SP 800-171 R1 Sec Req_x000D_
NIST SP 800-53 R4 CP-9</t>
  </si>
  <si>
    <t>CSR-NET 3.1_x000D_
AUTO11-A2 4.6.1</t>
  </si>
  <si>
    <t xml:space="preserve">Employ code analysis tools to identify security flaws </t>
  </si>
  <si>
    <t>MLSR049_1586: employ static code analysis tools to identify common flaws
MLSR049_1600: employ dynamic code analysis tools to identify common flaws
MLSR092_159: ensure that test coverage is maximum and eliminate dead code
MLSR076_332: identify and avoid unsafe application programming interface calls</t>
  </si>
  <si>
    <t>Use static code analysis to identify security flaws.
Example:
-&gt; Coverity
-&gt; HP Fortify
-&gt; HCL Appscan</t>
  </si>
  <si>
    <t>NIST SP 800-53 R4 SA-10_x000D_
NIST SP 800-53 R4 SA-11</t>
  </si>
  <si>
    <t>ANSM’S GUIDELINE 2_x000D_
AUTO11-A2 5.1.1</t>
  </si>
  <si>
    <t>Implement hardware separation mechanism to minimize vulnerabilities</t>
  </si>
  <si>
    <t>MLSR049_1739: implement security function isolation using hardware separation
MLSR049_1992: implement hardware separation mechanisms to facilitate process separation</t>
  </si>
  <si>
    <t>NIST SP 800-53 R4 SC-3_x000D_
NIST SP 800-53 R4 SC-39</t>
  </si>
  <si>
    <t>Implement best practices during design and development for microservices</t>
  </si>
  <si>
    <t xml:space="preserve">MLSR311_6: design each microservice such that it is managed, replicated, scaled, upgraded, and deployed independently of other microservices
MLSR311_7: design each microservice such that it has a single function and operates in a bounded context 
MLSR311_8:  design all microservices to be stateless in order to handle constant failure and recovery
MLSR311_9:  reuse existing trusted services such as databases, caches, directories for state management
MLSR311_11: ensure microservice-based applications are highly scalable to maintain availability
MLSR311_31: implement Blue/Green deployments such that when a new version of a microservice is deployed, requests from customers using old version can be redirected to new version
MLSR311_114: implement canary releases such that only a limited number of requests are routed to the new version after it is brought online
MLSR311_115: route traffic through API gateway for both existing version and new version of service, to monitor risk associated with canary release
</t>
  </si>
  <si>
    <t>Use tools to manage Canary releases for microservices.
Example:
-&gt; Apigee Edge
-&gt; Istio</t>
  </si>
  <si>
    <t>NIST SP 800-204 2.2_x000D_
NIST SP 800-204 2.3_x000D_
NIST SP 800-204 2.6_x000D_
NIST SP 800-204 4.6</t>
  </si>
  <si>
    <t>Implement service registry feature for microservices</t>
  </si>
  <si>
    <t xml:space="preserve">MLSR311_41: ensure microgateway communicates with service registry and monitoring modules to keep track of operational status of microservice
MLSR311_83: ensure to provide service registry capabilities through servers that are either dedicated or part of a service mesh architecture
MLSR311_84: ensure service registry services are in a network that has been configured with certain QoS parameters 
MLSR311_86: ensure service registry performs validation checks to ensure that only legitimate services are performing registration, refresh operations, and database queries 
MLSR311_87: ensure bounded context and loose coupling principle are observed for microservice registration/ deregistration functions
MLSR311_88: ensure registration/deregistration of an application service is enabled using a third-party registration pattern 
MLSR311_89: perform registration/deregistration only after performing health check on the application service, if a third-party registration pattern is implemented
MLSR311_90: deploy distributed service registry for large microservices applications and maintain data consistency among multiple service registry instances
</t>
  </si>
  <si>
    <t>Use Service registry feature to discover microservices.
Example:
-&gt; Apigee Edge
-&gt; Istio</t>
  </si>
  <si>
    <t>NIST SP 800-204 2.7.1_x000D_
NIST SP 800-204 4.2</t>
  </si>
  <si>
    <t>Implement API gateway feature for microservices</t>
  </si>
  <si>
    <t xml:space="preserve">MLSR311_67: ensure every API Key used in application has restrictions specified both for applications and set of APIs in use
MLSR311_68: restrict scope for functionality of every API Key to commensurate with level of assurance provided during identity proofing
MLSR311_76: leverage API Gateway to centralize enforcement of authentication and access control for all downstream microservices
MLSR311_93: ensure clients are not configured to call target microservices directly but rather to point to single API gateway URL
MLSR311_94: ensure client to API gateway as well as Service to Service communication takes place after mutual authentication 
MLSR311_125: integrate API gateway with an identity management application to provision credentials before activating API 
MLSR311_127: implement token translation service between gateways in distributed gateway deployments 
MLSR311_127: ensure token presented to initial gateway has permissions with broad scope whereas token to microgateways shall be more narrowly scoped with specific permissions
</t>
  </si>
  <si>
    <t>Use API gateway to improve security in microservices.
Example:
-&gt; Apigee Edge
-&gt; Istio</t>
  </si>
  <si>
    <t>NIST SP 800-204 4.1_x000D_
NIST SP 800-204 4.3_x000D_
NIST SP 800-204 5</t>
  </si>
  <si>
    <t>Implement Service Mesh deployment for microservices</t>
  </si>
  <si>
    <t>MLSR311_128: implement a service mesh to ensure that proper configuration parameters associated with security policies are defined correctly in control plane
MLSR311_130: ensure service mesh deployment has configuration capabilities to specify resource usage limits for its components, to collect and send environment metrics</t>
  </si>
  <si>
    <t>Use Service Mesh for microservice deployments.
Example:
-&gt; Istio</t>
  </si>
  <si>
    <t>NIST SP 800-204 5</t>
  </si>
  <si>
    <t>Implement security best practices before moving to production</t>
  </si>
  <si>
    <t xml:space="preserve">MLSR307_153: remove development, test and custom application accounts, user IDs, and passwords before applications are released to customers
MLSR307_161: remove test data and accounts from system components before system goes into production
MLSR203_18: ensure test code or undocumented entry points are removed from final release
MLSR310_86: automate deployment setup to configure identically with different credentials for development, QA and production
</t>
  </si>
  <si>
    <t>PCI DSS 6.3.1_x000D_
PCI DSS 6.4.4</t>
  </si>
  <si>
    <t>CSR-NET 2.1</t>
  </si>
  <si>
    <t>Implement security best practices during  design and development</t>
  </si>
  <si>
    <t xml:space="preserve">MLSR049_1745: implement security functions as largely independent modules to minimize coupling
MLSR049_1747: implement security functions as layered structure minimizing interactions between design layers
MLSR049_1711: develop customized critical information system components for higher assurance 
MLSR049_1720: replace system components when support for components is no longer available
MLSR065_33: prohibit custom implementations of authorization, authentication and accounting
MLSR076_156: protect systems during product development, manufacturing, transportation, and installation
MLSR104_18:  consider information model, functional model, and architectural model during design and development 
MLSR092_157: implement secure by construction by specifying coding rules for development of medical device software
MLSR017_78: constrain programs to avoid vulnerabilities such as buffer overflow and use of uninitialized programming constructs.
MLSR017_79: ensure to use memory safe languages
MLSR017_81: ensure use of automated memory safety error mitigation and compiler-enforced buffer overflow elimination
MLSR017_83: ensure to use automated thread safety analysis
MLSR017_75: use random number seeds during design for suitability per security risk assessment
MLSR017_84: use proven cryptographic algorithms and implementations during development
MLSR017_87: use digitally signed software and firmware during development
MLSR017_88: validate software and firmware updates using digital signatures prior to re-initiation of product during development
MLSR017_91: monitor storage with integrity monitor to ensure code and data sections are not unintentionally modified during development
MLSR017_93: ensure to use perfect-forward secrecy in encryption protocol during development
MLSR017_82: ensure to use secure coding standards during development
MLSR210_75: design a system with layered defense in depth approach and security controls that does not rely on OS
MLSR210_102: implement “Defense-in-Depth strategy” strategy for device
MLSR311_70: use OAuth or OpenID connect for implementing authentication
MLSR017_77: validate all inputs prior to processing during development 
MLSR307_49: implement only one primary function per server to prevent functions that require different security levels from co-existing on same server
MLSR222_1542: design device to ensure reliability, repeatability and performance in line with intended use
MLSR017_76:  grant required privileges for software and authorized users to perform specified functions during development
MLSR310_73: implement access control mechanisms once and re-use them throughout application, including CORS
MLSR310_90: ensure to send security directives to clients such as security headers
MLSR310_107: enforce strict type constraints during deserialization before object creation
MLSR074_1014:  implement controls to ensure that any maximum number of users permitted within license is not exceeded
</t>
  </si>
  <si>
    <t>UL 2900-2-1 12.4.3.5_x000D_
UL 2900-2-1 12.4.3.6_x000D_
UL 2900-2-1 12.4.3.8_x000D_
UL 2900-2-1 12.4.3.10_x000D_
UL 2900-2-1 12.4.3.2_x000D_
UL 2900-2-1 12.4.3.11_x000D_
UL 2900-2-1 12.4.3.14_x000D_
UL 2900-2-1 12.4.3.15_x000D_
UL 2900-2-1 12.4.3.18_x000D_
UL 2900-2-1 12.4.3.20_x000D_
UL 2900-2-1 12.4.3.9_x000D_
UL 2900-2-1 12.4.3.4_x000D_
UL 2900-2-1 12.4.3.3</t>
  </si>
  <si>
    <t>ISO/IEC 27002 18.1.2</t>
  </si>
  <si>
    <t>NIST SP 800-53 R4 SC-3_x000D_
NIST SP 800-53 R4 SA-19_x000D_
NIST SP 800-53 R4 SA-20_x000D_
NIST SP 800-204 4.1</t>
  </si>
  <si>
    <t>PCI DSS 2.1.1</t>
  </si>
  <si>
    <t>OWASP Top 10 2017 A5:2017_x000D_
OWASP Top 10 2017 A6:2017_x000D_
OWASP Top 10 2017 A8:2017</t>
  </si>
  <si>
    <t>FDA-COTS V</t>
  </si>
  <si>
    <t>ENISA - Cloud 4.3.1_x000D_
AUTO11-A2 4.4.3_x000D_
ANSM’S GUIDELINE 2_x000D_
MDCG 2.3_x000D_
MDCG 3.1_x000D_
EU MDR 17.1</t>
  </si>
  <si>
    <t>Implement mechanisms to protect data/services against attacks</t>
  </si>
  <si>
    <t>MLSR049_1756: protect against effects of various types of DoS attacks
MLSR049_1758: restrict internal users to launch denial of service attacks 
MLSR049_2210: implement non-persistent components/services that does not give sufficient time for attack
MLSR065_72: define cloud environment controls to mitigate DDoS attacks
MLSR065_161: ensure security controls are in place to prevent malicious activities by insiders
MLSR074_317: protect against brute force log-on attempts
MLSR074_710: protect messages from unauthorized access, modification or denial of service
MLSR074_324: restrict connection times to reduce window of opportunity for unauthorized access
MLSR203_62: ensure applications and process running with system privileges are protected against attacks
MLSR203_67:  implement measures that prevent DoS attack by opening many sessions
MLSR208_82: implement security controls to detect, resist, respond and recover from cybersecurity attacks
MLSR078_200: ensure availability of all network resources to protect against denial of service attacks
MLSR076_330: use strongly typed parameterized queries to avoid SQL injection
MLSR076_331: implement procedures to prevent cross-site scripting
MLSR055_305: secure input validation and prevent common attacks such as SQL-Injection
MLSR055_306: secure web page scripting to prevent common attacks such as cross-site scripting
MLSR307_172: prevent buffer overflows by implementing appropriate bounds checking on its buffer space
MLSR307_177: address cross-site scripting by validating all parameters before inclusion and utilizing context-sensitive escaping
MLSR307_181: address CSRF by ensuring applications do not rely on authorization credentials and tokens automatically submitted by browsers</t>
  </si>
  <si>
    <t>ISO/IEC 27002 9.4.2_x000D_
ISO/IEC 27002 13.2.3_x000D_
IEC/TS 62443-1-1 5.3_x000D_
IEC 27032 12.2</t>
  </si>
  <si>
    <t>NIST SP 800-53 R4 SC-4_x000D_
NIST SP 800-53 R4 SC-5_x000D_
NIST SP 800-53 R4 SI-13</t>
  </si>
  <si>
    <t>PCI DSS 6.5.2_x000D_
PCI DSS 6.5.7_x000D_
PCI DSS 6.5.9</t>
  </si>
  <si>
    <t>ENISA - Cloud 6.3.3_x000D_
ENISA - Cloud 6.7.1_x000D_
CSR-NET 3.1_x000D_
IMDRF 5.1_x000D_
AUTO11-A2 5.1.1</t>
  </si>
  <si>
    <t>Implement spam protection mechanisms in systems</t>
  </si>
  <si>
    <t>MLSR049_2166: employ spam protection mechanisms at system entry and exit points
MLSR049_2169: centrally manage spam protection mechanisms
MLSR049_2172: implement spam protection mechanisms with learning capability (Bayesian filters)</t>
  </si>
  <si>
    <t>Office-365 has spam protection mechanism.</t>
  </si>
  <si>
    <t>NIST SP 800-53 R4 SI-7_x000D_
NIST SP 800-53 R4 SI-9_x000D_
NIST SP 800-53 R4 SI-8</t>
  </si>
  <si>
    <t>Employ isolation mechanisms to setup trusted environment in mobile device</t>
  </si>
  <si>
    <t xml:space="preserve">MLSR305_140: use sandboxing at OS or application-level to achieve higher levels of overall isolation
MLSR305_141: use memory isolation to prevent one process from accessing or modifying another processʼs memory
MLSR305_142: create and run process in trustworthy and isolated execution environment
MLSR312_61: employ data isolation mechanisms to prevent unauthorized access to user and mobile device data
MLSR312_103: employ secure containers to provide data isolation and segment enterprise applications and information from personal apps and data. 
</t>
  </si>
  <si>
    <t xml:space="preserve">Use mobile OS-level sandboxing capability for isolation
</t>
  </si>
  <si>
    <t>NIST SP 1800-4 Appendix C_x000D_
NIST SP 800-124 R2 4.1.2_x000D_
NIST SP 800-124 R2 4.2.7</t>
  </si>
  <si>
    <t>Employ concealment and misdirection techniques to mislead adversaries</t>
  </si>
  <si>
    <t xml:space="preserve">MLSR049_1916: include honeypots for detecting and deflecting malicious attacks
MLSR049_1938: employ concealment and misdirection techniques to confuse and mislead adversaries
MLSR049_1941: employ misdirection techniques to introduce randomness into operations and assets
MLSR049_1943: change location of organizational processing and storage at random time intervals
MLSR049_1945: employ misleading information with regard to system security state or posture
</t>
  </si>
  <si>
    <t>MLSR049_1947: employ techniques to hide or conceal information system components</t>
  </si>
  <si>
    <t>Use honeypot to implement concealment and misdirection techniques</t>
  </si>
  <si>
    <t>NIST SP 800-53 R4 SC-25_x000D_
NIST SP 800-53 R4 SC-29_x000D_
NIST SP 800-53 R4 SC-30</t>
  </si>
  <si>
    <t>Employ mechanism to enforce security policy and usage restrictions on mobile device</t>
  </si>
  <si>
    <t xml:space="preserve">MLSR049_411: establish usage restrictions and configuration/ connection for mobile device
MLSR309_7: ensure enterprise administrators use MDM product to establish policies on organization-owned devices prior to user issuance
MLSR309_8: ensure enterprise-owned device has limited network connectivity, tightly controlled configuration, and limited software inventory by using MDM product
MLSR309_9: enforce security policies via MDM on personally owned device(BYOD) for personal and enterprise use
MLSR309_11: ensure personally owned device is given access to limited enterprise services such as enterprise email and web browsing
MLSR309_30: facilitate configuration and enforcement of security policies on mobile devices
MLSR309_35: ensure MDM agent relies upon trustworthy mobile platform and hardware to provide policy enforcement, cryptographic services and data protection
MLSR309_88: ensure MDM Agent is capable to interact with platform to perform administrator-provided management functions
MLSR309_119: ensure configuration policy is enabled to detect missed reachability events since last successful connection with MDM server
MLSR305_57: automatically take action in response to policy violations
MLSR305_143: have capability to enable/disable device peripherals and certain OS-provided functionality
MLSR312_70: employ EMM technology to configure enterprise security policies on mobile device
MLSR312_140: employ EMMs to notify user when OS and app updates are available and enforce compliance actions if user does not make appropriate updates
MLSR312_171: use EMM to apply restrictions such as disabling copy/paste feature when in enterprise applications
</t>
  </si>
  <si>
    <t>Use MDM to enforce security policies and usage restrictions in mobile device.
Example:
-&gt;ManageEngine
-&gt;Microsoft Enterprise Mobility</t>
  </si>
  <si>
    <t>NIST SP 800-53 R4 AC-18_x000D_
NIST SP 1800-4 4.3.1_x000D_
NIST SP 1800-4 Appendix C_x000D_
NIST SP 800-124 R2 4.2.1.1_x000D_
NIST SP 800-124 R2 4.3.6_x000D_
NIST SP 800-124 R2 5.1.3.3</t>
  </si>
  <si>
    <t>NIAP EP 1.5_x000D_
NIAP EP 4.1_x000D_
NIAP EP 4.2_x000D_
NIAP EP 5.5.3_x000D_
NIAP EP C.1.2</t>
  </si>
  <si>
    <t>Develop feature in bluetooth device to change private address and settings</t>
  </si>
  <si>
    <t xml:space="preserve">MLSR304_76: implement low energy private device addresses and data signing for bluetooth device
MLSR304_147: change default settings of device to reflect organization security policy such as default name
MLSR304_148: set bluetooth device to lowest power level so that transmissions remain within secure perimeter
MLSR304_153: ensure bluetooth 2.1 or later device using Security Mode 4 must fall back to Security Mode 3 for backward compatibility with 2.0 and earlier devices
</t>
  </si>
  <si>
    <t>NIST SP 800-121 R2 3.2_x000D_
NIST SP 800-121 R2 4.4</t>
  </si>
  <si>
    <t>Employ App vetting tool to detect vulnerabilities in mobile device</t>
  </si>
  <si>
    <t>MLSR312_97: use app vetting system to detect software or configuration flaws before app is deployed to mobile device</t>
  </si>
  <si>
    <t>Use automated vulnerability detection tool to detect potential bugs before deployment.
Example:
-&gt; Android Lint
-&gt;AndroShield</t>
  </si>
  <si>
    <t>NIST SP 800-124 R2 4.2.4</t>
  </si>
  <si>
    <t xml:space="preserve">Develop feature in system to isolate process execution </t>
  </si>
  <si>
    <t>MLSR049_1990: maintain separate execution domain for each executing process
MLSR049_1994: maintain separate execution domain for each thread in multi-threaded processing
MLSR049_2163: prohibit system processes to execute without supervision for more than specified time period</t>
  </si>
  <si>
    <t>NIST SP 800-53 R4 SC-37_x000D_
NIST SP 800-53 R4 SC-39_x000D_
NIST SP 800-53 R4 SI-7</t>
  </si>
  <si>
    <t xml:space="preserve">Implement power shutoff during emergency situations
</t>
  </si>
  <si>
    <t>MLSR049_1351: provide capability for shutting off power to system components in emergency situations
MLSR049_1352: place emergency shutoff switches in specified location to facilitate safe access for personnel 
MLSR049_1352: protect emergency power shutoff capability from unauthorized activation</t>
  </si>
  <si>
    <t>NIST SP 800-53 R4 PE-6_x000D_
NIST SP 800-53 R4 PE-10</t>
  </si>
  <si>
    <t>Develop feature in system to handle security incidents</t>
  </si>
  <si>
    <t xml:space="preserve">MLSR049_1100: implement dynamic reconfiguration of system components as part of incident response capability
MLSR049_1106: implement configurable capability to disable system if security violations are detected
MLSR049_2145: incorporate detection of unauthorized security-relevant changes to information system into incident response capability
MLSR208_102: restore device to its normal operating condition when cybersecurity incident occurred
MLSR049_1098: implement automated mechanisms such as online incident management system to support the incident handling process
MLSR049_1107: implement incident handling capability for insider threats
MLSR049_1113: implement dynamic response capabilities to effectively respond to security incidents
MLSR049_1120: employ automated mechanisms to assist in tracking of security incidents, collection and analysis of incident information
MLSR049_1125: employ automated mechanisms to assist in reporting of security incidents
MLSR049_1133: employ automated mechanisms to increase availability of incident response-related information and support
MLSR049_2119: employ automated mechanisms to make security alert and advisory information available throughout organization
MLSR222_313:  define a system for recording and reporting of incidents and field safety corrective actions
</t>
  </si>
  <si>
    <t>NIST SP 800-53 R4 IA-11_x000D_
NIST SP 800-53 R4 IR-4_x000D_
NIST SP 800-53 R4 SI-7_x000D_
NIST SP 800-53 R4 IR-5_x000D_
NIST SP 800-53 R4 IR-6_x000D_
NIST SP 800-53 R4 IR-7_x000D_
NIST SP 800-53 R4 SI-5</t>
  </si>
  <si>
    <t>IMDRF 5.3_x000D_
EU MDR 13</t>
  </si>
  <si>
    <t>Perform vulnerability scanning to identify vulnerabilities</t>
  </si>
  <si>
    <t xml:space="preserve">MLSR049_1490: employ vulnerability scanning tools to update list of system vulnerabilities scanned
MLSR049_1497: implement privileged access authorization to system components for vulnerability scanning
MLSR049_1499: employ mechanisms to compare results of vulnerability scans
MLSR049_1505: correlate output from vulnerability scanning tools
MLSR080_641: employ vulnerability scanners with four primary components such as vulnerability database, scanning engine, agent with local administrative privileges and reporting mechanisms
MLSR080_648: ensure vulnerability scanners check security policy weakness, misconfigurations and software flaws
MLSR080_662: ensure vulnerability scanners employed in system are carefully monitored on backup network
MLSR080_638: employ vulnerability scanners to identify weaknesses and generate security reports
MLSR080_638: employ vulnerability scanners to deploy patches or security configuration changes
MLSR050_175: scan system and applications for vulnerabilities
MLSR050_213: perform periodic scans of organizational systems
MLSR050_213: perform real-time scans of files from external sources
MLSR074_564: scan computers and media on routine basis
MLSR074_565: scan files received over networks or via any form of storage medium
MLSR080_639: perform targeted scans against specific high-risk hosts or appliances
MLSR106_35: monitor cybersecurity information sources for identifying and detecting vulnerabilities
MLSR106_36: monitor third party software components for new vulnerabilities
MLSR055_313: ensure to run anti-malicious software controls on server
MLSR055_314: ensure to scan all hosted content regularly and use up-to-date anti-malicious software controls
MLSR055_315: perform regular vulnerability assessments and security testing for online sites and applications
MLSR055_316: regularly scan for compromises
MLSR049_1709: scan for counterfeit system components at specified time intervals
MLSR049_1486: scan for vulnerabilities in a defined frequency and when new vulnerabilities are identified and reported
MLSR049_1487: employ vulnerability scanning tools and techniques that facilitate interoperability among tools </t>
  </si>
  <si>
    <t>Use vulnerability scanning tools to identify vulnerabilities
Example: 
-&gt; HCL AppScan
-&gt; Nessus
-&gt; Qualys</t>
  </si>
  <si>
    <t>IEC/TR 62443-3-1 8.5.1_x000D_
IEC/TR 62443-3-1 8.5.2_x000D_
IEC/TR 62443-3-1 8.5.7_x000D_
ISO/IEC 27002 12.2.1_x000D_
IEC 27032 12.3</t>
  </si>
  <si>
    <t>NIST SP 800-53 R4 PL-8_x000D_
NIST SP 800-53 R4 RA-5_x000D_
NIST SP 800-171 R1 Sec Req_x000D_
NIST SP 800-53 R4 SA-19</t>
  </si>
  <si>
    <t>FDA-PMS Section V.B</t>
  </si>
  <si>
    <t>Develop feature in system to authorize maintenance personnel</t>
  </si>
  <si>
    <t>MLSR049_1173: restrict use of maintenance tool to authorized personnel
MLSR049_1203: ensure personnel performing maintenance/diagnostic activities are authorized regional users
MLSR049_1205: ensure cleared foreign nationals are used to conduct maintenance and diagnostic activities on classified information systems
MLSR050_140: supervise maintenance activities of personnel without required access authorization
MLSR092_199: have strong authentication in place during software update process to ensure authenticity
MLSR105_64: verify user authentication before permitting software or firmware update
MLSR074_475: ensure equipment, information or software are not taken off-site without prior authorization
MLSR074_471: ensure appropriate controls are implemented when equipment is scheduled for maintenance 
MLSR203_85: ensure all interfaces used in product for maintenance purposes are protected</t>
  </si>
  <si>
    <t>ISO/IEC 27002 11.2.5_x000D_
ISO/IEC 27002 11.2.4</t>
  </si>
  <si>
    <t>NIST SP 800-53 R4 MA-3_x000D_
NIST SP 800-53 R4 MA-5_x000D_
NIST SP 800-171 R1 Sec Req</t>
  </si>
  <si>
    <t>ANSM’S GUIDELINE 4_x000D_
CSR-NET 3.3</t>
  </si>
  <si>
    <t>Develop feature in system to perform preventive and predictive maintenance periodically</t>
  </si>
  <si>
    <t>MLSR049_1212: perform preventive maintenance at specific time intervals
MLSR049_1214: perform predictive maintenance at specific time intervals
MLSR049_1216: transfer predictive maintenance data to a computerized management system
MLSR049_2037: employ mechanism to determine state of system components for flaw remediation
MLSR074_470: ensure records are kept of all suspected or actual faults and of all preventive and corrective maintenance
MLSR049_1162: implement automated mechanisms to schedule, conduct, and document maintenance and repairs</t>
  </si>
  <si>
    <t>ISO/IEC 27002 11.2.4</t>
  </si>
  <si>
    <t>NIST SP 800-53 R4 MA-5_x000D_
NIST SP 800-53 R4 MA-6_x000D_
NIST SP 800-53 R4 SC-44_x000D_
NIST SP 800-53 R4 MA-2</t>
  </si>
  <si>
    <t xml:space="preserve">Deploy antivirus software on bluetooth devices to protect from malwares
</t>
  </si>
  <si>
    <t xml:space="preserve">MLSR304_173: install antivirus software on bluetooth-enabled hosts to protect bluetooth network from malwares
MLSR304_174: regularly deploy bluetooth software and firmware patches and upgrades
</t>
  </si>
  <si>
    <t>NIST SP 800-121 R2 4.4</t>
  </si>
  <si>
    <t>Implement mechanism to rollout updates in containers</t>
  </si>
  <si>
    <t>MLSR301_27: destroy and replace new container with updates whenever an upgrade is required
MLSR301_69: deploy baseline software updates on container by replacing entire image 
MLSR301_147: maintain repositories to ensure change in vulnerabilities and configuration are updated in container images
MLSR301_185_1: ensure hosts and lower level components are continuously scanned for vulnerabilities and updates are applied 
MLSR301_187:  ensure host OS is kept up to date with security updates and also latest component updates recommended by vendor</t>
  </si>
  <si>
    <t>Use tools to roll out automatic updates in containers
Example:
-&gt; Docker Swarm
-&gt; Google Kubernetes Engine</t>
  </si>
  <si>
    <t>NIST SP 800-190 2.1_x000D_
NIST SP 800-190 2.3.3_x000D_
NIST SP 800-190 4.1.5_x000D_
NIST SP 800-190 4.5.1_x000D_
NIST SP 800-190 4.5.3</t>
  </si>
  <si>
    <t>Develop feature in system to provide software and firmware updates/patches and ensure it is up to date</t>
  </si>
  <si>
    <t>MLSR049_2045: remove previous versions of software and firmware after updated versions are installed
MLSR082_66: provide remediation through patches, fixes and upgrades
MLSR203_22: implement product patches and updates quickly to eliminate detected vulnerabilities
MLSR203_24: provide patches, updates and dependent software to run the product
MLSR076_153: update and configure antispyware software
MLSR076_149: publish patches once vulnerabilities are discovered
MLSR055_317: use OS with most updated security patches installed
MLSR055_318: use latest software applications with most updated patches installed
MLSR055_347: ensure installation of latest security updates
MLSR043_110: create unified way of working for installation and upgrade of product security patches 
MLSR016_128: design system to allow security updates to product's software
MLSR016_128: design system to support roll back to previous installed version incase of update failures
MLSR208_77: update patches against newly discovered cybersecurity threats at regular interval
MLSR208_80: ensure operating system software, third-party software, or open source software are updated or controlled
MLSR208_215: have designated source containing validated patches for customer retrieval
MLSR049_2043: install software and firmware updates automatically
MLSR049_2052: update malicious code protection mechanisms like signature definitions automatically
MLSR049_2171: update spam protection mechanisms automatically
MLSR055_323: enable automated updates ensuring that systems are updated with latest security patches
MLSR310_59:  patch or upgrade all XML processors and libraries in use by application or on underlying OS
MLSR307_150: protect all system components and software from known vulnerabilities by installing applicable vendor-supplied security patches
MLSR080_714: use automated software management tool to deploy major software packages across network
MLSR080_714: use automated software management tool for application version control and update COTS
MLSR080_721: use automated software management tools for deployment of security updates and patches
MLSR208_181: deploy remediation controls with established means of reporting deployment failures and rolling back changes
MLSR055_310: ensure server operating system and applications are kept up-to-date promptly when new security updates are available</t>
  </si>
  <si>
    <t>MLSR092_148: keep the operating systems up to date in medical device
MLSR080_651: resolve vulnerabilities by installing patches or updates
MLSR074_626: ensure software patches are applied to reduce information security weakness
MLSR210_159: ensure security posture is maintained by applying patch in device in timely manner
MLSR049_2167: update spam protection mechanisms when new releases are available
MLSR050_212: update malicious code protection when new releases are available</t>
  </si>
  <si>
    <t>Use tools to roll out automatic updates and patches in system
Example:
-&gt; Microsoft SCCM 
-&gt; SolarWinds Patch Manager</t>
  </si>
  <si>
    <t>UL 2900-1-1 11.1</t>
  </si>
  <si>
    <t>ISO/IEC 30111 7.1.5_x000D_
IEC 27032 12.4_x000D_
IEC 27032 12.5.5_x000D_
IEC TIR80001-2-2 5.5_x000D_
IEC/TR 62443-3-1 8.8.1_x000D_
IEC/TR 62443-3-1 8.8.2_x000D_
IEC 27032 12.3_x000D_
IEC/TR 62443-3-1 8.5.2_x000D_
ISO/IEC 27002 12.5.1</t>
  </si>
  <si>
    <t>NIST SP 800-53 R4 SI-2_x000D_
NIST SP 800-53 R4 SI-3_x000D_
NIST SP 800-53 R4 SI-8_x000D_
NIST SP 800-171 R1 Sec Req</t>
  </si>
  <si>
    <t>PCI DSS 6.2</t>
  </si>
  <si>
    <t>OWASP Top 10 2017 A4:2017</t>
  </si>
  <si>
    <t>CSR-NET 2.1_x000D_
AUTO11-A2 4.4.2_x000D_
AUTO11-A2 4.4.1_x000D_
IMDRF 5.1_x000D_
IMDRF 6.4.2_x000D_
IMDRF 6.3.1_x000D_
ANSM’S GUIDELINE 1_x000D_
MDCG 3.6</t>
  </si>
  <si>
    <t xml:space="preserve">Perform nonlocal maintenance and diagnostic services 
</t>
  </si>
  <si>
    <t>MLSR049_1185: protect nonlocal maintenance sessions by employing replay resistant authenticators
MLSR049_1185: separate maintenance sessions from other network sessions by either physical/logical separated communication paths
MLSR049_1191: implement remote disconnect verification at termination of nonlocal maintenance
MLSR203_70: implement secure remote update mechanism for software and firmware updates
MLSR203_86:  protect device's actual operation when remote maintenance is performed
MLSR208_214: apply patches via secure authorized remote service and support platforms</t>
  </si>
  <si>
    <t>NIST SP 800-53 R4 MA-4</t>
  </si>
  <si>
    <t>CSR-NET 3.1_x000D_
CSR-NET 3.3_x000D_
IMDRF 6.4.2</t>
  </si>
  <si>
    <t xml:space="preserve">Develop feature in system to approve and notify nonlocal maintenance activities
</t>
  </si>
  <si>
    <t>MLSR049_1187: ensure approval for each nonlocal maintenance session by authorized personnel
MLSR049_1187: send notification of date and time of planned  nonlocal maintenance
MLSR203_87: ensure remote maintenance or write access to device are possible when explicitly activated with authorization</t>
  </si>
  <si>
    <t>CSR-NET 3.3</t>
  </si>
  <si>
    <t>Implement mechanism in system to capture logs for programs, procedures and system activities</t>
  </si>
  <si>
    <t>MLSR074_346: log all use of utility programs
MLSR074_359: ensure audit log is maintained of all accesses to program source libraries
MLSR065_62: provide details on information recorded within audit logs
MLSR076_169: implement mechanism that record and examine system activities
MLSR074_640: implement audit log for all procedures undertaken
MLSR092_145: implement log function to trace all access to connected device that has critical impact on operation
MLSR105_87: ensure log design enables forensic evidence capture
MLSR105_87: capture security events like configuration changes, network anomalies, login attempts, and anomalous traffic in logs
MLSR102_114: log cybersecurity issues of medical device
MLSR310_109: log deserialization exceptions and failures
MLSR307_285: log creation and deletion of system level objects such as database tables or stored procedures 
MLSR307_303: write logs for external-facing technologies such as wireless, firewalls onto a secure, centralized, internal log server or media device
MLSR049_735_3: audit and review activities associated with configuration-controlled changes to system</t>
  </si>
  <si>
    <t>Use Event Viewer to view security and system event logs.</t>
  </si>
  <si>
    <t>ISO/IEC 27002 9.4.4_x000D_
ISO/IEC 27002 9.4.5_x000D_
ISO/IEC 27002 12.6.1</t>
  </si>
  <si>
    <t>NIST SP 800-53 R4 CM-3</t>
  </si>
  <si>
    <t>PCI DSS 10.2.7_x000D_
PCI DSS 10.5.4</t>
  </si>
  <si>
    <t>ENISA - Cloud 6.3_x000D_
AUTO11-A2 4.5.1_x000D_
ANSM’S GUIDELINE 1_x000D_
AS-TGA TGA</t>
  </si>
  <si>
    <t>Develop feature in system to configure attributes, generate and review audit trail to enable analysis and reporting</t>
  </si>
  <si>
    <t>MLSR076_170: cover all operations in audit trail on sensitive information including PHI and other data that impact instrument operation
MLSR076_171: capture audit trail to track user sessions, access or modification of data
MLSR076_173: capture sensitive data as part of audit trail with proper security mechanism
MLSR076_174: capture audit trail with general operations that change performance of system
MLSR049_581: write audit-trails to hardware-enforced, write-once media
MLSR049_640: preserve identity of individuals in cross-organizational audit trails
MLSR074_657: monitor all access and log to produce reference trail
MLSR074_846: ensure copying and use of operational information is logged in audit trail 
MLSR088_70: capture system activities in audit trails
MLSR055_311: monitor security performance of server through regular reviews of audit trails
MLSR037_501: provide capability to analyze logs and audit trails
MLSR043_90: record and examine system activity by creating audit trails
MLSR310_130: implement audit trail for high-value transactions with integrity controls to prevent tampering 
MLSR307_277: implement audit trails to link all access to system components to each individual user
MLSR307_278: implement automated audit trails for all system components to provide a history trail for post-incident follow-up
MLSR307_287: include user identification, type of event,  date and time, success or failure indication, origination of event and identity of affected data, system component in audit trail</t>
  </si>
  <si>
    <t>Use logging frameworks to capture audit trail
Example:
-&gt; Log4Net [.Net]
-&gt; Log4cpp [C++]
-&gt; Log4J [Java]</t>
  </si>
  <si>
    <t>ISO/IEC 27002 12.7.1_x000D_
ISO/IEC 27002 14.3.1_x000D_
IEC TR80001-2-8 4.3_x000D_
IEC 27032 12.3_x000D_
ISO 27799 12.4.1_x000D_
IEC TIR80001-2-2 5.2</t>
  </si>
  <si>
    <t>NIST SP 800-53 R4 AU-9_x000D_
NIST SP 800-53 R4 AU-15</t>
  </si>
  <si>
    <t>PCI DSS 10.1_x000D_
PCI DSS 10.2_x000D_
PCI DSS 10.3.1</t>
  </si>
  <si>
    <t>OWASP Top 10 2017 A10:2017</t>
  </si>
  <si>
    <t>AUTO11-A2 4.5.1</t>
  </si>
  <si>
    <t>Develop feature in system to generate audit records related to user actions and accounts</t>
  </si>
  <si>
    <t>MLSR049_175: audit account creation/modification/disabling &amp; termination
MLSR049_302: audit execution of privileged functions
MLSR050_87: ensure actions of individual users are uniquely traced 
MLSR074_288: log changes to privileged accounts for periodic review
MLSR049_2180: audit use of manual override capability
MLSR049_519: generate audit containing full text recording of privileged commands
MLSR049_519: generate audit containing individual identities of group account users
MLSR074_608: have capability to log system administrator and system operator activities
MLSR088_69: audit user activities and monitor using public frameworks, standards and technology
MLSR088_95: have capability to record and report emergency access
MLSR037_496: create audit record when user accesses, creates, updates or archives PHI
MLSR037_496_1: ensure audit log can uniquely identify user, data subject, function performed by user along with date, time
MLSR102_223: establish logs to ensure traceable access to device
MLSR016_130: include login attempts, change of user authentication credentials, changes in list of valid user accounts, software updates in logs
MLSR049_632: provide capability for authorized users to remotely view all audit content related to user session in real time
MLSR049_628: allow authorized users to select a user session to capture/record user session
MLSR049_630: initiate session audits at system start-up
MLSR049_631: provide capability for authorized users to capture/record log related to user session
MLSR049_517: generate audit containing about type, source, outcome of event, when and where event occurred 
MLSR049_613: provide audit record generation capability for auditable and defined events 
MLSR049_613: allow personnel to select which auditable events are to be audited by specific components
MLSR049_619: allow authorized individuals to change auditing based on selectable event criteria within time thresholds
MLSR049_2147: audit event and initiate generation of audit record
MLSR074_595: capture event logs with user IDs, system activities, dates, times and details of key events
MLSR074_594: have capability to produce and keep event logs and ensure it is regularly reviewed
MLSR037_498: log transmission messages with time, date, origin and destination of message
MLSR076_99: capture audit log with successful and unsuccessful log-on attempts
MLSR076_100: capture and monitor audit log from user login/logout and local/remote access attempts
MLSR074_318: log unsuccessful and successful attempts
MLSR310_128: log all login, access control failures, and server-side input validation failures with sufficient user context
MLSR307_279: generate audit record of all individual accesses to cardholder data to identify compromised accounts 
MLSR307_280: log all actions taken by any individual with root or administrative privileges
MLSR307_282: log all invalid logical access attempts to identify an unauthorized user’s attempts to “brute force” or guess a password
MLSR307_283: log use of identification and authentication mechanisms including creation, updation and deletion in user accounts</t>
  </si>
  <si>
    <t>Use frameworks to capture logs
Example:
-&gt; Log4Net [.Net]
-&gt; Log4cpp [C++]
-&gt; Log4J [Java]</t>
  </si>
  <si>
    <t>UL 2900-1-1 11.3</t>
  </si>
  <si>
    <t>ISO/IEC 27002 9.2.5_x000D_
ISO/IEC 27002 12.4.3_x000D_
IEC TR80001-2-8 4.3_x000D_
IEC TR80001-2-8 4.9_x000D_
ISO 27799 12.4.1_x000D_
ISO/IEC 27002 12.4.1_x000D_
ISO/IEC 27002 9.4.2</t>
  </si>
  <si>
    <t>NIST SP 800-53 R4 AC-2_x000D_
NIST SP 800-53 R4 AC-6_x000D_
NIST SP 800-171 R1 Sec Req_x000D_
NIST SP 800-53 R4 SI-10_x000D_
NIST SP 800-53 R4 AU-3_x000D_
NIST SP 800-53 R4 AU-14_x000D_
NIST SP 800-53 R4 AU-13_x000D_
NIST SP 800-53 R4 AU-2_x000D_
NIST SP 800-53 R4 AU-11_x000D_
NIST SP 800-53 R4 AU-12_x000D_
NIST SP 800-53 R4 SI-7</t>
  </si>
  <si>
    <t>PCI DSS 10.2.1_x000D_
PCI DSS 10.2.2_x000D_
PCI DSS 10.2.4_x000D_
PCI DSS 10.2.5</t>
  </si>
  <si>
    <t>AS-TGA TGA_x000D_
AUTO11-A2 4.1.4</t>
  </si>
  <si>
    <t>Develop feature in system to generate and review logs related to system alarms</t>
  </si>
  <si>
    <t>MLSR020_210: log occurrence and identity of High Priority alarm conditions
MLSR020_211: log time of occurrence, associated alarm limits, alarm signal inactivation states, physiological and technical alarm conditions
MLSR020_444: log all alarm conditions for quality assurance purpose and for study of critical incidents. 
MLSR020_446: log all generated alarm signals of alarm conditions at priority to assist analysis of problematic situations
MLSR020_447: log all entry and exit for each ALARM SIGNAL inactivation state like Alarm OFF, Alarm paused, Audio OFF, Audio paused
MLSR020_450: ensure log contents are stored either for specified period of time or until deleted by responsible organization
MLSR020_451: ensure log contents are available for review by operator as required
MLSR020_454: log technical alarm conditions that cannot be reset by operator action for servicing and maintenance purposes</t>
  </si>
  <si>
    <t>ISO 60601-1-8 6.12_x000D_
ISO 60601-1-8 A.2</t>
  </si>
  <si>
    <t>Develop feature in system to review and update audit records to enable accurate analysis and reporting</t>
  </si>
  <si>
    <t>MLSR049_507: log auditable events, review and update audited events
MLSR049_513: review and update audited events
MLSR049_548: centrally review and analyze audit records from multiple components
MLSR049_555: allow only authorized users to analyze, review and report audit information
MLSR049_562: adjust level of audit review, analysis, and reporting when there is change in risk 
MLSR049_1180: audit and review nonlocal maintenance and diagnostic sessions
MLSR050_89: review and update logged events
MLSR079_311: record and review log files to critical systems
MLSR079_1061: log and review all access attempts to critical systems
MLSR307_306: review frequently all security events, logs of all system components that store, process or transmit sensitive data
MLSR049_761: review system changes to determine whether unauthorized changes have occurred</t>
  </si>
  <si>
    <t>Use tools to review logs
Example:
-&gt; LOGalyze
-&gt;Graylog</t>
  </si>
  <si>
    <t>IEC 62443-2-1 4.3.3.6.4_x000D_
IEC 62443-2-1 A.3.3.6.5.3</t>
  </si>
  <si>
    <t>NIST SP 800-53 R4 AC-24_x000D_
NIST SP 800-53 R4 AU-2_x000D_
NIST SP 800-53 R4 AU-6_x000D_
NIST SP 800-53 R4 MA-4_x000D_
NIST SP 800-171 R1 Sec Req_x000D_
NIST SP 800-53 R4 CM-5</t>
  </si>
  <si>
    <t>PCI DSS 10.6.1</t>
  </si>
  <si>
    <t>Employ tools for audit configuration, protection and analysis</t>
  </si>
  <si>
    <t>MLSR049_521: centrally manage and configure content captured in audit records
MLSR049_543: employ mechanism to integrate audit review, analysis, and reporting processes
MLSR080_568: use security audit logging tool to monitor events
MLSR203_27: implement mechanism to define which log data will be collected, how it will be analyzed and which log entries require response
MLSR203_75: implement automated alarm trigger while logging critical events or states
MLSR088_71: use stand-alone repository or central repository to store audit files
MLSR043_91: capture audit files in standalone repository or in central repository
MLSR016_131: store security-related logs in non-volatile memory
MLSR208_74: implement audit log function to ensure data non-repudiation are maintained
MLSR219_107:  implement software mechanisms that record and examine activity in information systems
MLSR310_129: ensure logs are generated in a format that can be easily consumed by centralized log management solutions
MLSR307_284: log initialization of audit logs and stopping or pausing of audit logs
MLSR307_478: use automated log-correlation tools for timely identification of attack patterns and undesirable behavior across systems</t>
  </si>
  <si>
    <t>Use tools to centrally manage logs
Example:
-&gt; LOGalyze
-&gt; Graylog</t>
  </si>
  <si>
    <t>UL 2900-1-1 11.4</t>
  </si>
  <si>
    <t>IEC/TR 62443-3-1 8.2.2_x000D_
IEC TR80001-2-8 4.3_x000D_
IEC TIR80001-2-2 5.2</t>
  </si>
  <si>
    <t>NIST SP 800-53 R4 AU-3_x000D_
NIST SP 800-53 R4 AU-6_x000D_
NIST SP 800-66 4.15</t>
  </si>
  <si>
    <t>PCI DSS 10.2.6_x000D_
PCI DSS A3.5.1</t>
  </si>
  <si>
    <t>CSR-NET 2.1_x000D_
CSR-NET 3.1_x000D_
IMDRF 5.1</t>
  </si>
  <si>
    <t>Employ mechanism in system to configure audit record storage capacity</t>
  </si>
  <si>
    <t>MLSR049_524: allocate audit record storage capacity in accordance with requirements
MLSR049_526: off-load audit records onto a different system or media periodically
MLSR049_535: configure network communications traffic volume thresholds for auditing capacity and reject/delay network traffic above thresholds</t>
  </si>
  <si>
    <t>NIST SP 800-53 R4 AU-3_x000D_
NIST SP 800-53 R4 AU-4_x000D_
NIST SP 800-53 R4 AU-5</t>
  </si>
  <si>
    <t>Employ mechanism in system to alert system and application audit failures</t>
  </si>
  <si>
    <t xml:space="preserve">MLSR049_529: alert organization-defined personnel or roles in event of audit failure
MLSR049_529: overwrite oldest audit records and stop generating audit records in event of audit failure
MLSR049_531: alert personnel when allocated audit record storage volume reaches maximum storage capacity
MLSR049_533: alert in real-time to personnel when audit failures occur
MLSR050_90: alert when audit logging process failure occurs
MLSR049_537:  invoke full/partial shutdown or degrade operational mode in event of audit failures
</t>
  </si>
  <si>
    <t>Use tools to alert events/failures in logs
Example:
-&gt; Nagios
-&gt; LOGalyze</t>
  </si>
  <si>
    <t>NIST SP 800-53 R4 AU-4_x000D_
NIST SP 800-53 R4 AU-5_x000D_
NIST SP 800-171 R1 Sec Req</t>
  </si>
  <si>
    <t>Develop feature in system to analyze, reduce and report audit information</t>
  </si>
  <si>
    <t>MLSR049_565: provide audit reduction and report generation capability
MLSR049_567: provide capability to process audit records for events of interest based on defined audit fields
MLSR049_569: provide capability to sort and search audit records for events of interest
MLSR049_540: review and analyze system audit records and report to authorized personnel
MLSR049_546: analyze, correlate audit records across different repositories
MLSR049_557: perform full text analysis of audited privileged commands 
MLSR049_559: correlate information from nontechnical sources with audit information
MLSR049_553: correlate information from audit records  to identify suspicious activity
MLSR049_550:  integrate analysis of audit records collected from other sources
MLSR065_61: ensure availability of audit logs for troubleshooting and investigation
MLSR050_92: provide audit record reduction and report generation 
MLSR050_91: correlate audit record review, analysis and reporting processes for investigation</t>
  </si>
  <si>
    <t>NIST SP 800-53 R4 AU-6_x000D_
NIST SP 800-53 R4 AU-7_x000D_
NIST SP 800-53 R4 AU-5_x000D_
NIST SP 800-171 R1 Sec Req</t>
  </si>
  <si>
    <t>ENISA - Cloud 6.3</t>
  </si>
  <si>
    <t xml:space="preserve">Implement synchronization clocks for audit records to track time accurately across systems
</t>
  </si>
  <si>
    <t>MLSR049_572: use internal system clocks to generate time stamps for audit records
MLSR049_573: capture timestamp for audit log with UTC or GMT that meets defined granularity of time
MLSR049_575: compare and synchronize internal system clocks with authoritative time source
MLSR049_577: identify secondary authoritative time source in a different geographic region than primary authoritative time source
MLSR049_615: compile audit records into system-wide audit trail that is time-correlated
MLSR065_66: use appropriate time source to synchronize systems and provide accurate audit log time stamping
MLSR074_615: provide capability that clock linked to radio time broadcast from national atomic clock can be used as master clock
MLSR074_615: ensure network time protocol is used to keep all servers in synchronization with master clock
MLSR037_530: provide time synchronization services to support tracing and reconstitution of activity timelines
MLSR307_293: use time-synchronization technology such as NTP to synchronize all critical system clocks and times for acquiring, distributing, and storing time
MLSR307_294: ensure critical systems have correct and consistent time such that time signals from external sources are based on UTC
MLSR307_298: ensure time settings are received from industry-accepted time sources</t>
  </si>
  <si>
    <t>MLSR050_93: compare and synchronize internal system clocks to generate time stamps for audit
MLSR074_612: ensure clocks of all systems are synchronised to single reference time source</t>
  </si>
  <si>
    <t>Use NTP server to synchronize system clocks in medical devices</t>
  </si>
  <si>
    <t>ISO/IEC 27002 12.4.4_x000D_
ISO 27799 12.4.4</t>
  </si>
  <si>
    <t>NIST SP 800-53 R4 AU-7_x000D_
NIST SP 800-53 R4 AU-8_x000D_
NIST SP 800-53 R4 AU-12_x000D_
NIST SP 800-171 R1 Sec Req</t>
  </si>
  <si>
    <t>PCI DSS 10.4_x000D_
PCI DSS 10.4.1_x000D_
PCI DSS 10.4.3</t>
  </si>
  <si>
    <t>Develop feature to log and alert events on mobile device</t>
  </si>
  <si>
    <t>MLSR305_156: log security events for mobile device like enrollment and unenrollment
MLSR305_157: generate preconfigured reports from audit logs 
MLSR305_157: have capability to search or filter logs for specific data
MLSR309_29: provide logging features to record management actions undertaken by MDM administrators
MLSR309_60: ensure MDM agent provides alert via trusted channel to MDM Server for audit events
MLSR309_67: ensure MDM Agent queue audit event alerts if trusted channel is not available and send queued alerts when available
MLSR309_70: ensure MDM Agent generates audit record with startup/shutdown of MDM Agent, change in MDM policy
MLSR309_74: have capability to select auditable events based on event type, success/failure of auditable security events
MLSR309_109: record date, time, subject identity, type of the event in each MDM Agent audit record
MLSR309_117: ensure MDM Agent stores MDM audit records in platform-provided audit storage</t>
  </si>
  <si>
    <t>Use MDM tools to log and alert events in mobile device.
Example: 
-&gt; Intune</t>
  </si>
  <si>
    <t>NIAP EP 4.1_x000D_
NIAP EP 5.5.1_x000D_
NIAP EP 5.6.1_x000D_
NIAP EP C.1.1</t>
  </si>
  <si>
    <t>Implement mechanism to log events in containers</t>
  </si>
  <si>
    <t>MLSR301_154: audit and log all write access to registries and read actions for sensitive images
MLSR301_182_1: associate and log all container creation with individual user identities to provide clear audit trail
MLSR301_190: ensure authentication to OS, login anomalies, any escalation to perform privileged operations is logged</t>
  </si>
  <si>
    <t>Use tools to log events in containers
Example:
-&gt; Docker
-&gt; Google Kubernetes Engine
-&gt; AWS ECS/EKS</t>
  </si>
  <si>
    <t>NIST SP 800-190 4.2.3_x000D_
NIST SP 800-190 4.4.5_x000D_
NIST SP 800-190 4.5.4</t>
  </si>
  <si>
    <t>Configure audit record retention period for investigation</t>
  </si>
  <si>
    <t xml:space="preserve">MLSR049_608:  retain audit records for investigation of security incidents
MLSR049_610: ensure that long-term audit records generated by system can be retrieved
MLSR065_156: ensure cloud provider retains security logs
MLSR050_86: capture and retain system audit logs and records
MLSR037_499: carefully assess and determine retention period for audit logs
MLSR307_310: retain audit trail history for at least one year, with a minimum of three months immediately available for analysis </t>
  </si>
  <si>
    <t>ISO 27799 12.4.1</t>
  </si>
  <si>
    <t>NIST SP 800-53 R4 AU-10_x000D_
NIST SP 800-53 R4 AU-11_x000D_
NIST SP 800-171 R1 Sec Req</t>
  </si>
  <si>
    <t>PCI DSS 10.7</t>
  </si>
  <si>
    <t>ENISA - Cloud 6.7.1</t>
  </si>
  <si>
    <t xml:space="preserve">Implement mechanism to restrict or prohibit use of portable storage devices </t>
  </si>
  <si>
    <t>MLSR049_435: restrict use of portable storage devices by authorized individuals
MLSR049_440: prohibit use of network accessible storage devices in external systems
MLSR049_1223: restrict access to digital/non-digital media to authorized personnel
MLSR049_1235: restrict access to media storage areas and audit access attempts 
MLSR049_1240: restrict activities associated with transport of media to authorized personnel
MLSR049_1262: enforce dual authorization for sanitization of media
MLSR049_1267: restrict use of specific types of media on specific systems
MLSR049_1269: prohibit use of portable storage devices when no owner is identified
MLSR049_1271: prohibit use of sanitization-resistant media
MLSR076_145: limit or restrict use of removable disk drives
MLSR050_74: limit use of portable storage devices on external systems.
MLSR050_149: control access to media containing CUI
MLSR050_151: control use of removable media on system components</t>
  </si>
  <si>
    <t>MLSR050_152: prohibit use of portable storage devices when device have no identifiable owner</t>
  </si>
  <si>
    <t>Use Group Policy Editor or Registry to restrict use of removable media.</t>
  </si>
  <si>
    <t>NIST SP 800-53 R4 AC-20_x000D_
NIST SP 800-53 R4 MA-6_x000D_
NIST SP 800-53 R4 MP-4_x000D_
NIST SP 800-53 R4 MP-6_x000D_
NIST SP 800-53 R4 MP-7_x000D_
NIST SP 800-171 R1 Sec Req</t>
  </si>
  <si>
    <t>AUTO11-A2 4.3.7</t>
  </si>
  <si>
    <t>Implement mechanisms to protect and control media from unauthorized usage</t>
  </si>
  <si>
    <t>MLSR049_1232: control and securely store specific types of digital/non-digital media within controlled areas
MLSR049_1232: protect system media until destroyed or sanitized using approved techniques
MLSR049_1238: protect and control specific types of media during transport outside of controlled areas
MLSR049_1239: maintain accountability for media during transport outside of controlled areas
MLSR049_1245: employ an identified custodian during transport of media outside of controlled areas
MLSR049_1247: protect information stored on digital media during transport outside of controlled areas
MLSR050_144: protect system media containing CUI
MLSR050_150: implement cryptographic mechanisms to protect confidentiality of CUI stored on digital media
MLSR074_498: ensure encryption process on storage media is sufficiently strong and covers entire disk
MLSR074_499: ensure keys used in encryption process on storage media are long enough
MLSR074_500: ensure keys used in encryption process on storage media are kept confidential
MLSR074_500: ensure keys used in encryption process on storage media are never stored on the same disk
MLSR074_1026: categorize records into record types with details of retention periods and type of storage media
MLSR074_228: ensure media containing information is protected during transportation
MLSR037_263: physically protect media or encrypt data stored on media
MLSR037_263: monitor status and location of media containing unencrypted PHI
MLSR037_265: ensure all PHI stored on removable media are encrypted during transit or at rest
MLSR043_190: encrypt health data stored on removable media
MLSR219_105: govern receipt and removal of hardware and electronic media that contain ePHI into and out of a facility
MLSR049_1169: check media containing diagnostic and test programs for malicious code</t>
  </si>
  <si>
    <t>MLSR050_138: check media containing diagnostic and test programs for malicious code</t>
  </si>
  <si>
    <t>Use encryption software and self encrypted drives to protect stored data.
(1)Example: Self-Encrypting USB Drives
-&gt; Kingston DataTraveler and IronKey USB
(2)Example: Full Disk Encryption
-&gt; Mac - FileVault 
-&gt; Windows - Bit locker
-&gt; Unix - dm-crypt 
(3)Example: File Encryption
-&gt; VeraCrypt
-&gt;7-zip (AES)</t>
  </si>
  <si>
    <t>ISO/IEC 27002 11.2.7_x000D_
ISO/IEC 27002 18.1.3_x000D_
ISO/IEC 27002 8.3.3_x000D_
ISO 27799 8.3.1_x000D_
IEC TIR80001-2-2 5.17</t>
  </si>
  <si>
    <t>NIST SP 800-53 R4 MP-2_x000D_
NIST SP 800-53 R4 MP-4_x000D_
NIST SP 800-53 R4 MP-5_x000D_
NIST SP 800-53 R4 MP-7_x000D_
NIST SP 800-171 R1 Sec Req_x000D_
NIST SP 800-66 4.13_x000D_
NIST SP 800-53 R4 IR-4</t>
  </si>
  <si>
    <t>Employ mechanisms for sanitization and disposal of media</t>
  </si>
  <si>
    <t>MLSR049_1250: employ sanitization mechanism prior to disposal with strength and integrity according to security category
MLSR049_1257: apply nondestructive sanitization techniques to portable storage devices prior to initial use
MLSR049_1264: purge/wipe information from media either remotely or under defined conditions
MLSR050_146: sanitize or destroy media containing CUI before disposal or release for reuse
MLSR074_496: ensure storage media containing confidential or copyrighted information is physically destroyed, deleted or overwritten 
MLSR092_212: enforce to implement secure data erasure functions from storage media on device
MLSR037_268: ensure all PHI stored in media are securely erased or destroyed when it is no longer required</t>
  </si>
  <si>
    <t xml:space="preserve">Use tools to wipe portable media.
Example:
-&gt; Hardwipe
-&gt; DBAN
</t>
  </si>
  <si>
    <t>ISO/IEC 27002 11.2.7_x000D_
ISO 27799 8.3.2</t>
  </si>
  <si>
    <t>NIST SP 800-53 R4 MP-5_x000D_
NIST SP 800-53 R4 MP-6_x000D_
NIST SP 800-171 R1 Sec Req</t>
  </si>
  <si>
    <t>ANSM’S GUIDELINE 5</t>
  </si>
  <si>
    <t>Employ media downgrade mechanisms to ensure adherence to security policy</t>
  </si>
  <si>
    <t>MLSR049_1274: employ downgrading mechanisms with strength and integrity for media
MLSR049_1280: downgrade media containing CUI prior to public release
MLSR049_1281: downgrade media containing classified information prior to release to individuals</t>
  </si>
  <si>
    <t>Definition:
Downgrading media means to remove/ redact information from media, typically by security category or classification level, such that information cannot be retrieved or reconstructed.</t>
  </si>
  <si>
    <t>NIST SP 800-53 R4 MP-7_x000D_
NIST SP 800-53 R4 MP-8</t>
  </si>
  <si>
    <t>Implement mechanisms to prevent use of unauthorized software in systems</t>
  </si>
  <si>
    <t>MLSR074_559: implement controls that prevent or detect use of unauthorized software
MLSR049_794: employ allow-all, deny-by-exception policy to prohibit execution of unauthorized software 
MLSR049_794: prohibit unauthorized software programs to execute on system
MLSR049_794: review and update list of unauthorized software programs frequently
MLSR049_796 : employ deny-all, permit-by-exception policy to allow execution of authorized software programs on information system
MLSR076_164: prohibit use of unnecessary software on systems
MLSR049_790: prevent program execution in accordance with policies regarding software program usage and restrictions
MLSR210_136: implement IT security measures to limit only necessary software is run as intended
MLSR074_348: remove or disable all unnecessary utility programs</t>
  </si>
  <si>
    <t>MLSR050_107: apply deny-by-exception to prevent use of unauthorized software 
MLSR050_107: apply deny-all, permit-by-exception to allow execution of authorized software
MLSR222_1545: implement IT security measures to limit only necessary software is run as intended</t>
  </si>
  <si>
    <t>Use tools to prevent use of unauthorized software in system.
Example:
-&gt; Symantec Endpoint Protection Manager
-&gt; Windows AppLocker</t>
  </si>
  <si>
    <t>ISO/IEC 27002 12.2.1_x000D_
ISO/IEC 27002 9.4.4</t>
  </si>
  <si>
    <t>NIST SP 800-53 R4 CM-7_x000D_
NIST SP 800-171 R1 Sec Req</t>
  </si>
  <si>
    <t>AUTO11-A2 4.4.4_x000D_
MDCG 3.6_x000D_
EU MDR 17.4</t>
  </si>
  <si>
    <t>Employ mechanism to disable unnecessary features in system to improve security</t>
  </si>
  <si>
    <t xml:space="preserve">MLSR049_785: configure system to provide only essential capabilities
MLSR049_785: prohibit or restrict use of functions, ports, protocols, and/or services
MLSR049_788: review and identify unnecessary/nonsecure functions and services and disable when not required
MLSR049_792: ensure compliance with registration requirements for functions, ports, protocols, and services
MLSR049_1743: minimize number of nonsecurity functions included within isolation boundary containing security functions 
MLSR049_1912: employ defined system components with minimal functionality and information storage
MLSR076_116: limit use of remote computers, ports and communication types
MLSR076_372: disable unnecessary services
MLSR050_105: employ principle of least functionality to provide only essential capabilities
MLSR203_54: de-activate services that are not needed for operation of device
MLSR088_118: provide services required according to its intended use
MLSR103_57: disable unnecessary ports, protocols and services that expose sensitive data 
MLSR092_106: enable only necessary components required to operate medical device
MLSR092_168: ensure to remove all unnecessary functionality
MLSR078_270: reduce sniffing access by controlling and closing unused voice and data ports 
MLSR310_60: disable XML external entity and DTD processing in all XML parsers in application
MLSR310_76: disable web server directory listing and ensure file metadata and backup files are not present in web roots
MLSR310_87: ensure minimal platform without any unnecessary features, components and remove unused features and frameworks
MLSR307_53: remove all unnecessary functionality, such as scripts, drivers, features, subsystems, file systems, and unnecessary web servers
MLSR310_120: remove libraries and components that are unmaintained
</t>
  </si>
  <si>
    <t>MLSR307_50: enable only necessary services, protocols, daemons as required for function of system</t>
  </si>
  <si>
    <t xml:space="preserve">(1) Use Windows Defender Firewall to provide only essential capabilities. 
-&gt; Protocol and Ports (TCP or UDP) 
-&gt; Connections
(2)Use Windows Services App to disable unnecessary services
(3) Use Windows Disk Cleanup to remove old driver packages safely
(4) Use Penetration testing tools to find out which ports are open 
Example:
-&gt; Kali
-&gt; BurpSuite
</t>
  </si>
  <si>
    <t>IEC TR80001-2-8 4.16_x000D_
IEC/TS 62443-1-1 5.6.6</t>
  </si>
  <si>
    <t>NIST SP 800-53 R4 CM-6_x000D_
NIST SP 800-53 R4 CM-7_x000D_
NIST SP 800-53 R4 SC-3_x000D_
NIST SP 800-53 R4 SC-24_x000D_
NIST SP 800-171 R1 Sec Req</t>
  </si>
  <si>
    <t>PCI DSS 2.2.5_x000D_
PCI DSS 2.2.2</t>
  </si>
  <si>
    <t>OWASP Top 10 2017 A4:2017_x000D_
OWASP Top 10 2017 A5:2017_x000D_
OWASP Top 10 2017 A6:2017_x000D_
OWASP Top 10 2017 A9:2017</t>
  </si>
  <si>
    <t>AUTO11-A2 4.3.1_x000D_
AUTO11-A2 5.6_x000D_
CSR-NET 3.1_x000D_
ANSM’S GUIDELINE 1_x000D_
ANSM’S GUIDELINE 2</t>
  </si>
  <si>
    <t>Employ mechanisms to prohibit direct connection without boundary protection device</t>
  </si>
  <si>
    <t>MLSR049_669 : prohibit direct connection of unclassified system to external network without boundary protection device
MLSR049_671 : prohibit direct connection of classified system to external network without boundary protection device
MLSR049_673 : prohibit direct connection of unclassified non-national security system to external network without boundary protection device
MLSR049_675 : prohibit direct connection of system to public network</t>
  </si>
  <si>
    <t xml:space="preserve">Use Firewall/VPN to enforce secure communication </t>
  </si>
  <si>
    <t>NIST SP 800-53 R4 AU-16_x000D_
NIST SP 800-53 R4 CA-3</t>
  </si>
  <si>
    <t>Configure monitoring of network and encrypt communication traffic to restrict malicious network packets</t>
  </si>
  <si>
    <t xml:space="preserve">MLSR049_677: employ allow-all, deny-by-exception, deny-all, permit-by-exception policy to connect to external systems 
MLSR049_1777: deny network communication traffic by default and allow by exception
MLSR049_1782: route internal communication traffic to external networks through authenticated proxy servers
MLSR049_1786: prevent unauthorized exfiltration of information across managed interfaces 
MLSR049_1788: allow only incoming communication from authorized sources to be routed to authorized destination
MLSR049_1800: enforce adherence to protocol formats through use of deep packet inspection firewalls and XML gateways
MLSR049_1804: block inbound and outbound communication traffic
MLSR049_1812: disable feedback to senders on protocol format validation failure
MLSR049_2088: ensure encrypted communication traffic is visible to authorized monitoring tool
MLSR076_119: initialize TCP/IP filtering and IPsec on network interface cards
MLSR076_120: encrypt communications using IPsec tunnel mode to create VPNs
MLSR080_774: ensure to separate time-critical application traffic from information traffic
MLSR055_280: monitor activity from intelligence points such as messaging filters, DNS
MLSR092_139: include security measures for filtering data exchange on networks
MLSR208_72: protect message control/ sequencing fields in communication protocols
MLSR078_198: restrict flow of data on communication channels to protect against unauthorized source
</t>
  </si>
  <si>
    <t>MLSR050_195: deny network communication traffic by default and allow network communications traffic by exception</t>
  </si>
  <si>
    <t>IEC/TR 62443-3-1 9.3.7_x000D_
IEC 27032 11.4.2.3_x000D_
IEC/TS 62443-1-1 5.3</t>
  </si>
  <si>
    <t>NIST SP 800-53 R4 CA-3_x000D_
NIST SP 800-53 R4 SC-7_x000D_
NIST SP 800-53 R4 SI-4_x000D_
NIST SP 800-171 R1 Sec Req</t>
  </si>
  <si>
    <t>AUTO11-A2 4.3.1_x000D_
ANSM’S GUIDELINE 1_x000D_
IMDRF 5.1</t>
  </si>
  <si>
    <t>Employ barrier device to monitor, control and protect communication over a network</t>
  </si>
  <si>
    <t>MLSR079_957: use barrier device to manage communication across conduit that links control zone to business zone
MLSR079_977: employ barrier device to segment high-risk devices into control zones
MLSR079_959: configure barrier device to deny all communication by default and only allow by exception
MLSR079_960: ensure ports and services used as attack vectors are not opened through barrier device
MLSR079_961: open only fewer number of ports and services through barrier device
MLSR079_978: employ barrier devices within control system to separate control networks from PCN
MLSR079_981: employ add-on barrier devices within control zone
MLSR079_982: employ centrally managed security profile on all control zone barrier devices
MLSR079_990: perform automated assessment to verify barrier device configuration is correctly implemented
MLSR076_115: implement barrier devices between system, network and Internet
MLSR050_56: enforce control flow of CUI through firewalls in accordance with approved authorizations at external boundaries 
MLSR050_189: monitor, control, protect communication at external and internal boundaries 
MLSR076_371: prevent unauthorized network access through firewall
MLSR080_411: ensure firewall only open for traffic from process control network to administrative network 
MLSR080_432: employ micro-firewalls in addition to network based firewalls 
MLSR080_391: use firewalls to control access to and from a network
MLSR079_283: isolate high-risk systems from or employ a barrier device to separate from other zones with different security levels 
MLSR079_284: employ barrier devices that block all non-essential communications in and out of security zone containing critical control equipment</t>
  </si>
  <si>
    <t>Use barrier devices such as firewalls, routers and gateways to protect network.</t>
  </si>
  <si>
    <t>IEC 62443-2-1 A.3.3.4.2.2_x000D_
IEC 62443-2-1 A.3.3.4.4.1_x000D_
IEC 62443-2-1 A.3.3.4.4.2_x000D_
IEC/TR 62443-3-1 6.2.7_x000D_
IEC/TR 62443-3-1 6.3.7_x000D_
IEC/TR 62443-3-1 6.2.1_x000D_
IEC 62443-2-1 4.3.3.4.2_x000D_
IEC 62443-2-1 4.3.3.4.3</t>
  </si>
  <si>
    <t>NIST SP 800-171 R1 Sec Req</t>
  </si>
  <si>
    <t>AUTO11-A2 4.3.1_x000D_
AUTO11-A2 5.6</t>
  </si>
  <si>
    <t>Configure control networks and implement secure communication channels for cardholder data environment</t>
  </si>
  <si>
    <t>MLSR307_31: build firewall and router configurations that restrict connections between untrusted networks and components
MLSR307_32: restrict inbound and outbound traffic as necessary for cardholder data environment and deny all other traffic
MLSR307_33: secure and synchronize router configuration files such as running configuration match with start-up configuration
MLSR307_34: install perimeter firewalls between all wireless networks and cardholder data environment
MLSR307_34: configure perimeter firewalls to deny/ permit only authorized traffic between wireless environment and cardholder data environment
MLSR307_35: prohibit direct public access between Internet and any system component in cardholder data environment
MLSR307_39: prohibit unauthorized outbound traffic from cardholder data environment to Internet
MLSR307_40: permit only “established” connections into network
MLSR307_42: restrict disclosure of private IP addresses and routing information from internal networks to Internet using methods to obscure IP addressing such as NAT
MLSR307_43: install personal firewall software or equivalent functionality on any portable computing devices used to access cardholder data environment
MLSR307_54: implement secure authentication and encrypted communications for all non-console administrative access
MLSR307_129: use secure versions of protocols to safeguard sensitive cardholder data during transmission over open, public networks
MLSR307_174: address insecure communications by encrypting all sensitive communications</t>
  </si>
  <si>
    <t>PCI DSS 1.2_x000D_
PCI DSS 1.2.1_x000D_
PCI DSS 1.2.2_x000D_
PCI DSS 1.2.3_x000D_
PCI DSS 1.3.4_x000D_
PCI DSS 1.3.5_x000D_
PCI DSS 1.3.7_x000D_
PCI DSS 1.4_x000D_
PCI DSS 2.3_x000D_
PCI DSS 4.1_x000D_
PCI DSS 6.5.4</t>
  </si>
  <si>
    <t xml:space="preserve">Implement network controls and employ mechanism to secure network connections </t>
  </si>
  <si>
    <t>MLSR049_709: authorize internal system connections of system components to information system
MLSR049_711: perform compliance checks on system components prior to establishment of internal connection
MLSR105_69: design devices to “deny by default” and reject all unauthorized connections
MLSR222_1511: ensure connection is safe and does not impair performance when device is used in combination with other devices
MLSR208_68: protect device interface that interface other devices or networks such as Wi-Fi, Ethernet, Bluetooth and USB
MLSR208_73: have security control when communicating with less secure devices
MLSR049_1798: prevent discovery of specific system components/devices composing a managed interface
MLSR049_1826: terminate network connection associated at end of session or after defined time period of inactivity
MLSR049_1897: protect authenticity of communications sessions such that it establishes confidence at both ends of communication sessions in  identities of endpoints 
MLSR049_1773: limit number of external network connections to system
MLSR076_114: evaluate network exposure and configure network security for data communication
MLSR076_118: prevent use of externally addressable Internet protocol (IP) addresses
MLSR050_73: verify and limit connections to and use of external system
MLSR074_661: ensure networks are managed and controlled to protect information in systems and applications
MLSR074_663: implement network controls to safeguard confidentiality and integrity of data passing over public networks
MLSR078_196: ensure integrity of data on selected communication channels to protect against unauthorized changes
MLSR080_441: ensure to properly configure VLANS to allow switches to enforce security policies and segregate traffic at Ethernet layer
MLSR080_411_2: ensure network components on process control network are managed centrally
MLSR092_132: ensure environment has secure network access for medical device
MLSR092_142: use VPN to safeguard logical security within local network
MLSR102_221: enforce removal of internet accessibility and direct network connectivity to device
MLSR102_220: implement trusted access for network connected devices to prevent unauthorized access</t>
  </si>
  <si>
    <t>MLSR076_113: evaluate network exposure and provide network security controls
MLSR050_198: terminate network connections at end of sessions or after defined period of inactivity
MLSR050_204: protect authenticity of communications sessions</t>
  </si>
  <si>
    <t>ISO/IEC 27002 13.1.1_x000D_
IEC/TS 62443-1-1 5.3_x000D_
IEC/TR 62443-3-1 6.4.2_x000D_
IEC/TR 62443-3-1 6.2.7</t>
  </si>
  <si>
    <t>NIST SP 800-53 R4 CA-3_x000D_
NIST SP 800-53 R4 CA-9_x000D_
NIST SP 800-53 R4 SC-7_x000D_
NIST SP 800-53 R4 SC-8_x000D_
NIST SP 800-53 R4 SC-22_x000D_
NIST SP 800-171 R1 Sec Req</t>
  </si>
  <si>
    <t>EU MDR 14.1_x000D_
IMDRF 5.1_x000D_
AUTO11-A2 4.3.1_x000D_
ANSM’S GUIDELINE 1_x000D_
AS-TGA TGA</t>
  </si>
  <si>
    <t>Implement host-based boundary mechanisms to protect applications from attacks</t>
  </si>
  <si>
    <t xml:space="preserve">MLSR049_1790: implement host-based-firewalls at system components 
MLSR065_78: ensure to run host firewall with only minimum ports necessary to support services within virtual instance 
MLSR080_420: use host-based firewalls to protect application from DoS attacks
MLSR055_322: ensure end-users enable personal firewall and host-based IDS to protect against risks 
MLSR065_79: run host-based intrusion prevention service (IPS) in virtual instance
MLSR065_157: build HIPS/HIDS in virtual machine image and integrate information collected by intrusion detection and prevention systems 
</t>
  </si>
  <si>
    <t>IEC/TR 62443-3-1 6.3.3_x000D_
IEC 27032 12.4</t>
  </si>
  <si>
    <t>NIST SP 800-53 R4 SC-7</t>
  </si>
  <si>
    <t>ENISA - Cloud 6.3.4_x000D_
ENISA - Cloud 6.7.1</t>
  </si>
  <si>
    <t>Route network access through managed interface to prevent attacks</t>
  </si>
  <si>
    <t>MLSR049_1796: route all networked, privileged accesses through managed interface
MLSR203_60: restrict access via network interfaces to specific MAC addresses, IP addresses or IP-ranges
MLSR092_161: provide interface to supply configuration of connected medical device system and operating status
MLSR103_51: identify interfaces to establish secure communication with devices/networks</t>
  </si>
  <si>
    <t>CSR-NET 3.1_x000D_
ANSM’S GUIDELINE 2</t>
  </si>
  <si>
    <t>Perform covert channel analysis to eliminate covert channels</t>
  </si>
  <si>
    <t>MLSR049_1952: test a subset of identified covert channels to determine which channels are exploitable
MLSR049_1953: reduce maximum bandwidth for identified covert storage and timing channels to defined values
MLSR049_1955: measure bandwidth of subset of identified covert channels in operational environment of information system</t>
  </si>
  <si>
    <r>
      <t xml:space="preserve">Definition:
A </t>
    </r>
    <r>
      <rPr>
        <b/>
        <sz val="10"/>
        <rFont val="Times New Roman"/>
        <family val="1"/>
      </rPr>
      <t>covert channel is a type of attack</t>
    </r>
    <r>
      <rPr>
        <sz val="10"/>
        <rFont val="Times New Roman"/>
        <family val="1"/>
      </rPr>
      <t xml:space="preserve"> that creates a capability to transfer information objects between processes that are not supposed to be allowed to communicate by computer security policy. 
</t>
    </r>
  </si>
  <si>
    <t>NIST SP 800-53 R4 SC-30_x000D_
NIST SP 800-53 R4 SC-31</t>
  </si>
  <si>
    <t xml:space="preserve">Employ out-of-band channels for secure transmission of information </t>
  </si>
  <si>
    <t>MLSR049_1981: employ out-of-band channels for physical delivery or electronic transmission of information to individuals
MLSR302_86: ensure out-of-band authenticator establishes separate channel with verifier, to retrieve out-of-band secret or authentication request
MLSR302_87: ensure out-of-band device is uniquely addressable and communication over secondary channel is encrypted
MLSR302_90: ensure out-of-band authenticator uses authenticated protected channel using approved cryptography
MLSR049_1983: employ security safeguards to ensure that only designated individuals or information systems receive particular information</t>
  </si>
  <si>
    <t>Use OOB mechanism such as a code sent over SMS or a number generated by app.</t>
  </si>
  <si>
    <t>NIST SP 800-53 R4 SC-36_x000D_
NIST SP 800-63B 5.1.3.1_x000D_
NIST SP 800-53 R4 SC-37</t>
  </si>
  <si>
    <t>Employ preventive mechanisms in microservices to ensure availability</t>
  </si>
  <si>
    <t xml:space="preserve">MLSR311_29: implement load balancing feature to have multiple instances of the same microservice
MLSR311_30: implement rate limiting feature to limit the rate of requests coming into a microservice
MLSR311_104: deploy proxy circuit breaker between clients and microservices to handle all incoming and outgoing messages
MLSR311_107: decouple all programs supporting the load balancing function, from individual service requests
MLSR311_110: implement rate limiting to ensure that a service is not oversubscribed impacting availability 
MLSR311_111: define Quotas or limits for application usage based on both infrastructure and application-related requirements
MLSR311_112: determine rate limiting based on well-defined API usage plans
</t>
  </si>
  <si>
    <t>Use failsafe mechanisms to handle failures in microservices.
Example:
-&gt; Apigee Edge
-&gt; Istio</t>
  </si>
  <si>
    <t>NIST SP 800-204 2.6_x000D_
NIST SP 800-204 4.5.1_x000D_
NIST SP 800-204 4.5.2_x000D_
NIST SP 800-204 4.5.3</t>
  </si>
  <si>
    <t>Employ alternate security mechanisms for backup and communication protocols when primary mechanism fails</t>
  </si>
  <si>
    <t>MLSR049_946: employ alternative security mechanisms when primary security functions are unavailable/compromised
MLSR049_886: establish alternate processing site when primary processing capabilities are unavailable 
MLSR049_886_1: ensure alternate processing site provides security safeguards equivalent to primary site
MLSR049_888: identify alternate processing site separated from primary processing site to reduce susceptibility
MLSR049_890: identify potential accessibility problems for alternate processing site and provide mitigation actions
MLSR049_897: prepare for circumstances that demand for returning to primary processing site
MLSR049_878: establish alternate storage site with necessary permissions for retrieval from backup
MLSR049_880: identify alternate storage site separated from primary storage site to reduce susceptibility
MLSR049_882: configure alternate storage site in accordance with recovery time and recovery point objectives
MLSR049_883: duplicate backup information to other alternative storage sites when accessibility problem is identified
MLSR049_919: transfer backup to alternate storage site and transfer rate consistent with recovery time and recovery point objectives
MLSR049_634: provide alternate audit capability in event of failure in primary audit capability
MLSR049_921: accomplish system backup by maintaining redundant secondary system that is not collocated with primary
MLSR049_916: store backup of critical software in a separate facility/fire-rated container that is not collocated
MLSR074_585: build capability to store backups in remote location to escape from disaster
MLSR049_938: employ alternative communication protocol in support of maintaining continuity of operations</t>
  </si>
  <si>
    <t>ISO/IEC 27002 12.3.1</t>
  </si>
  <si>
    <t>NIST SP 800-53 R4 CP-12_x000D_
NIST SP 800-53 R4 CP-6_x000D_
NIST SP 800-53 R4 CP-7_x000D_
NIST SP 800-53 R4 CM-11_x000D_
NIST SP 800-53 R4 CP-9_x000D_
NIST SP 800-53 R4 AU-14_x000D_
NIST SP 800-53 R4 CP-10</t>
  </si>
  <si>
    <t xml:space="preserve">Implement measures to preserve and restore to a known state during system failures </t>
  </si>
  <si>
    <t>MLSR049_1908: allow to fail to a known-state for types of failures preserving defined system state
MLSR049_942: enable safe mode with restrictions when malicious activities are detected
MLSR049_208: prevent access to security-relevant information except during secure system states
MLSR203_69: implement measures to preserve basic functionality of product and resume normal operations after DoS attack
MLSR016_156: ensure system to continue to operate as intended when subject to invalid or unexpected inputs on its external interfaces
MLSR092_152: implement a failsafe mode for data recovery function to resuming normal operation, when an attack is detected</t>
  </si>
  <si>
    <t>UL 2900-1-1 15.1</t>
  </si>
  <si>
    <t>NIST SP 800-53 R4 SC-23_x000D_
NIST SP 800-53 R4 CP-11_x000D_
NIST SP 800-53 R4 AC-3</t>
  </si>
  <si>
    <t>Design system that responds to failures on time</t>
  </si>
  <si>
    <t>MLSR049_2199: determine mean time to failure (MTTF) and provide substitute system components whenever required
MLSR049_2202: take components out of service by transferring component responsibilities to substitute components no later than fraction or percentage of MTTF
MLSR049_2204: manually initiate transfers between active and standby components when MTTF exceeds time period
MLSR049_2205: replace and activate standby components  and activate alarm when component failures are detected
MLSR049_2207: provide real-time failover capability for system
MLSR310_78:  implement rate limiting in API and controller access to minimize harm from automated attack tooling
MLSR311_28: implement circuit breaker feature to set threshold for failed responses to an instance of a microservice</t>
  </si>
  <si>
    <t>NIST SP 800-53 R4 SI-11_x000D_
NIST SP 800-53 R4 SI-13_x000D_
NIST SP 800-204 2.6</t>
  </si>
  <si>
    <t xml:space="preserve">Implement mechanism to refresh data only from trusted sources </t>
  </si>
  <si>
    <t>MLSR049_2213: obtain refreshes from defined trusted sources like read-only media or off-line secure storage facilities
MLSR310_119: obtain components only from official sources over secure links and prefer signed packages</t>
  </si>
  <si>
    <t>NIST SP 800-53 R4 SI-14</t>
  </si>
  <si>
    <t>OWASP Top 10 2017 A9:2017</t>
  </si>
  <si>
    <t>Develop feature in system to maintain, review and update inventory of assets</t>
  </si>
  <si>
    <t>MLSR049_799: develop inventory of system components reflecting current system 
MLSR049_800: review and update inventory of system components
MLSR049_802: update inventory of system components as part of system updates
MLSR049_807:  include identity (name, position, role) of an authorized individual as part of inventory
MLSR049_809: ensure component within authorization boundary of one system are not duplicated in other inventories
MLSR049_813: provide centralized repository for inventory of system components
MLSR049_815: support tracking of system components by geographic location
MLSR065_131:  inventory all assets that customer has used over specific period of time
MLSR074_1033: maintain inventory of sources of key information
MLSR049_803: employ automated mechanism to maintain an up-to-date, complete, accurate, and readily available inventory of information system components</t>
  </si>
  <si>
    <t>Use tools to maintain inventory of assets.
Example:
-&gt; ManageEngine Asset Explorer</t>
  </si>
  <si>
    <t>ISO/IEC 27002 18.1.3</t>
  </si>
  <si>
    <t>NIST SP 800-53 R4 CM-7_x000D_
NIST SP 800-53 R4 CM-8</t>
  </si>
  <si>
    <t>ENISA - Cloud 6.5</t>
  </si>
  <si>
    <t>Employ mechanisms to correlate information from system monitoring tools to aid investigation</t>
  </si>
  <si>
    <t>MLSR049_2113: discover, collect forensic artifacts from intrusions at host or network level
MLSR065_162: provide to customer a forensic image of virtual machine upon request
MLSR080_690: use forensics and analysis tools in tandem with active IDS
MLSR049_2099: correlate information from monitoring tools employed throughout system
MLSR049_2101: correlate information from monitoring physical, cyber, and supply chain activities</t>
  </si>
  <si>
    <t>IEC/TR 62443-3-1 8.6.7</t>
  </si>
  <si>
    <t>NIST SP 800-53 R4 SI-4</t>
  </si>
  <si>
    <t xml:space="preserve">Detect and analyze network communications traffic to detect malicious packets
</t>
  </si>
  <si>
    <t>MLSR049_2090: analyze outbound communications traffic to discover anomalies and suspected malicious external addresses
MLSR049_2094: analyze communications traffic/event patterns to reduce false positives and false negatives
MLSR049_2103: analyze outbound communications traffic at external boundary and at interior points
MLSR049_1784: detect and deny outgoing communications traffic posing a threat to external systems
MLSR049_2078: monitor inbound and outbound communications traffic for unusual activities
MLSR079_948: filter unnecessary communication packets from reaching system devices
MLSR065_121: build anomaly detection capabilities to spot unusual and potentially malicious IP traffic
MLSR055_276: understand traffic on network and determine what is normal and what is not normal
MLSR311_25: monitor network traffic into and out of microservices with analytics capabilities to detect attacks
MLSR049_2109: detect network services that are not authorized by defined authorization process
MLSR079_614: identify and examine potential sources for vulnerabilities related to network connectivity
MLSR043_152: detect and prevent entity falsification (non-repudiation)
MLSR049_1762: monitor system resources to determine if sufficient resources exist to prevent effective denial of service attacks
MLSR310_110: restrict and monitor incoming and outgoing network connectivity from containers or servers that deserialize
MLSR307_38: implement anti-spoofing measures to detect and block forged source IP addresses from entering network  in cardholder data environment</t>
  </si>
  <si>
    <t>MLSR050_214: monitor inbound and outbound communications traffic to detect attacks</t>
  </si>
  <si>
    <t>IEC 62443-2-1 A.3.3.4.1_x000D_
IEC 27032 11.4.2.3_x000D_
IEC 62443-2-1 A.2.3.3.8.7_x000D_
IEC TIR80001-2-2 5.11</t>
  </si>
  <si>
    <t>NIST SP 800-53 R4 SI-4_x000D_
NIST SP 800-53 R4 SC-7_x000D_
NIST SP 800-204 2.6_x000D_
NIST SP 800-53 R4 SC-5_x000D_
NIST SP 800-171 R1 Sec Req</t>
  </si>
  <si>
    <t>PCI DSS 1.3.3</t>
  </si>
  <si>
    <t>ENISA - Cloud 6.4.7</t>
  </si>
  <si>
    <t>Employ intrusion detection system to detect attacks</t>
  </si>
  <si>
    <t>MLSR049_1333: employ mechanisms to recognize classes/types of intrusions
MLSR049_2075: employ tool to support near real-time analysis of events
MLSR049_2077: integrate intrusion detection tool into access control/flow control mechanism
MLSR080_614: employ IDS for monitoring access to and from network
MLSR080_614: employ IDS to record information for traffic monitoring and threat analysis
MLSR080_614: employ IDS to detect, alarm, respond, or prevent attacks on network
MLSR055_277:  use network management tool to identify spikes in traffic, “unusual” traffic/ports
MLSR049_2095: employ wireless intrusion detection system to identify rogue wireless devices
MLSR049_2097: employ intrusion detection system to monitor wireless traffic as it passes from wireless to wireline networks
MLSR311_99: create a baseline for normal, uncompromised behavior of microservices and employ IDS nodes to detect deviations from baseline
MLSR311_122: configure IDS and boundary devices to detect denial of service attack</t>
  </si>
  <si>
    <t>Use IDS tools to detect attacks 
Example:
-&gt;SolarWinds Security Event Manager</t>
  </si>
  <si>
    <t>IEC/TR 62443-3-1 8.4.2_x000D_
IEC 27032 11.4.2.3</t>
  </si>
  <si>
    <t>NIST SP 800-53 R4 PE-3_x000D_
NIST SP 800-53 R4 SI-4_x000D_
NIST SP 800-204 4.4_x000D_
NIST SP 800-204 4.7</t>
  </si>
  <si>
    <t>Employ mechanism in mobile device to detect malicious code</t>
  </si>
  <si>
    <t>MLSR305_150: employ mobile malware detection tools to identify malicious software on mobile platforms</t>
  </si>
  <si>
    <t xml:space="preserve">1. Use MDM Tools with inbuilt Mobile Threat Defense (MTD)  mechanism to detect threats on mobile device.
Example:
-&gt; Hexnode MDM
-&gt; IBM MaaS360
2. Use Mobile Threat Defense (MTD) tools with Microsoft Intune to detect threats on mobile device.
Example:
-&gt;Lookout for Work
-&gt;Symantec Endpoint Protection Mobile
</t>
  </si>
  <si>
    <t>Develop feature in system to detect malicious code</t>
  </si>
  <si>
    <t>MLSR049_2060: implement nonsignature-based malicious code detection mechanisms
MLSR049_2066: employ techniques to analyze characteristics and behavior of malicious code
MLSR049_2048: employ malicious code protection mechanisms at entry and exit points of system
MLSR049_2055: update malicious code protection mechanisms only by privileged user    
MLSR049_2050: centrally manage malicious code protection mechanism
MLSR065_58: specify appropriate controls to protect against malicious code
MLSR076_147: implement technologies to detect and report malicious software
MLSR050_210: provide protection from malicious code within system
MLSR080_591: ensure code detection systems are flexible enough to provide defense in depth
MLSR092_134: use self monitoring mechanism to detect and respond to potential attacks using malicious code
MLSR102_207: detect malicious codes and code segments
MLSR055_320: enable script blockers to ensure that only scripts from trusted sources are executed
MLSR055_321: ensure end-users use phishing filters to warn users of potential risk
MLSR049_2025: employ detonation chamber capability within information systems
MLSR049_2062: detect unauthorized operating system commands through kernel API</t>
  </si>
  <si>
    <t xml:space="preserve">Use tools with detonation-based heuristics to detect malicious code.
Example:
-&gt; Office 365 Advanced Threat Protection
Definition:
Detonation chambers, also known as dynamic execution environments, allow organizations to open email attachments, execute untrusted or suspicious applications, and execute URL requests in safety of an isolated environment. It provides means to determine whether associated attachments/applications contain malicious code.
</t>
  </si>
  <si>
    <t>IEC/TR 62443-3-1 8.3_x000D_
IEC 27032 12.4</t>
  </si>
  <si>
    <t>NIST SP 800-53 R4 SI-3_x000D_
NIST SP 800-53 R4 SI-2_x000D_
NIST SP 800-171 R1 Sec Req_x000D_
NIST SP 800-53 R4 SC-43</t>
  </si>
  <si>
    <t>ENISA - Cloud 6.3_x000D_
AUTO11-A2 4.4_x000D_
ANSM’S GUIDELINE 1_x000D_
AS-TGA TGA</t>
  </si>
  <si>
    <t>Employ mechanism to monitor mobile device and detect policy violations</t>
  </si>
  <si>
    <t>MLSR305_55: automatically monitor device configuration and detect policy violations
MLSR305_155: detect rooted and jailbroken mobile device to ensure it is not compromised
MLSR312_71: employ EMM technology to automatically monitor, detect and report when policy violations occur
MLSR312_95: employ MTD systems to detect presence of malicious apps, network-based attacks in mobile device
MLSR305_56: automatically report when policy violations occurs
MLSR305_78: alert administrator when any violations are detected in policy settings</t>
  </si>
  <si>
    <t>Use MDM tools to detect policy violations and rooted/ jailbroken devices
Example:
-&gt; ManageEngine
-&gt; Microsoft Enterprise Mobility</t>
  </si>
  <si>
    <t>NIST SP 1800-4 4.3.1_x000D_
NIST SP 1800-4 Appendix C_x000D_
NIST SP 800-124 R2 4.2.1.1_x000D_
NIST SP 800-124 R2 4.2.3</t>
  </si>
  <si>
    <t>Employ tools to monitor and detect anomalies in containers</t>
  </si>
  <si>
    <t>MLSR301_179: use container aware detection tools to automatically profile containerized apps using behavioral learning and build security profiles to minimize human interaction
MLSR301_192: use tools to monitor directories that are mounted by container and prevent deployment of containers that violate policies related to host OS
MLSR301_205: employ controls to detect and prevent vulnerable images from being deployed in containers
MLSR301_206: employ container-aware network monitoring and filtering to detect anomalous connections to other containers
MLSR301_207: employ container-aware process monitoring and malware detection to detect unexpected malicious processes
MLSR301_170: control egress network traffic ensuring containers are not able to send traffic across networks of differing sensitivity levels
MLSR301_171: use a combination of existing network level devices and App-aware tools to filter traffic
MLSR301_173: use App-aware tools to automatically determine proper container networking surfaces, including both inbound ports and process-port bindings
MLSR301_174: use App-aware tools to detect traffic flows both between containers and other network entities, over both ‘on the wire’ traffic and encapsulated traffic
MLSR301_175: use App-aware tools to detect network anomalies, such as unexpected traffic flows within organization’s network</t>
  </si>
  <si>
    <t>Use tools to monitor and detect anomalies in containers
Example:
-&gt;Sumo Logic
-&gt;Stackrox
-&gt;SolarWinds Server &amp; Application Monitor</t>
  </si>
  <si>
    <t>NIST SP 800-190 4.4.4_x000D_
NIST SP 800-190 4.5.5_x000D_
NIST SP 800-190 5.1_x000D_
NIST SP 800-190 4.4.2</t>
  </si>
  <si>
    <t>Employ tools to detect anomalies in microservices</t>
  </si>
  <si>
    <t xml:space="preserve">MLSR311_97: perform security monitoring at both gateway and service level to detect, alert and respond to inappropriate behavior
MLSR311_98: display a central monitoring dashboard to show status of various microservices and network segments that link them
MLSR311_113: implement replay detection for high security microservices
MLSR311_121: implement credential-stuffing detection solution to check user logins against stolen credential database
</t>
  </si>
  <si>
    <t>NIST SP 800-204 4.4_x000D_
NIST SP 800-204 4.5.3_x000D_
NIST SP 800-204 4.7</t>
  </si>
  <si>
    <t xml:space="preserve">Monitor devices/ software/ users/ connections to detect suspicious operations </t>
  </si>
  <si>
    <t>MLSR049_805: employ mechanism to detect presence of unauthorized hardware, software, and firmware
MLSR049_2111: implement host-based monitoring at system components
MLSR065_122: build capabilities to detect, revoke and trace evidence for actions in event of theft of credentials
MLSR050_108: control and monitor user-installed software
MLSR050_215: identify unauthorized use of organizational systems
MLSR074_560: implement controls that prevent or detect use of malicious websites
MLSR092_163: detect anomalies and switches from standard operating mode to a safe failsafe mode by implementing attack sensors
MLSR049_1972: implement honeyclients to seek and identify malicious websites/code  [Medical Facility]
MLSR049_2069: monitor system to detect attacks and indicators of potential attacks [Medical Facility]
MLSR049_2070: deploy monitoring devices to track specific types of transactions of interest [Medical Facility]
MLSR049_2071: heighten system monitoring activity whenever there is increase in risk to operations and assets [Medical Facility]
MLSR050_182: monitor security controls to ensure continued effectiveness [Medical Facility]
MLSR050_211: monitor security alerts and advisories [Medical Facility]
MLSR307_304: use file-integrity monitoring or change-detection systems to check for changes to log files, and notify when such changes are noted</t>
  </si>
  <si>
    <t xml:space="preserve">Use tools to monitor and detect anomalies 
Example:
-&gt;SolarWinds Security Event Manager
Definition:
HoneyClient is state-based and detects attacks on Windows clients by monitoring files, process events, and registry entries. It contains a crawler, so it can be seeded with a list of initial URLs from which to start and can then continue to traverse web sites in search of client-side malware
</t>
  </si>
  <si>
    <t>ISO/IEC 27002 12.2.1</t>
  </si>
  <si>
    <t>NIST SP 800-53 R4 CM-8_x000D_
NIST SP 800-53 R4 SI-4_x000D_
NIST SP 800-171 R1 Sec Req_x000D_
NIST SP 800-53 R4 SC-34_x000D_
NIST SP 800-53 R4 SI-3</t>
  </si>
  <si>
    <t>PCI DSS 10.5.5</t>
  </si>
  <si>
    <t>ENISA - Cloud 6.4.7_x000D_
ANSM’S GUIDELINE 2</t>
  </si>
  <si>
    <t>Develop feature to detect and prevent unacceptable mobile code execution</t>
  </si>
  <si>
    <t xml:space="preserve">MLSR049_1872: identify unacceptable mobile code and take corrective actions
MLSR049_1875: detect and prevent download and also execution of unacceptable mobile code
MLSR049_1876: detect and prevent automatic execution of mobile code
MLSR049_1878: detect and allow execution of permitted mobile code only in confined VM
MLSR050_202: control and monitor use of mobile code
MLSR049_1870: define acceptable and unacceptable mobile code and mobile code technologies
MLSR065_59: deploy secure configuration to allow execution of authorized mobile code </t>
  </si>
  <si>
    <t>NIST SP 800-53 R4 SC-18_x000D_
NIST SP 800-171 R1 Sec Req_x000D_
NIST SP 800-53 R4 SC-17</t>
  </si>
  <si>
    <t xml:space="preserve">Employ mechanisms to identify and monitor individuals posing threats to security
</t>
  </si>
  <si>
    <t>MLSR049_2105: implement monitoring of individuals identified by sources as posing an increased level of risk
MLSR049_2107: implement monitoring of privileged users
MLSR049_2108: implement monitoring of individuals during probationary period
MLSR055_279: analyze user activity patterns if suddenly 100 percent of available bandwidth is used</t>
  </si>
  <si>
    <t>IEC 27032 11.4.2.3</t>
  </si>
  <si>
    <t>Develop feature in system to alert authorized personnel for unusual activities</t>
  </si>
  <si>
    <t xml:space="preserve">MLSR049_833: alert authorized user/role upon detection of unauthorized software installation
MLSR049_2073: provide system monitoring information to authorized personnel periodically
MLSR049_2080: alert authorized personnel when potential compromise occur
MLSR049_2083: notify detected suspicious events to incident response personnel
MLSR049_2092: alert security personnel of unusual activities 
MLSR049_2135: detect and notify authorized person upon discovering discrepancies
MLSR065_152: report anomalies and security events to customer on cloud environment
MLSR076_179:  implement mechanism that support detection of security incidents as part of incident reporting
MLSR076_181: detect and report security incidents to authorized individuals
MLSR050_128: report incidents to designated officials
MLSR074_319: raise security event if breach of log-on controls are detected
MLSR092_149: monitor correct operation of device and alert if critical impact of operation is detected 
MLSR105_93: design to notify users upon detection of potential cybersecurity breach
MLSR102_84: detect, notify and log cyber security issues and raise alarm when at risk
MLSR078_199: notify authority and report forensic evidence and corrective actions in mission-critical situations
MLSR310_131: implement effective monitoring of logs and alert if suspicious activities are detected
MLSR310_29_1: log all failures and alert administrators when credential stuffing and brute force attacks are detected
MLSR310_77: log access control failures and alert admins for repeated failures
</t>
  </si>
  <si>
    <t>Use tools to alert individuals when incident occurs.
Example:
-&gt;Qualys FIM</t>
  </si>
  <si>
    <t>ISO/IEC 27002 9.4.2_x000D_
IEC/TS 62443-1-1 5.3</t>
  </si>
  <si>
    <t>NIST SP 800-53 R4 CM-10_x000D_
NIST SP 800-53 R4 SI-4_x000D_
NIST SP 800-53 R4 SI-7_x000D_
NIST SP 800-171 R1 Sec Req</t>
  </si>
  <si>
    <t>OWASP Top 10 2017 A10:2017_x000D_
OWASP Top 10 2017 A2:2017_x000D_
OWASP Top 10 2017 A5:2017</t>
  </si>
  <si>
    <t>ENISA - Cloud 6.7.1_x000D_
AUTO11-A2 4.5.2_x000D_
ANSM’S GUIDELINE 1_x000D_
AS-TGA TGA</t>
  </si>
  <si>
    <t>Implement mechanisms to monitor third-party services for handling incidents</t>
  </si>
  <si>
    <t>MLSR065_153: build capability for third party real time security monitoring (RTSM) services on cloud for incident management
MLSR065_154: run real time security monitoring (RTSM) services on cloud for incident management</t>
  </si>
  <si>
    <t>Implement secure network for mobile devices</t>
  </si>
  <si>
    <t>MLSR312_65: ensure to use VPNs via APIs supported by mobile platforms to provide confidentiality protection
MLSR312_138: implement VPN as well as mutual authentication to verify  identities of endpoints before transmitting data
MLSR305_62: implement strong encryption for data communications(TLS) between mobile device and organization
MLSR309_43: implement TLS, DTLS, HTTPS to provide trusted communication channel between MDM agent and MDM server
MLSR309_34: ensure IT infrastructure provides security for network that is available to mobile devices
MLSR309_47: permit only MDM agent and MDM Server and Mobile Application Store(MAS) Server to initiate communication via trusted channel.</t>
  </si>
  <si>
    <t>MLSR312_78: enforce to encrypt data communications between mobile device and organization</t>
  </si>
  <si>
    <t>Use MDM Tools to configure VPN using inbuilt support.
-&gt;Microsoft Intune
-&gt;ManageEngine</t>
  </si>
  <si>
    <t>NIST SP 800-124 R2 4.1.4_x000D_
NIST SP 800-124 R2 4.3.5_x000D_
NIST SP 1800-4 4.3.1_x000D_
NIST SP 800-124 R2 4.2.1.3</t>
  </si>
  <si>
    <t>NIAP EP 5.3.2_x000D_
NIAP EP 4.2</t>
  </si>
  <si>
    <t>Implement secure (SSL/TLS) communication in microservices</t>
  </si>
  <si>
    <t>MLSR311_85: ensure communication between an application service and a service registry occurs through a secure communication protocol HTTPS or TLS
MLSR311_95: ensure to create keep-alive TLS connections for  frequently interacting services
MLSR311_108: protect network connection between load balancer and microservice platform
MLSR311_126: securely channel all traffic information to a monitoring application for detecting attacks</t>
  </si>
  <si>
    <t>Use secure communication in microservices.
Example:
-&gt; Apigee Edge
-&gt; Istio</t>
  </si>
  <si>
    <t>NIST SP 800-204 4.2_x000D_
NIST SP 800-204 4.3_x000D_
NIST SP 800-204 4.5.2_x000D_
NIST SP 800-204 5</t>
  </si>
  <si>
    <t>Implement secure (SSL/TLS) communication to prevent unauthorized access of information</t>
  </si>
  <si>
    <t>MLSR079_1309: encrypt all communications over Internet with SSL
MLSR076_121: authenticate network servers and clients using TLS
MLSR076_140: implement secure communication paths between source and destination
MLSR080_541: enforce network administrators to use SSH to remotely control web and other types of servers
MLSR103_52: implement secure communication channel for data transfer to and from device
MLSR310_46: encrypt all data in transit with secure protocols such as TLS with PFS ciphers
MLSR302_170: establish authenticated protected channel between biometric sensor and verifier
MLSR302_182: ensure all transmission of biometrics are over authenticated protected channel if biometric comparison is performed centrally
MLSR302_189: ensure verifier impersonation-resistant authentication protocol establishes authenticated protected channel with verifier 
MLSR302_193: ensure communications between verifier and CSP occurs through mutually-authenticated secure channel (TLS) using approved cryptography
MLSR302_275: ensure secrets used for session binding are sent to and received from device using authenticated protected channel
MLSR302_277: ensure secrets used for session binding are not available to insecure communications between host and subscriber’s endpoint
MLSR302_277: prohibit authenticated sessions from falling back to an insecure transport, such as from https to http
MLSR049_259: implement secure communication between different security domains by using signature/token
MLSR049_1830: establish trusted communication path between user and security functions
MLSR049_1832: establish trusted communication path, logically isolated and distinguishable from other paths
MLSR074_764: ensure communications path between all involved parties is encrypted and protocols used to communicate between all involved parties are secured</t>
  </si>
  <si>
    <t>Use SSL/TLS  for secure communication.</t>
  </si>
  <si>
    <t>IEC 62443-2-1 A.3.4.4.3.2_x000D_
IEC/TR 62443-3-1 7.4.3_x000D_
ISO/IEC 27002 14.1.3</t>
  </si>
  <si>
    <t>NIST SP 800-63B 5.2.3_x000D_
NIST SP 800-63B 5.2.5_x000D_
NIST SP 800-63B 5.2.6_x000D_
NIST SP 800-63B 7_x000D_
NIST SP 800-53 R4 AC-4_x000D_
NIST SP 800-53 R4 SC-10_x000D_
NIST SP 800-53 R4 SC-11</t>
  </si>
  <si>
    <t>AUTO11-A2 4.3.1_x000D_
AUTO11-A2 4.3.5</t>
  </si>
  <si>
    <t>Employ mechanism for disposal of data during transfer and removal of equipment</t>
  </si>
  <si>
    <t>MLSR065_41: ensure provider fully erases storage, memory and data traces before machines are reallocated
MLSR065_193: clean data on equipment before equipment is sent for repair
MLSR050_137: sanitize CUI stored in equipment before removed for off-site maintenance
MLSR074_489: ensure to maintain log when off-premises equipment is transferred among different individuals or external parties
MLSR074_494: remove sensitive data from equipment containing storage media prior to disposal or re-use
MLSR088_87: perform data scrubbing on equipment prior to shipping back to factory
MLSR043_172 : ensure to erase health data prior to storage devices being decommissioned such that it is irreversible
MLSR016_132: erase all user defined configuration data, sensitive data, PII at time of decommissioning
MLSR222_1524:  design devices to facilitate safe disposal 
MLSR049_1707: dispose system components using defined techniques</t>
  </si>
  <si>
    <t>MLSR074_495: verify equipment whether its containing storage media prior to disposal or re-use</t>
  </si>
  <si>
    <t>Use tools to dispose data stored on system
Example:
-&gt;Microsoft SDelete  [Files]
-&gt;BCWipe [Files]
-&gt;DBAN Blancco Drive Eraser [Disk]</t>
  </si>
  <si>
    <t>UL 2900-1-1 11.5</t>
  </si>
  <si>
    <t>ISO/IEC 27002 11.2.6_x000D_
ISO/IEC 27002 11.2.7_x000D_
IEC TR80001-2-8 4.7_x000D_
IEC TIR80001-2-2 5.14</t>
  </si>
  <si>
    <t>NIST SP 800-171 R1 Sec Req_x000D_
NIST SP 800-53 R4 SA-19</t>
  </si>
  <si>
    <t>ENISA - Cloud 5.1_x000D_
ENISA - Cloud 6.9_x000D_
EU MDR 14.7</t>
  </si>
  <si>
    <t>Maintain separate development, testing and production environment for protection of information</t>
  </si>
  <si>
    <t>MLSR065_56: maintain separate environment for development, test and operational environment
MLSR074_546: have development and operational software run on different systems or computer processors and in different domains or directories
MLSR074_547: test application changes in testing or staging environment prior to being applied to operational systems
MLSR074_549: ensure compilers, editors and other development tools are not accessible from operational systems when not required
MLSR074_550: ensure users use different user profiles for operational and testing systems
MLSR074_620: ensure operational systems only hold approved executable code and not development code or compilers
MLSR037_478: separate development and testing environments for health information systems
MLSR301_182: maintain separate environments for development, test, production, and other scenarios, each with specific controls for container deployment
MLSR307_159: implement separation of duties between development/test and production environments
MLSR307_160: prohibit to use production data for testing or development</t>
  </si>
  <si>
    <t>MLSR307_158: separate development/test environments from production environments</t>
  </si>
  <si>
    <t>ISO/IEC 27002 12.1.4_x000D_
ISO/IEC 27002 12.5.1_x000D_
ISO 27799 12.1.4</t>
  </si>
  <si>
    <t>NIST SP 800-190 4.4.5</t>
  </si>
  <si>
    <t>PCI DSS 6.4.2_x000D_
PCI DSS 6.4.3_x000D_
PCI DSS 6.4.1</t>
  </si>
  <si>
    <t>Implement mechanism to keep applications safe and provide continued operations in cloud</t>
  </si>
  <si>
    <t>MLSR065_69: employ security mechanisms to keep applications safe in cloud
MLSR065_74: ensure application architecture support continued operation from cloud even when company is separated from service provider 
MLSR065_75: use specific security configuration to secure virtual network infrastructure in cloud
MLSR065_137: use standardized API interfaces while using software as a service</t>
  </si>
  <si>
    <t>ENISA - Cloud 6.3.1_x000D_
ENISA - Cloud 6.3.3_x000D_
ENISA - Cloud 6.6</t>
  </si>
  <si>
    <t>Develop feature in system to control access in an emergency situation</t>
  </si>
  <si>
    <t xml:space="preserve">MLSR065_98: implement changes in administrator privileges and roles to allow for extraordinary access in emergency
MLSR080_236: allow simple emergency password for emergency access
MLSR088_94: allow clinical user to access health data without personal user id and authentication during emergency situations
MLSR088_97: allow administrator to enable/disable any emergency functionalities
MLSR088_93: ensure that access to protected heath data is possible in case of emergency situation
MLSR208_75: allow users access in emergency
MLSR043_133: allow administrator to enable/disable emergency functionalities
MLSR043_131: capable to detect emergency access, record and report immediately 
MLSR043_131: notify to system administrator or medical staff when emergency access is used
MLSR043_132: record self-attested user identification without authentication during emergency access 
MLSR076_104: implement procedure for emergency access to obtain electronic PHI data
MLSR043_130: allow to access health data without personal user id and authentication during an emergency </t>
  </si>
  <si>
    <t>IEC/TR 62443-3-1 5.3.6_x000D_
IEC TR80001-2-8 4.9_x000D_
IEC TIR80001-2-2 5.8</t>
  </si>
  <si>
    <t>ENISA - Cloud 6.4.1_x000D_
IMDRF 5.1_x000D_
AUTO11-A2 4.1.7</t>
  </si>
  <si>
    <t>Develop feature in system to verify interoperability and adhere to standard data format</t>
  </si>
  <si>
    <t>MLSR074_1029: ensure data can be retrieved in acceptable format from data storage systems
MLSR104_29: consider level of interoperability for interface and use interfaces as it is intended
MLSR104_43: design interoperable device to mitigate risks associated with failures or malfunctions 
MLSR104_50: validate interoperable devices by verifying data corruption, fail safe states and safe operations
MLSR210_160: ensure interoperability with devices and do not impair specified performance of device
MLSR222_1522: design devices that are intended to be operated together with other devices with interoperability and compatibility
MLSR310_58: use less complex data formats such as JSON wherever applicable
MLSR055_376: ensure standardization of data schema for each category and classification of data collected
MLSR055_376_1: ensure standardization of data format to ease sharing and improve storage, transmission, handling and interoperability between systems
MLSR055_376_2: ensure standardization of basic data processing functionality and algorithms used</t>
  </si>
  <si>
    <t>ISO/IEC 27002 18.1.3_x000D_
IEC 27032 13.5.2</t>
  </si>
  <si>
    <t>FDA-COTS A_x000D_
FDA-COTS C_x000D_
FDA-COTS D</t>
  </si>
  <si>
    <t>MDCG 3.6_x000D_
EU MDR 14.5</t>
  </si>
  <si>
    <t>Classify assets based on security and segregate systems</t>
  </si>
  <si>
    <t>MLSR065_135: employ appropriate segregation between systems that have different security classifications of assets</t>
  </si>
  <si>
    <t>Develop feature in system to protect PHI data from unauthorized modification</t>
  </si>
  <si>
    <t>MLSR076_128: store PHI securely such that it is accessible only by authenticated personnel 
MLSR074_1036: ensure privacy and protection of PHI as required in relevant legislation and regulation 
MLSR043_166: ensure health data stored on products or media stays secure proportionate to sensitivity and volume of data records on device
MLSR043_189: encrypt health data stored on medical device
MLSR043_200: provide integrity assurance to health data is maintained during transmission
MLSR043_195: provide assurance to health data confidentiality is maintained during transmission between authenticated nodes
MLSR043_82: clear health data from all displays during automatic log off
MLSR219_110: protect ePHI while transit over an electronic communications network
MLSR076_136: implement encryption to protect PHI data transmitted between systems
MLSR037_589: ensure confidentiality and integrity while transmitting PHI by electronic messaging
MLSR088_88: hide patient identity from clinical user, service engineers accessing health data
MLSR105_81: ensure confidentiality through use of encryption, for all data whose disclosure could lead to patient harm
MLSR219_40: protect uses or disclosures of ePHI that are not permitted by privacy rule</t>
  </si>
  <si>
    <t xml:space="preserve">MLSR088_125: ensure reasonable assurance to health data stored on products or media stays secure
MLSR043_188: ensure reasonable assurance to health data stored on products or media stays secure
</t>
  </si>
  <si>
    <t>Use encryption to protect PHI data.
Example - File system:
-&gt;BitLocker
-&gt;DiskCryptor
Example - Database:
-&gt; SQL server TDE [Enterprise]
-&gt; DbDefense for Microsoft SQL</t>
  </si>
  <si>
    <t>ISO/IEC 27002 18.1.4_x000D_
IEC TIR80001-2-2 5.13_x000D_
IEC TIR80001-2-2 5.17_x000D_
IEC TIR80001-2-2 5.19_x000D_
IEC TIR80001-2-2 5.18_x000D_
ISO 27799 13.2.3_x000D_
IEC TR80001-2-8 4.7_x000D_
IEC TR80001-2-8 4.18</t>
  </si>
  <si>
    <t>NIST SP 800-66 4.18_x000D_
NIST SP 800-66 2.1.2</t>
  </si>
  <si>
    <t>AUTO11-A2 4.3.3_x000D_
AUTO11-A2 4.3.5</t>
  </si>
  <si>
    <t>Develop feature to encode data to ensure integrity</t>
  </si>
  <si>
    <t xml:space="preserve">MLSR076_328: encode all data using well-established algorithms in a trusted environment
</t>
  </si>
  <si>
    <t>Use industry recommended encoding format for all outgoing data.
Example:
-&gt; ASCII
-&gt; UTF
-&gt; ANSI/ISO</t>
  </si>
  <si>
    <t>AUTO11-A2 5.1.1</t>
  </si>
  <si>
    <t>Employ mechanism to wipe data for mobile devices at risk</t>
  </si>
  <si>
    <t xml:space="preserve">MLSR049_311: purge/wipe information from mobile device after configured number of continuous unsuccessful login attempts
MLSR305_65: wipe mobile device before reissuing or retiring mobile device
MLSR305_66: remotely wipe mobile device if it is lost, stolen, or fallen into untrusted hands
MLSR305_67: configure mobile device to wipe itself after certain number of incorrect authentication attempts
MLSR305_137: implement selective wipe to access enterprise data stored on mobile without affecting personal data
MLSR309_10: allow MDM administrator to wipe of enterprise data for non-compliant devices
MLSR309_120: wipe out device if MDM Agent has been out of connectivity with the server for too long
MLSR312_130: enable remote wipe by allowing system administrator to install and configure profile/agent on mobile device
</t>
  </si>
  <si>
    <t>MLSR312_76: wipe mobile device after a certain number of incorrect authentication attempts
MLSR312_80: wipe mobile device before reissuing to another user or retiring device
MLSR312_81: remotely wipe mobile device if device has been lost, stolen or fallen into untrusted hands</t>
  </si>
  <si>
    <t xml:space="preserve">1.Use MDM to wipe data(factory reset) in mobile device 
Example:
-&gt; Microsoft Enterprise Mobility
-&gt; ManageEngine Mobile Device Manager Plus
2.Use Microsoft Intune Company Portal for light weight management and to wipe data (factory reset) in mobile device
</t>
  </si>
  <si>
    <t>NIST SP 800-53 R4 AC-7_x000D_
NIST SP 1800-4 4.3.1_x000D_
NIST SP 1800-4 Appendix C_x000D_
NIST SP 800-124 R2 4.3.3_x000D_
NIST SP 800-124 R2 4.2.1.2_x000D_
NIST SP 800-124 R2 4.2.1.3</t>
  </si>
  <si>
    <t>NIAP EP 1.5_x000D_
NIAP EP C.1.2</t>
  </si>
  <si>
    <t>Develop feature in system to erase personal data when no longer needed</t>
  </si>
  <si>
    <t>MLSR076_62: ensure data collected are de-identified or disposed once purpose is completed
MLSR221_82: ensure personal data erased where data are no longer necessary</t>
  </si>
  <si>
    <t>AUTO11-A2 3_x000D_
GDPR Legislative acts</t>
  </si>
  <si>
    <t>Implement hardening in bluetooth device by disabling unnecessary services</t>
  </si>
  <si>
    <t>MLSR304_157: disable unneeded, unapproved service and profiles from bluetooth devices
MLSR304_168: disable all bluetooth capabilities except when user explicitly enables bluetooth to establish a connection</t>
  </si>
  <si>
    <t>Implement principle of least functionality in container OS</t>
  </si>
  <si>
    <t xml:space="preserve">MLSR301_184: use container-specific OSs to reduce attack surfaces
MLSR301_185: prevent running unnecessary system services that can increase attack on host OS </t>
  </si>
  <si>
    <t>NIST SP 800-190 4.5.1</t>
  </si>
  <si>
    <t>Implement hardening in OS/system to apply principle of least functionality</t>
  </si>
  <si>
    <t>MLSR076_125: evaluate system platform for security features and hardened as appropriate
MLSR076_126: provide environment that minimize security threats as part of platform hardening
MLSR080_753: use highly secure OS which incorporate encrypted file systems, disabling of unnecessary network ports, client-side firewalls
MLSR080_753: use highly secure OS which incorporate strong process isolation, sealed storage, secure channels
MLSR080_753: use highly secure OS which incorporate attestation, mandatory access control, isolated security domains, system event auditing
MLSR203_52: design network to be hardened
MLSR203_55: enforce hardening of all deployed services to greatest extent possible
MLSR203_44: ensure all applications in use are subject to essential system hardening
MLSR088_118_1: ensure systems connected to network are hardened against misuse and attacks
MLSR092_135: harden operating systems used in medical device information systems
MLSR055_309: ensure servers and OS are configured in accordance with baseline security configuration guide
MLSR210_157: ensure workstations connected to device includes OS hardening, memory protection and solutions that counter malicious code</t>
  </si>
  <si>
    <t>MLSR043_177: ensure system connected to network is hardened against misuse and attacks on delivery</t>
  </si>
  <si>
    <t>Use tools for system hardening
Example:
-&gt; Lynis (Linux, Mac)
-&gt; Attack Surface Analyzer 2.0 (Windows, Linux, Mac)
-&gt;Nessus</t>
  </si>
  <si>
    <t>IEC/TR 62443-3-1 9.2.6_x000D_
IEC TR80001-2-8 4.16_x000D_
IEC 27032 12.3_x000D_
IEC TIR80001-2-2 5.15</t>
  </si>
  <si>
    <t>AUTO11-A2 4.3.2_x000D_
CSR-NET 3.1_x000D_
ANSM’S GUIDELINE 1_x000D_
MDCG 3.6</t>
  </si>
  <si>
    <t>Develop feature in system to control access to PHI data</t>
  </si>
  <si>
    <t>MLSR037_281: control access and allow only users of health information systems to access PHI
MLSR037_316: define discretionary access control to grant access to those who have no previously established relationship to that subject of care’s PHI (e.g. a specialist)
MLSR219_106: maintain ePHI to allow access only to persons or programs that have been granted access rights
MLSR037_440: ensure authorization for use of PHI of devices that record or report data outside organization premises 
MLSR043_377: manage machine-to-machine access between modality and workstation to protect PHI access
MLSR043_80: prohibit unauthorized users to access health data at unattended workspot 
MLSR088_76: control access to health data and functions only necessary to perform tasks
MLSR201_20: redesign devices to gain access to patient-specific information 
MLSR102_249: implement actions necessary to address malicious access to a device or deletion, alteration, falsification or unauthorized sharing of patient data</t>
  </si>
  <si>
    <t>MLSR088_63: reduce risk of unauthorized access to health data from unattended workspot</t>
  </si>
  <si>
    <t>ISO 27799 9.1.1_x000D_
ISO 27799 9.2.3_x000D_
ISO 27799 11.2.6_x000D_
IEC TIR80001-2-2 Annex B_x000D_
IEC TIR80001-2-2 5.1_x000D_
IEC TR80001-2-8 4.4_x000D_
IEC TR80001-2-8 4.2</t>
  </si>
  <si>
    <t>NIST SP 800-66 4.14</t>
  </si>
  <si>
    <t>AS-TGA TGA</t>
  </si>
  <si>
    <t>Develop feature to enroll/unenroll mobile device for organization's systems</t>
  </si>
  <si>
    <t>MLSR309_27: ensure mobile device is enrolled to specific user by MDM administrator prior to use in enterprise network
MLSR309_79: ensure MDM Agent records reference identifier of MDM Server during enrollment process of mobile device
MLSR309_96: ensure MDM Agent is capable to enroll/unenroll from management
MLSR309_103: ensure MDM Agent prevents unenrollment from occurring and wipe data where unenrollment is allowed</t>
  </si>
  <si>
    <t>Use MDM Tools to enroll/unenroll mobile device to organization specific system.
Example:
-&gt; Intune
-&gt; ManageEngine
-&gt; IBM MaaS360</t>
  </si>
  <si>
    <t>NIAP EP 3.3_x000D_
NIAP EP 5.5.2_x000D_
NIAP EP 5.5.3</t>
  </si>
  <si>
    <t xml:space="preserve">Develop feature in bluetooth device to generate PIN for mutual authentication </t>
  </si>
  <si>
    <t>MLSR304_45: implement 4 digit PIN for low risk devices and 8-character alphanumeric PIN for bluetooth(classic) devices that require higher level of security
MLSR304_149: set PIN that are sufficiently random, long and private</t>
  </si>
  <si>
    <t>NIST SP 800-121 R2 3.1.1.1_x000D_
NIST SP 800-121 R2 4.4</t>
  </si>
  <si>
    <t>Employ mechanism to change default passwords in cardholder wireless data environment</t>
  </si>
  <si>
    <t>MLSR307_47: change all wireless vendor defaults at installation, including default wireless encryption keys, passwords in cardholder data environment</t>
  </si>
  <si>
    <t xml:space="preserve">Develop feature to manage lock/ unlock code for mobile device </t>
  </si>
  <si>
    <t>MLSR305_69: set long or more complex mobile device unlock codes
MLSR305_72: allow administrator to remotely reset password/passcode when device account lockout is enabled or device password/passcode is forgotten 
MLSR312_72: use password or other authenticator such as passcode, fingerprint, face to unlock mobile device
MLSR312_74: ensure mobile device automatically locks itself after it is idle for a period of time
MLSR302_68: permit user’s device to display individual entered characters for a short time after each character is typed on mobile device</t>
  </si>
  <si>
    <t>Use MDM Tools to set mobile password/ passcode policy.
Example:
-&gt; Intune
-&gt; ManageEngine</t>
  </si>
  <si>
    <t>NIST SP 1800-4 4.3.1_x000D_
NIST SP 800-124 R2 4.2.1.2_x000D_
NIST SP 800-63B 5.1.1.2</t>
  </si>
  <si>
    <t>Implement mechanisms to transmit passwords in a secure manner</t>
  </si>
  <si>
    <t>MLSR074_277: ensure temporary secret authentication information is given in a secure manner to user
MLSR074_277: ensure use of external parties or unprotected (clear text) electronic mail messages are avoided
MLSR074_279: ensure user acknowledge receipt of secret authentication information
MLSR080_239: ensure initial passwords and passwords that have been reset are securely transmitted
MLSR074_322: prohibit to transmit passwords in clear text over a network
MLSR080_243: transmit passwords in secured encryption format over network
MLSR302_69: use approved encryption and authenticated protected channel when requesting look-up secrets
MLSR302_76: distribute look-up secrets over secure channel
MLSR302_94: perform transfer of secret using technology such as barcode or QR code to associate approval with authentication transaction
MLSR302_114: use approved encryption and authenticated protected channel when collecting OTP
MLSR302_232: ensure long-term authenticator secrets is issued to applicant within a protected session for remote transactions</t>
  </si>
  <si>
    <t>MLSR074_337: transmit passwords in protected form</t>
  </si>
  <si>
    <t>ISO/IEC 27002 9.2.4_x000D_
IEC/TR 62443-3-1 5.3.7_x000D_
ISO/IEC 27002 9.4.2_x000D_
ISO/IEC 27002 9.4.3</t>
  </si>
  <si>
    <t>NIST SP 800-63B 5.1.1.2_x000D_
NIST SP 800-63B 5.1.2.1_x000D_
NIST SP 800-63B 5.1.3.1_x000D_
NIST SP 800-63B 5.1.4.2_x000D_
NIST SP 800-63B 6.1.1</t>
  </si>
  <si>
    <t>Implement authentication feature in containers to prevent unauthorized access</t>
  </si>
  <si>
    <t>MLSR301_153: enforce authentication for all access to registries that contain proprietary or sensitive images
MLSR301_153: enforce authentication for write access to registry to ensure only images from trusted entities are added 
MLSR301_167_2: ensure orchestrators provide mutually authenticated network connections between cluster members
MLSR301_159: implement single sign-on to simplify orchestrator authentication experience</t>
  </si>
  <si>
    <t>Use IAM feature in tools to manage authentication in containers
Example:
-&gt; Google Kubernetes Engine
-&gt; AWS ECS</t>
  </si>
  <si>
    <t>NIST SP 800-190 4.2.3_x000D_
NIST SP 800-190 4.3.5_x000D_
NIST SP 800-190 4.3.2</t>
  </si>
  <si>
    <t>Implement screen savers to prevent unauthorized access</t>
  </si>
  <si>
    <t>MLSR088_63_1: enforce to lock system and display screen saver if system is idle for more than pre-configured duration
MLSR079_1058: enforce screen savers with password protection
MLSR043_84: enable screen saver with short inactivity time or manually enabled by a shortcut key
MLSR043_85: enable screen lock with resumption of session when no key is pressed for short period and preserve uncommitted data
MLSR050_63: use session lock with pattern-hiding displays to prevent unauthorized access
MLSR049_331: prevent access by initiating session lock after a defined time period</t>
  </si>
  <si>
    <t>MLSR076_107:  lock user session after a defined period of inactivity</t>
  </si>
  <si>
    <t>IEC TR80001-2-8 4.2_x000D_
IEC 62443-2-1 A.3.3.6.5.2_x000D_
IEC TIR80001-2-2 5.1</t>
  </si>
  <si>
    <t>NIST SP 800-171 R1 Sec Req_x000D_
NIST SP 800-53 R4 AC-11</t>
  </si>
  <si>
    <t>AUTO11-A2 4.1.9</t>
  </si>
  <si>
    <t>Implement encrypted channels to connect to registry in container</t>
  </si>
  <si>
    <t>MLSR301_149: configure development tools, orchestrators, and container runtimes to only connect to registries over encrypted channels
MLSR301_149: ensure all data pushed to and pulled from a container registry occurs between trusted endpoints and is encrypted in transit</t>
  </si>
  <si>
    <t>NIST SP 800-190 4.2.1</t>
  </si>
  <si>
    <t>Employ mechanism to protect data during transmission on mobile device</t>
  </si>
  <si>
    <t>MLSR305_135: implement strong encryption to protect confidentiality of data transmitted on mobile device over untrusted networks
MLSR309_31: protect data exchange between MDM Server and MDM Agent
MLSR076_238: ensure connection of mobile devices to maintain confidentiality, integrity and authenticity of transmitted data</t>
  </si>
  <si>
    <t>Use Transport Layer Security(TLS) to protect confidentiality of data</t>
  </si>
  <si>
    <t>NIAP EP 4.1_x000D_
AUTO11-A2 4.8.1</t>
  </si>
  <si>
    <t>Implement cryptographic mechanisms to enforce use of trusted container images</t>
  </si>
  <si>
    <t xml:space="preserve">MLSR301_140: encrypt secrets are always at rest and in transit use FIPS 140 approved cryptographic algorithms
MLSR301_144: identify each container image by cryptographic signature, using NIST-validated implementation
MLSR301_146: validate signatures before execution to ensure container images are from trusted sources and are not tampered 
MLSR301_160: use encryption tools which use cryptographic mechanisms for encrypting data in containers 
MLSR301_200: ensure trusted computing model start with secure boot and build a chain of trust rooted in hardware and extend to bootloaders, OS kernel, and OS components
MLSR301_223: validate integrity of images before runtime by leveraging hashes and digital signatures
MLSR301_217: ensure only trusted images are allowed to run to prevent use of images from external, unvetted sources
</t>
  </si>
  <si>
    <t>Use tool features to enforce use of trusted container images.
Example:
-&gt;Docker(Docker Content Trust)
-&gt;Google Kubernetes Engine(Binary Authorization)</t>
  </si>
  <si>
    <t>NIST SP 800-190 4.1.4_x000D_
NIST SP 800-190 4.1.5_x000D_
NIST SP 800-190 4.3.2_x000D_
NIST SP 800-190 4.6_x000D_
NIST SP 800-190 5.3</t>
  </si>
  <si>
    <t>Develop feature in system to protect integrity of audit logs</t>
  </si>
  <si>
    <t>MLSR065_64: check and protect integrity of audit logs
MLSR037_518: protect audit logs from tampering
MLSR043_92: secure audit data as appropriate especially if it contains personal data
MLSR043_94: protect audit data that contains personal data or health data</t>
  </si>
  <si>
    <t>Use tools to maintain and verify integrity of audit logs
Example - File Encryption
-&gt;BitLocker
-&gt;DiskCryptor
Example - Database Encryption
-&gt; SQL server TDE [Enterprise]
-&gt; DbDefense for Microsoft SQL</t>
  </si>
  <si>
    <t>ISO 27799 12.4.2_x000D_
IEC TIR80001-2-2 5.2</t>
  </si>
  <si>
    <t>Implement data isolation and security mechanisms  in containers</t>
  </si>
  <si>
    <t xml:space="preserve">MLSR301_29: ensure data is persisted in containers by using external, persistent data stores such as databases
MLSR301_40: ensure each container can only utilize amount of resources assigned to it  
MLSR301_40: ensure no container, interfere with operations of another container
MLSR301_55: ensure container image includes only executables and libraries required by app itself 
MLSR301_163: segment containers by purpose, sensitivity, and threat posture to provide additional defense in depth
MLSR301_178: ensure containers are run with default profiles provided by runtime
MLSR301_186: isolate containerized workloads to container-specific hosts and prevent running non-containerized workloads on same host OS
MLSR301_188: ensure host OSs are operated in an immutable manner with no data or state stored uniquely and persistently on host
MLSR301_191_1: prevent mount of sensitive directories on host’s file system, especially containing configuration settings for OS
MLSR301_195: ensure to measure firmware, software, and configuration data before it is executed using RTM and store them in a hardware root of trust, like TPM and validate current RTM measurements match expected measurements
MLSR301_222: build a threat profile of container's runtime
MLSR301_224: restrict images from being run based on rules establishing acceptable vulnerability severity levels
</t>
  </si>
  <si>
    <t>MLSR301_212: implement segmentation of workloads to ensure scope of compromise is limited to apps of common sensitivity level
MLSR301_219: implement runtime controls that limit container's ability to abuse resources</t>
  </si>
  <si>
    <t>NIST SP 800-190 2.1_x000D_
NIST SP 800-190 2.2_x000D_
NIST SP 800-190 2.3.1_x000D_
NIST SP 800-190 4.3.4_x000D_
NIST SP 800-190 4.4.3_x000D_
NIST SP 800-190 4.5.2_x000D_
NIST SP 800-190 4.5.3_x000D_
NIST SP 800-190 4.5.5_x000D_
NIST SP 800-190 4.6_x000D_
NIST SP 800-190 5.3_x000D_
NIST SP 800-190 5.1</t>
  </si>
  <si>
    <t>Configure orchestrators to monitor and manage running containers</t>
  </si>
  <si>
    <t xml:space="preserve">MLSR301_137: use orchestrators to ensure secrets are stored outside of container images and provided dynamically at runtime as needed
MLSR301_161: configure orchestrators to separate network traffic into discrete virtual networks by sensitivity level
MLSR301_162: configure orchestrators to isolate deployments to specific sets of hosts by sensitivity levels
MLSR301_162: configure orchestrators to prevent high sensitivity workloads from being placed on same host as those running lower sensitivity workloads
MLSR301_167: persist identity throughout lifecycle, and provide accurate inventory of nodes and their connectivity states on orchestrators
MLSR301_167_1: ensure orchestrators are designed such that a compromised node is isolated and removed from cluster without disrupting overall cluster operations
</t>
  </si>
  <si>
    <t>NIST SP 800-190 4.1.4_x000D_
NIST SP 800-190 4.3.3_x000D_
NIST SP 800-190 4.3.4_x000D_
NIST SP 800-190 4.3.5</t>
  </si>
  <si>
    <t>Implement registries to manage container images</t>
  </si>
  <si>
    <t xml:space="preserve">MLSR301_141: deploy only images from a set of trusted container images and registries
MLSR301_143: build capability to centrally control exactly what container images and registries are trusted 
MLSR301_151: access container images using immutable names that specify discrete versions of images to be used
MLSR301_216: ensure only vetted, tested, validated, and digitally signed images are allowed to be uploaded to organization’s registries
</t>
  </si>
  <si>
    <t>NIST SP 800-190 4.1.5_x000D_
NIST SP 800-190 4.2.2_x000D_
NIST SP 800-190 5.3</t>
  </si>
  <si>
    <t>Employ mechanisms to implement authorization in containers</t>
  </si>
  <si>
    <t>MLSR301_112: ensure containers prohibit to make changes to locations that control basic functionality of host OS
MLSR301_157:  enforce least privilege access model in orchestrators such that users are able to perform only specific actions
MLSR301_177: provide protection at host OS layer, ensuring only specific files, paths, and processes are accessible to containerized apps
MLSR301_191: ensure containers are run with minimal set of file system permissions required
MLSR301_211: employ mandatory access control capabilities that provide additional barriers to ensure system activity is segmented within boundaries
MLSR301_221: validate container runtime to follow least-privilege and least-access principles</t>
  </si>
  <si>
    <t>Use IAM feature in tools to manage authorization in containers
Example:
-&gt; Google Kubernetes Engine
-&gt; AWS ECS</t>
  </si>
  <si>
    <t>NIST SP 800-190 3.4.3_x000D_
NIST SP 800-190 4.3.1_x000D_
NIST SP 800-190 4.4.3_x000D_
NIST SP 800-190 4.5.5_x000D_
NIST SP 800-190 5.1_x000D_
NIST SP 800-190 5.3</t>
  </si>
  <si>
    <t>Develop feature in system to remove access of user when no longer required and notify individual</t>
  </si>
  <si>
    <t>MLSR074_291: remove access rights upon termination of employment
MLSR079_1020: revoke permissions on access accounts when no longer needed 
MLSR037_208: terminate user previous rights when there is change in role or leaves organization
MLSR037_333: terminate user access privileges upon termination of employment, contracting, or volunteer activities
MLSR307_204: immediately revoke access for any terminated users
MLSR050_158: protect CUI by disabling system access during and after personnel actions such as terminations and transfers
MLSR049_1444: disable system access, revoke credentials and nofify authorized personnel when an individual employment is terminated 
MLSR049_1448: employ automated mechanisms to notify upon termination of an individual</t>
  </si>
  <si>
    <t>Use OAuth 2.0/SAML 2.0 framework for removing user access when no longer required.
Example:
-&gt;Okta
-&gt;AWS IAM</t>
  </si>
  <si>
    <t>ISO/IEC 27002 9.2.6_x000D_
IEC 62443-2-1 A.3.3.5.4.1_x000D_
ISO 27799 7.3.1_x000D_
ISO 27799 9.2.6</t>
  </si>
  <si>
    <t>NIST SP 800-171 R1 Sec Req_x000D_
NIST SP 800-53 R4 PS-4</t>
  </si>
  <si>
    <t>PCI DSS 8.1.3</t>
  </si>
  <si>
    <t>Employ mechanisms to track container images and configurations</t>
  </si>
  <si>
    <t>MLSR301_176: use automated tools that continuously assess configuration settings across environment and actively enforce them</t>
  </si>
  <si>
    <t>Use tools to monitor configuration of settings across environments in containers
Example:
-&gt; AWS Config
-&gt; Kubernetes ConfigMap</t>
  </si>
  <si>
    <t>NIST SP 800-190 4.4.3</t>
  </si>
  <si>
    <t>Employ configuration control to manage code and libraries</t>
  </si>
  <si>
    <t>MLSR049_1576: employ tools for comparing newly generated versions of source code with previous versions
MLSR074_357: ensure updating of program source libraries, associated items and issuing of program sources are performed after appropriate authorization
MLSR074_619: perform updation of operation software, applications and program libraries by trained administrators
MLSR074_354: ensure program source libraries are not in operational systems
MLSR074_355: ensure program source code and source libraries are managed according to established procedures
MLSR074_358: ensure program listings are held in secure environment
MLSR074_352: ensure program source code and associated items are strictly controlled/restricted
MLSR074_356: ensure support personnel does not have unrestricted access to program source libraries
MLSR105_89: implement software configuration management and permit tracking and control of software changes</t>
  </si>
  <si>
    <t>Use tools to manage code and libraries.
Example:
-&gt; TFS
-&gt; SourceTree</t>
  </si>
  <si>
    <t>ISO/IEC 27002 9.4.5_x000D_
ISO/IEC 27002 12.5.1</t>
  </si>
  <si>
    <t>NIST SP 800-53 R4 SA-10</t>
  </si>
  <si>
    <t>Implement mechanisms in system to handle failures</t>
  </si>
  <si>
    <t>MLSR049_1802: ensure to fail securely in event of operational failure of boundary protection device
MLSR049_1836: maintain availability of information in event of loss of cryptographic keys by users
MLSR049_1893: ensure that name/address resolution service are fault-tolerant and implements internal/external role separation
MLSR049_1958: partition system into system components residing in separate physical domains
MLSR049_1976: distribute processing and storage across multiple physical locations
MLSR049_1978: employ polling techniques to identify potential faults, errors, or compromises to distributed processing and storage components
MLSR049_2141: implement automatic shut down, restart when integrity violations are discovered
MLSR049_2224: implement fail-safe procedures like re-establishing system settings or contacting personnel when defined failure conditions occur
MLSR076_201: design systems to 'fail open' when security infrastructure malfunctions
MLSR076_204: design system to recover from disk drives when system is down
MLSR037_762: necessitate fallback procedures to counter failure in processes, systems and relevant equipment
MLSR105_100: design device such that it specifies level of autonomous functionality when communication capabilities are disrupted for significant duration
MLSR105_101: design system to be resilient to network outages, DoS attacks, excessive bandwidth usage, disrupted quality of service (QoS)
MLSR043_124: provide capability to restore system settings and health data stored on products after a system failure or compromise
MLSR088_91: provide capability to restore health data after system failure or compromise occurs
MLSR092_151: allow data recovery to restore data when swapping out equipment
MLSR221_378_1: restore availability and access to personal data in timely manner in event of physical or technical incident
MLSR210_228: implement data recovery mechanisms to restore data from critical systems
MLSR049_929: implement transaction recovery for transaction-based systems
MLSR049_932: provide capability to restore information system components within defined restoration time-periods</t>
  </si>
  <si>
    <t>ISO 27799 17.1.2_x000D_
IEC TIR80001-2-2 5.7_x000D_
IEC TR80001-2-8 4.8</t>
  </si>
  <si>
    <t>NIST SP 800-53 R4 SC-7_x000D_
NIST SP 800-53 R4 SC-12_x000D_
NIST SP 800-53 R4 SC-21_x000D_
NIST SP 800-53 R4 SC-31_x000D_
NIST SP 800-53 R4 SC-35_x000D_
NIST SP 800-53 R4 SC-36_x000D_
NIST SP 800-53 R4 SI-7_x000D_
NIST SP 800-53 R4 SI-16_x000D_
NIST SP 800-53 R4 CP-10</t>
  </si>
  <si>
    <t>AUTO11-A2 4.6.2_x000D_
ANSM’S GUIDELINE 1_x000D_
GDPR Article 32_x000D_
MDCG 7</t>
  </si>
  <si>
    <t>Design system with physical locks to protect devices from tampering /unauthorized access</t>
  </si>
  <si>
    <t xml:space="preserve">MLSR092_137: ensure physical security of device such as lock protecting access to connected medical device
MLSR105_61: implement physical lock mechanism for communication ports to minimize device tampering
MLSR208_81: implement physical security controls for communication port to prevent unauthorized person from accessing device
MLSR049_1310: provide lockable physical casings to protect information system components
MLSR049_2007: physically disable or remove defined connection ports or input/output devices </t>
  </si>
  <si>
    <t>Use physical locks to protect devices
Example:
-&gt;PadJack [USB &amp; D-Sub DB9 PORT]</t>
  </si>
  <si>
    <t>NIST SP 800-53 R4 PE-3_x000D_
NIST SP 800-53 R4 SC-39</t>
  </si>
  <si>
    <t>ANSM’S GUIDELINE 1_x000D_
IMDRF 5.1</t>
  </si>
  <si>
    <t>Employ vulnerability management tool in containers</t>
  </si>
  <si>
    <t xml:space="preserve">MLSR301_125: use vulnerability management tools that use pipeline-based build approach, immutable nature of containers and images 
MLSR301_126: use vulnerability management tools that provide integration with entire lifecycle of container images
MLSR301_127: use vulnerability management tools that provide centralized reporting, monitoring and visibility into vulnerabilities at all layers of container image 
MLSR301_128: use vulnerability management tools that provide policy-driven enforcement to create “quality gates” at each stage of build and deployment of container images
MLSR301_136:  monitor all container images continuously for embedded malware
MLSR301_155:  integrate automated scans to prevent deployment of vulnerable or misconfigured images
MLSR301_169: monitor container runtime for vulnerabilities, and remediate after detection
MLSR301_169_1: use tool to monitor CVE vulnerabilities in container runtimes
MLSR301_213: employ security tools that report on vulnerability state of runtimes
MLSR301_213: employ security tools that prevent deployment of images to vulnerable runtimes
MLSR301_218: automatically scan images for vulnerabilities and malware to detect malicious code
MLSR301_150: prune registries of unsafe, vulnerable images that is no longer used in containers
MLSR311_123: configure service hosts to scan file uploads and contents of each container's memory
</t>
  </si>
  <si>
    <t>Use tools to detect vulnerabilities in containers
Example:
-&gt;Sumo Logic
-&gt;Stackrox</t>
  </si>
  <si>
    <t>NIST SP 800-190 4.1.1_x000D_
NIST SP 800-190 4.1.3_x000D_
NIST SP 800-190 4.2.3_x000D_
NIST SP 800-190 4.4.1_x000D_
NIST SP 800-190 5.1_x000D_
NIST SP 800-190 5.3_x000D_
NIST SP 800-190 4.2.2_x000D_
NIST SP 800-204 4.7</t>
  </si>
  <si>
    <t xml:space="preserve">Employ anti-malware and anti-spyware tools to protect against malicious attacks
</t>
  </si>
  <si>
    <t>MLSR092_133: use antivirus software in information system of medical device
MLSR037_484: implement appropriate prevention, detection and response controls to protect against malicious software
MLSR105_85: implement features that allow security compromises to be detected, recognized and logged
MLSR076_160: perform final antivirus and antispyware scans before packaging
MLSR076_163: perform antivirus and antispyware scan upon installation of instrument
MLSR016_154: scan binary code and bytecode using malware detection tool to identify malware
MLSR203_68: implement detection and protection measures for malware attacks [Medical Facility]
MLSR076_152: use antivirus and antispyware software to protect computer systems  [Medical Facility]
MLSR088_102: provide capability to prevent, detect malware and remove if any malware found [Medical Facility]
MLSR088_103: have capability to detect traditional malware as well as unauthorized software [Medical Facility]
MLSR055_319: use anti-virus and anti-spyware tools and keep signature databases up-to-date [Medical Facility]
MLSR105_88: include endpoint protections such as anti- malware, firewall, whitelisting, security event parameters, physical security detection [Medical Facility]
MLSR043_144: detect traditional malware and unauthorized software that interfere operation of device [Medical Facility]
MLSR105_86: permit routine security and antivirus scanning without impacting performance [Medical Facility]
MLSR080_593: employ virus detection systems that monitor and respond to indicators [Medical Facility]
MLSR074_567: scan web pages for malware [Medical Facility]
MLSR074_566: scan electronic mail attachments and downloads for malware [Medical Facility]
MLSR307_137: deploy anti-virus software on all systems commonly affected by malicious software
MLSR307_138: ensure anti-virus programs are capable of detecting, removing, and protecting against all known types of malicious software
MLSR307_140: ensure all anti-virus mechanisms are kept current, periodic scans are performed and audit logs are generated
MLSR307_141: ensure anti-virus mechanisms cannot be disabled/altered by users unless specifically authorized
MLSR074_557: ensure detection, prevention and recovery controls are implemented to protect against malware</t>
  </si>
  <si>
    <t>Use tools to protect from anti-spyware and anti-malwares.
Example:
-&gt; Symantec
-&gt; Norton</t>
  </si>
  <si>
    <t>UL 2900-1-1 14.1</t>
  </si>
  <si>
    <t>ISO 27799 12.2.1_x000D_
IEC TR80001-2-8 4.11_x000D_
IEC 27032 12.4_x000D_
IEC TIR80001-2-2 5.10_x000D_
IEC/TR 62443-3-1 8.3_x000D_
ISO/IEC 27002 12.2.1</t>
  </si>
  <si>
    <t>PCI DSS 5.1_x000D_
PCI DSS 5.1.1_x000D_
PCI DSS 5.2_x000D_
PCI DSS 5.3</t>
  </si>
  <si>
    <t>ANSM’S GUIDELINE 1_x000D_
AUTO11-A2 4.4.3_x000D_
CSR-NET 3.1_x000D_
AUTO11-A2 4.4.2</t>
  </si>
  <si>
    <t>Configure feature in cloud to ensure interoperability and adhere to standard data format</t>
  </si>
  <si>
    <t>MLSR065_104: ensure cloud provider enable features to export user directory data in an interoperable format
MLSR065_125: ensure cloud provider is interoperable with third party identity providers
MLSR065_136: provide interoperable export formats for all data stored within cloud
MLSR065_138: enable export of user-created applications in standard format on cloud
MLSR065_139: enable processes for testing data that can be exported to another cloud provider
MLSR065_140: expose features to perform own data extraction to verify format is universal</t>
  </si>
  <si>
    <t>ENISA - Cloud 6.4.3_x000D_
ENISA - Cloud 6.4.8.1_x000D_
ENISA - Cloud 6.6</t>
  </si>
  <si>
    <t>Employ web application firewalls to monitor traffic and protect against attacks</t>
  </si>
  <si>
    <t>MLSR310_63: use SAST tools to detect XXE in source code and consider using virtual patching or WAFs to detect, monitor and block XXE
MLSR310_121: employ virtual patching to monitor, detect and protect against discovered issue when patching is not possible 
MLSR307_183: install automated mechanism such as web application firewalls (WAF) to detect and prevent web-based attacks, in front of public-facing web applications</t>
  </si>
  <si>
    <t>Use WAF tools to protect application from attacks.
Example:
-&gt; Modsecurity</t>
  </si>
  <si>
    <t>PCI DSS 6.6</t>
  </si>
  <si>
    <t>OWASP Top 10 2017 A4:2017_x000D_
OWASP Top 10 2017 A9:2017</t>
  </si>
  <si>
    <t>Implement network segmentation in containers</t>
  </si>
  <si>
    <t>MLSR301_220:  use container-level network segmentation to limit “blast radius” of poisoned image</t>
  </si>
  <si>
    <t>Use tool to provide network segmentation. 
Example:
-&gt;Stackrox</t>
  </si>
  <si>
    <t>NIST SP 800-190 5.3</t>
  </si>
  <si>
    <t>Employ usage restriction and authorize connections in wireless devices</t>
  </si>
  <si>
    <t xml:space="preserve">MLSR049_398: establish usage restrictions and configuration/ connection for wireless access
MLSR049_399: authorize wireless access before allowing connections
MLSR049_404: disable wireless networking capabilities within system components when not intended for use
MLSR049_406: identify and authorize users to independently configure wireless networking capabilities
</t>
  </si>
  <si>
    <t>MLSR050_69: authorize wireless access prior allowing such connections</t>
  </si>
  <si>
    <t>NIST SP 800-53 R4 AC-17_x000D_
NIST SP 800-53 R4 AC-18_x000D_
NIST SP 800-171 R1 Sec Req</t>
  </si>
  <si>
    <t>Develop feature to control access for microservices</t>
  </si>
  <si>
    <t>MLSR311_71: define and enforce access policies at a coarse level of granularity at initial API gateway and at finer level of granularity at micro gateway or at microservice itself
MLSR311_72: ensure microservices cache policy data and use cache only when an access server is unavailable
MLSR311_72: ensure cache used in microservices expire after a duration appropriate for environment/infrastructure
MLSR311_73: ensure microservice access server is capable of supporting fine-grained access policies
MLSR311_74: ensure access decisions from access server are conveyed to microservices through standardized tokens encoded in platform-neutral format
MLSR311_75: ensure internal authorization tokens appended by micro gateway are limited in scope to only involve API endpoints accessed 
MLSR311_118: prevent providing internal authorization tokens back to user
MLSR311_118: prevent passing user's session tokens beyond gateway for use in policy decisions
MLSR311_129: ensure default configuration always enables access control policies for all services and avoid configurations that may lead to privilege escalation</t>
  </si>
  <si>
    <t>Use authorization policy to restrict access to microservices and API gateway.
Example:
-&gt; Apigee Edge
-&gt; Istio</t>
  </si>
  <si>
    <t>NIST SP 800-204 4.1_x000D_
NIST SP 800-204 4.6_x000D_
NIST SP 800-204 5</t>
  </si>
  <si>
    <t>Implement trusted key storage on mobile device</t>
  </si>
  <si>
    <t>MLSR305_134: use trusted key storage to store long-term cryptographic keys on mobile devices
MLSR309_41: ensure MDM Agent uses platform provided key storage for all persistent secret and private keys
MLSR312_61_1: ensure key used to encrypt user data is managed by the OS for modern mobile devices
MLSR305_79: store keys/secrets into secure key storage locations for mobile device</t>
  </si>
  <si>
    <t xml:space="preserve">Use mobile OS provided key storage to store keys.
Example:
-&gt;Android - Keystore 
-&gt;Apple - Keychain
</t>
  </si>
  <si>
    <t>NIST SP 1800-4 Appendix C_x000D_
NIST SP 800-124 R2 4.1.2_x000D_
NIST SP 1800-4 4.3.1</t>
  </si>
  <si>
    <t>NIAP EP 5.3.1</t>
  </si>
  <si>
    <t>Develop feature in mobile device to maintain asset inventory</t>
  </si>
  <si>
    <t>MLSR305_77: maintain centralized asset inventory for mobile device hardware, firmware, and software
MLSR305_85: maintain current inventory of all applications installed on each mobile device
MLSR305_153: identify, configure, and track devices, components, software, and services residing on a network</t>
  </si>
  <si>
    <t xml:space="preserve">Use MDM Tools to maintain inventory of  enrolled device hardware, firmware, apps and configuration.
Example:
-&gt; ManageEngine Asset Explorer
</t>
  </si>
  <si>
    <t>Develop feature for user authentication on mobile device</t>
  </si>
  <si>
    <t>MLSR305_70: implement token/ network/ domain authentication in addition to device unlock codes
MLSR305_158: implement local user authentication to mobile device like PIN, password
MLSR305_159: implement local user authentication while accessing applications like PIN, password
MLSR305_161: implement remote user authentication for networked managed applications
MLSR312_66: use biometric authentication on mobile device in combination with or in substitution of passwords or PINs
MLSR312_73: implement password/ passcode and/or other authentication such as token-based authentication before accessing organization’s resources in mobile device
MLSR312_188: integrate EMM with enterprise backend services (RADIUS, directory services) to enable granular management of device access to resources
MLSR302_383: provide features that do not require text entry on mobile devices such as a single tap on screen, or a copy feature to copy and paste out- of-band secrets
MLSR076_243: authenticate user connecting from mobile device to system
MLSR076_240: authenticate applications on mobile device connecting to system
MLSR076_231: permit connection only to mutually authenticated mobile devices</t>
  </si>
  <si>
    <t>MLSR076_239: authenticate applications on mobile device connecting to system</t>
  </si>
  <si>
    <t>Use MDM tools to enforce authentication for user
Example:
-&gt; Intune Company Portal
-&gt;ManageEngine Mobile Device Manager Plus</t>
  </si>
  <si>
    <t>NIST SP 1800-4 4.3.1_x000D_
NIST SP 1800-4 Appendix C_x000D_
NIST SP 800-124 R2 4.1.5_x000D_
NIST SP 800-124 R2 4.2.1.2_x000D_
NIST SP 800-124 R2 5.3.2_x000D_
NIST SP 800-63B 10.2.3</t>
  </si>
  <si>
    <t>AUTO11-A2 4.8.2_x000D_
AUTO11-A2 4.8.1</t>
  </si>
  <si>
    <t xml:space="preserve">Employ authentication and encryption mechanism for wireless devices </t>
  </si>
  <si>
    <t xml:space="preserve">MLSR049_401: implement authentication and encryption to protect wireless access
MLSR307_132: implement strong encryption for authentication and transmission of cardholder data in wireless networks
</t>
  </si>
  <si>
    <t>MLSR050_70: use authentication and encryption to protect wireless access</t>
  </si>
  <si>
    <t>NIST SP 800-53 R4 AC-18_x000D_
NIST SP 800-171 R1 Sec Req</t>
  </si>
  <si>
    <t>PCI DSS 4.1.1</t>
  </si>
  <si>
    <t>Develop feature to establish secure sessions on mobile device</t>
  </si>
  <si>
    <t>MLSR076_251: limit validity of system data stored on mobile devices to current user session
MLSR076_252: remove data stored on mobile devices at end of current user session</t>
  </si>
  <si>
    <t>Classification</t>
  </si>
  <si>
    <t>Information</t>
  </si>
  <si>
    <t>Requirement_Classification</t>
  </si>
  <si>
    <t>Process</t>
  </si>
  <si>
    <t>Product</t>
  </si>
  <si>
    <t>Standards</t>
  </si>
  <si>
    <t>Option for country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</si>
</sst>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3">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b/>
      <sz val="11"/>
      <color theme="1"/>
      <name val="Calibri"/>
      <family val="2"/>
      <scheme val="minor"/>
    </font>
    <font>
      <sz val="10"/>
      <name val="Times New Roman"/>
      <family val="1"/>
    </font>
    <font>
      <sz val="9"/>
      <name val="Times New Roman"/>
      <family val="1"/>
    </font>
    <font>
      <sz val="8"/>
      <name val="Arial"/>
      <family val="2"/>
    </font>
    <font>
      <b/>
      <sz val="11"/>
      <name val="Times New Roman"/>
      <family val="1"/>
    </font>
    <font>
      <sz val="11"/>
      <color theme="1"/>
      <name val="Times New Roman"/>
      <family val="1"/>
    </font>
    <font>
      <u/>
      <sz val="11"/>
      <color theme="10"/>
      <name val="Calibri"/>
      <family val="2"/>
      <scheme val="minor"/>
    </font>
    <font>
      <sz val="11"/>
      <name val="Times New Roman"/>
      <family val="1"/>
    </font>
    <font>
      <b/>
      <sz val="11"/>
      <color theme="1"/>
      <name val="Times New Roman"/>
      <family val="1"/>
    </font>
    <font>
      <b/>
      <sz val="16"/>
      <color theme="1"/>
      <name val="Times New Roman"/>
      <family val="1"/>
    </font>
    <font>
      <b/>
      <sz val="10"/>
      <name val="Times New Roman"/>
      <family val="1"/>
    </font>
    <font>
      <sz val="12"/>
      <color theme="1"/>
      <name val="Times New Roman"/>
      <family val="1"/>
    </font>
    <font>
      <sz val="12"/>
      <name val="Times New Roman"/>
      <family val="1"/>
    </font>
    <font>
      <sz val="10"/>
      <color theme="1"/>
      <name val="Times New Roman"/>
      <family val="1"/>
    </font>
    <font>
      <b/>
      <sz val="10"/>
      <color theme="1"/>
      <name val="Times New Roman"/>
      <family val="1"/>
    </font>
    <font>
      <b/>
      <sz val="9"/>
      <name val="Times New Roman"/>
      <family val="1"/>
    </font>
    <font>
      <b/>
      <sz val="9"/>
      <color theme="1"/>
      <name val="Calibri"/>
      <family val="2"/>
      <scheme val="minor"/>
    </font>
    <font>
      <b/>
      <sz val="9"/>
      <color theme="1"/>
      <name val="Times New Roman"/>
      <family val="1"/>
    </font>
    <font>
      <sz val="9"/>
      <color theme="1"/>
      <name val="Times New Roman"/>
      <family val="1"/>
    </font>
    <font>
      <b/>
      <sz val="12"/>
      <color theme="1"/>
      <name val="Times New Roman"/>
      <family val="1"/>
    </font>
    <font>
      <sz val="8"/>
      <name val="Times New Roman"/>
      <family val="1"/>
    </font>
    <font>
      <b/>
      <sz val="8"/>
      <name val="Times New Roman"/>
      <family val="1"/>
    </font>
    <font>
      <strike/>
      <sz val="10"/>
      <name val="Times New Roman"/>
      <family val="1"/>
    </font>
    <font>
      <sz val="10"/>
      <color rgb="FF000000"/>
      <name val="Times New Roman"/>
      <family val="1"/>
    </font>
    <font>
      <b/>
      <sz val="11"/>
      <name val="Arial"/>
      <family val="2"/>
    </font>
    <font>
      <strike/>
      <sz val="10"/>
      <color theme="1"/>
      <name val="Times New Roman"/>
      <family val="1"/>
    </font>
  </fonts>
  <fills count="21">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92D050"/>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indexed="50"/>
        <bgColor indexed="64"/>
      </patternFill>
    </fill>
    <fill>
      <patternFill patternType="solid">
        <fgColor indexed="51"/>
        <bgColor indexed="64"/>
      </patternFill>
    </fill>
    <fill>
      <patternFill patternType="solid">
        <fgColor rgb="FFCCFFCC"/>
        <bgColor indexed="64"/>
      </patternFill>
    </fill>
    <fill>
      <patternFill patternType="solid">
        <fgColor rgb="FFFFCCCC"/>
        <bgColor indexed="64"/>
      </patternFill>
    </fill>
    <fill>
      <patternFill patternType="solid">
        <fgColor indexed="55"/>
        <bgColor indexed="64"/>
      </patternFill>
    </fill>
    <fill>
      <patternFill patternType="solid">
        <fgColor indexed="22"/>
        <bgColor indexed="64"/>
      </patternFill>
    </fill>
    <fill>
      <patternFill patternType="solid">
        <fgColor theme="6" tint="0.39997558519241921"/>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style="thin">
        <color indexed="64"/>
      </bottom>
      <diagonal/>
    </border>
  </borders>
  <cellStyleXfs count="14">
    <xf numFmtId="0" fontId="0" fillId="0" borderId="0"/>
    <xf numFmtId="0" fontId="6" fillId="0" borderId="1"/>
    <xf numFmtId="0" fontId="6" fillId="0" borderId="0"/>
    <xf numFmtId="0" fontId="5" fillId="0" borderId="0"/>
    <xf numFmtId="0" fontId="5" fillId="0" borderId="0"/>
    <xf numFmtId="0" fontId="4" fillId="0" borderId="0"/>
    <xf numFmtId="0" fontId="13" fillId="0" borderId="0" applyNumberFormat="0" applyFill="0" applyBorder="0" applyAlignment="0" applyProtection="0"/>
    <xf numFmtId="0" fontId="5" fillId="0" borderId="1"/>
    <xf numFmtId="0" fontId="5" fillId="0" borderId="1"/>
    <xf numFmtId="0" fontId="4" fillId="0" borderId="0"/>
    <xf numFmtId="0" fontId="4" fillId="0" borderId="0"/>
    <xf numFmtId="0" fontId="3" fillId="0" borderId="0"/>
    <xf numFmtId="0" fontId="2" fillId="0" borderId="0"/>
    <xf numFmtId="0" fontId="1" fillId="0" borderId="0"/>
  </cellStyleXfs>
  <cellXfs count="248">
    <xf numFmtId="0" fontId="0" fillId="0" borderId="0" xfId="0"/>
    <xf numFmtId="0" fontId="7" fillId="4" borderId="1" xfId="3" applyFont="1" applyFill="1" applyBorder="1" applyAlignment="1">
      <alignment horizontal="center" vertical="center" wrapText="1"/>
    </xf>
    <xf numFmtId="0" fontId="5" fillId="0" borderId="0" xfId="3"/>
    <xf numFmtId="0" fontId="5" fillId="0" borderId="0" xfId="3" applyAlignment="1">
      <alignment wrapText="1"/>
    </xf>
    <xf numFmtId="0" fontId="5" fillId="0" borderId="1" xfId="3" applyBorder="1"/>
    <xf numFmtId="0" fontId="7" fillId="4" borderId="3" xfId="3" applyFont="1" applyFill="1" applyBorder="1" applyAlignment="1">
      <alignment horizontal="center" vertical="center" wrapText="1"/>
    </xf>
    <xf numFmtId="0" fontId="5" fillId="0" borderId="1" xfId="3" applyBorder="1" applyAlignment="1">
      <alignment wrapText="1"/>
    </xf>
    <xf numFmtId="0" fontId="11" fillId="6" borderId="1" xfId="4" applyFont="1" applyFill="1" applyBorder="1" applyAlignment="1">
      <alignment horizontal="left" vertical="center" wrapText="1"/>
    </xf>
    <xf numFmtId="0" fontId="12" fillId="0" borderId="0" xfId="5" applyFont="1"/>
    <xf numFmtId="0" fontId="14" fillId="0" borderId="0" xfId="5" applyFont="1"/>
    <xf numFmtId="0" fontId="12" fillId="3" borderId="0" xfId="5" applyFont="1" applyFill="1"/>
    <xf numFmtId="0" fontId="15" fillId="3" borderId="0" xfId="5" applyFont="1" applyFill="1" applyAlignment="1">
      <alignment horizontal="center" vertical="center" wrapText="1"/>
    </xf>
    <xf numFmtId="0" fontId="11" fillId="8" borderId="1" xfId="5" applyFont="1" applyFill="1" applyBorder="1" applyAlignment="1">
      <alignment horizontal="center" vertical="center"/>
    </xf>
    <xf numFmtId="0" fontId="15" fillId="9" borderId="1" xfId="5" applyFont="1" applyFill="1" applyBorder="1" applyAlignment="1">
      <alignment horizontal="left" vertical="center" wrapText="1"/>
    </xf>
    <xf numFmtId="0" fontId="15" fillId="3" borderId="1" xfId="5" applyFont="1" applyFill="1" applyBorder="1" applyAlignment="1">
      <alignment horizontal="center" vertical="center"/>
    </xf>
    <xf numFmtId="0" fontId="15" fillId="10" borderId="1" xfId="5" applyFont="1" applyFill="1" applyBorder="1" applyAlignment="1">
      <alignment horizontal="center"/>
    </xf>
    <xf numFmtId="0" fontId="15" fillId="10" borderId="1" xfId="5" applyFont="1" applyFill="1" applyBorder="1" applyAlignment="1">
      <alignment horizontal="center" vertical="center"/>
    </xf>
    <xf numFmtId="0" fontId="12" fillId="3" borderId="0" xfId="5" applyFont="1" applyFill="1" applyAlignment="1">
      <alignment wrapText="1"/>
    </xf>
    <xf numFmtId="0" fontId="15" fillId="3" borderId="0" xfId="5" applyFont="1" applyFill="1" applyAlignment="1">
      <alignment horizontal="center" vertical="center"/>
    </xf>
    <xf numFmtId="0" fontId="17" fillId="4" borderId="1" xfId="3" applyFont="1" applyFill="1" applyBorder="1" applyAlignment="1">
      <alignment horizontal="center" vertical="center" wrapText="1"/>
    </xf>
    <xf numFmtId="0" fontId="17" fillId="4" borderId="1" xfId="3" applyFont="1" applyFill="1" applyBorder="1" applyAlignment="1">
      <alignment horizontal="center" vertical="center"/>
    </xf>
    <xf numFmtId="0" fontId="15" fillId="0" borderId="0" xfId="5" applyFont="1" applyAlignment="1">
      <alignment horizontal="center" vertical="center"/>
    </xf>
    <xf numFmtId="0" fontId="14" fillId="3" borderId="1" xfId="3" applyFont="1" applyFill="1" applyBorder="1" applyAlignment="1">
      <alignment horizontal="left" vertical="top" wrapText="1"/>
    </xf>
    <xf numFmtId="0" fontId="14" fillId="3" borderId="1" xfId="3" applyFont="1" applyFill="1" applyBorder="1" applyAlignment="1">
      <alignment horizontal="center" vertical="center"/>
    </xf>
    <xf numFmtId="0" fontId="14" fillId="3" borderId="9" xfId="3" applyFont="1" applyFill="1" applyBorder="1" applyAlignment="1">
      <alignment horizontal="left" vertical="top"/>
    </xf>
    <xf numFmtId="0" fontId="14" fillId="3" borderId="9" xfId="3" applyFont="1" applyFill="1" applyBorder="1" applyAlignment="1">
      <alignment horizontal="center" vertical="center"/>
    </xf>
    <xf numFmtId="0" fontId="14" fillId="3" borderId="0" xfId="3" applyFont="1" applyFill="1" applyAlignment="1">
      <alignment horizontal="center" vertical="center"/>
    </xf>
    <xf numFmtId="0" fontId="14" fillId="3" borderId="9" xfId="3" applyFont="1" applyFill="1" applyBorder="1" applyAlignment="1">
      <alignment horizontal="left" vertical="top" wrapText="1"/>
    </xf>
    <xf numFmtId="0" fontId="14" fillId="3" borderId="1" xfId="3" applyFont="1" applyFill="1" applyBorder="1" applyAlignment="1">
      <alignment horizontal="left" vertical="top"/>
    </xf>
    <xf numFmtId="0" fontId="15" fillId="9" borderId="1" xfId="5" applyFont="1" applyFill="1" applyBorder="1" applyAlignment="1">
      <alignment horizontal="center" vertical="center" wrapText="1"/>
    </xf>
    <xf numFmtId="0" fontId="15" fillId="5" borderId="1" xfId="5" applyFont="1" applyFill="1" applyBorder="1" applyAlignment="1">
      <alignment horizontal="center" vertical="center" wrapText="1"/>
    </xf>
    <xf numFmtId="0" fontId="15" fillId="5" borderId="3" xfId="5" applyFont="1" applyFill="1" applyBorder="1" applyAlignment="1">
      <alignment horizontal="center" vertical="center" wrapText="1"/>
    </xf>
    <xf numFmtId="0" fontId="15" fillId="5" borderId="5" xfId="5" applyFont="1" applyFill="1" applyBorder="1" applyAlignment="1">
      <alignment horizontal="center" vertical="center" wrapText="1"/>
    </xf>
    <xf numFmtId="0" fontId="12" fillId="3" borderId="0" xfId="5" applyFont="1" applyFill="1" applyAlignment="1">
      <alignment horizontal="left" vertical="top" wrapText="1"/>
    </xf>
    <xf numFmtId="0" fontId="12" fillId="3" borderId="0" xfId="5" applyFont="1" applyFill="1" applyAlignment="1">
      <alignment horizontal="center" vertical="center"/>
    </xf>
    <xf numFmtId="0" fontId="12" fillId="0" borderId="0" xfId="5" applyFont="1" applyAlignment="1">
      <alignment horizontal="left" vertical="top" wrapText="1"/>
    </xf>
    <xf numFmtId="0" fontId="12" fillId="0" borderId="0" xfId="5" applyFont="1" applyAlignment="1">
      <alignment horizontal="center" vertical="center"/>
    </xf>
    <xf numFmtId="0" fontId="0" fillId="0" borderId="1" xfId="0" applyBorder="1" applyAlignment="1">
      <alignment horizontal="left" vertical="top"/>
    </xf>
    <xf numFmtId="0" fontId="9" fillId="3" borderId="0" xfId="3" applyFont="1" applyFill="1" applyAlignment="1">
      <alignment horizontal="left" vertical="center"/>
    </xf>
    <xf numFmtId="0" fontId="9" fillId="3" borderId="10" xfId="3" applyFont="1" applyFill="1" applyBorder="1" applyAlignment="1">
      <alignment horizontal="left" vertical="center"/>
    </xf>
    <xf numFmtId="0" fontId="9" fillId="3" borderId="11" xfId="3" applyFont="1" applyFill="1" applyBorder="1" applyAlignment="1">
      <alignment horizontal="left" vertical="center"/>
    </xf>
    <xf numFmtId="0" fontId="15" fillId="3" borderId="1" xfId="0" applyFont="1" applyFill="1" applyBorder="1" applyAlignment="1">
      <alignment horizontal="center" vertical="center"/>
    </xf>
    <xf numFmtId="0" fontId="9" fillId="7" borderId="1" xfId="7" applyFont="1" applyFill="1" applyAlignment="1">
      <alignment horizontal="left" vertical="center" wrapText="1"/>
    </xf>
    <xf numFmtId="0" fontId="22" fillId="3" borderId="10" xfId="0" applyFont="1" applyFill="1" applyBorder="1" applyAlignment="1">
      <alignment horizontal="left" vertical="center"/>
    </xf>
    <xf numFmtId="0" fontId="9" fillId="3" borderId="0" xfId="0" applyFont="1" applyFill="1" applyAlignment="1">
      <alignment horizontal="left" vertical="center"/>
    </xf>
    <xf numFmtId="0" fontId="9" fillId="3" borderId="11" xfId="0" applyFont="1" applyFill="1" applyBorder="1" applyAlignment="1">
      <alignment horizontal="left" vertical="center"/>
    </xf>
    <xf numFmtId="0" fontId="12" fillId="0" borderId="0" xfId="5" applyFont="1" applyAlignment="1">
      <alignment vertical="top"/>
    </xf>
    <xf numFmtId="0" fontId="15" fillId="0" borderId="0" xfId="5" applyFont="1"/>
    <xf numFmtId="0" fontId="15" fillId="0" borderId="1" xfId="5" applyFont="1" applyBorder="1" applyAlignment="1">
      <alignment horizontal="center" vertical="center"/>
    </xf>
    <xf numFmtId="0" fontId="15" fillId="8" borderId="1" xfId="5" applyFont="1" applyFill="1" applyBorder="1" applyAlignment="1">
      <alignment horizontal="center" vertical="center" wrapText="1"/>
    </xf>
    <xf numFmtId="0" fontId="15" fillId="8" borderId="6" xfId="5" applyFont="1" applyFill="1" applyBorder="1" applyAlignment="1">
      <alignment horizontal="center" vertical="center" wrapText="1"/>
    </xf>
    <xf numFmtId="0" fontId="11" fillId="11" borderId="2" xfId="1" applyFont="1" applyFill="1" applyBorder="1" applyAlignment="1">
      <alignment horizontal="center" vertical="center" wrapText="1"/>
    </xf>
    <xf numFmtId="0" fontId="20" fillId="0" borderId="1" xfId="5" applyFont="1" applyBorder="1" applyAlignment="1">
      <alignment horizontal="left" vertical="top"/>
    </xf>
    <xf numFmtId="0" fontId="8" fillId="0" borderId="1" xfId="6" applyFont="1" applyBorder="1" applyAlignment="1">
      <alignment horizontal="left" vertical="top"/>
    </xf>
    <xf numFmtId="0" fontId="8" fillId="0" borderId="1" xfId="5" applyFont="1" applyBorder="1" applyAlignment="1">
      <alignment horizontal="left" vertical="top"/>
    </xf>
    <xf numFmtId="0" fontId="8" fillId="0" borderId="1" xfId="5" applyFont="1" applyBorder="1" applyAlignment="1">
      <alignment horizontal="left" vertical="top" wrapText="1"/>
    </xf>
    <xf numFmtId="0" fontId="5" fillId="0" borderId="0" xfId="4" applyAlignment="1">
      <alignment vertical="top" wrapText="1"/>
    </xf>
    <xf numFmtId="0" fontId="17" fillId="19" borderId="16" xfId="4" applyFont="1" applyFill="1" applyBorder="1" applyAlignment="1">
      <alignment horizontal="center" vertical="top" wrapText="1"/>
    </xf>
    <xf numFmtId="0" fontId="17" fillId="19" borderId="1" xfId="4" applyFont="1" applyFill="1" applyBorder="1" applyAlignment="1">
      <alignment horizontal="center" vertical="top" wrapText="1"/>
    </xf>
    <xf numFmtId="0" fontId="17" fillId="19" borderId="17" xfId="4" applyFont="1" applyFill="1" applyBorder="1" applyAlignment="1">
      <alignment horizontal="center" vertical="top" wrapText="1"/>
    </xf>
    <xf numFmtId="0" fontId="8" fillId="0" borderId="1" xfId="4" applyFont="1" applyBorder="1" applyAlignment="1">
      <alignment vertical="top" wrapText="1"/>
    </xf>
    <xf numFmtId="0" fontId="8" fillId="0" borderId="18" xfId="4" applyFont="1" applyBorder="1" applyAlignment="1">
      <alignment vertical="top" wrapText="1"/>
    </xf>
    <xf numFmtId="0" fontId="8" fillId="0" borderId="19" xfId="4" applyFont="1" applyBorder="1" applyAlignment="1">
      <alignment vertical="top" wrapText="1"/>
    </xf>
    <xf numFmtId="0" fontId="8" fillId="0" borderId="20" xfId="4" applyFont="1" applyBorder="1" applyAlignment="1">
      <alignment vertical="top" wrapText="1"/>
    </xf>
    <xf numFmtId="0" fontId="8" fillId="0" borderId="0" xfId="4" applyFont="1" applyAlignment="1">
      <alignment vertical="top" wrapText="1"/>
    </xf>
    <xf numFmtId="0" fontId="17" fillId="19" borderId="1" xfId="4" applyFont="1" applyFill="1" applyBorder="1" applyAlignment="1">
      <alignment horizontal="left" vertical="top" wrapText="1"/>
    </xf>
    <xf numFmtId="0" fontId="17" fillId="0" borderId="16" xfId="4" applyFont="1" applyBorder="1" applyAlignment="1">
      <alignment horizontal="left" vertical="top" wrapText="1"/>
    </xf>
    <xf numFmtId="0" fontId="8" fillId="0" borderId="1" xfId="4" applyFont="1" applyBorder="1" applyAlignment="1">
      <alignment horizontal="left" vertical="top" wrapText="1"/>
    </xf>
    <xf numFmtId="0" fontId="17" fillId="0" borderId="1" xfId="4" applyFont="1" applyBorder="1" applyAlignment="1">
      <alignment horizontal="left" vertical="top" wrapText="1"/>
    </xf>
    <xf numFmtId="0" fontId="17" fillId="0" borderId="17" xfId="4" applyFont="1" applyBorder="1" applyAlignment="1">
      <alignment horizontal="left" vertical="top" wrapText="1"/>
    </xf>
    <xf numFmtId="0" fontId="8" fillId="0" borderId="16" xfId="4" applyFont="1" applyBorder="1" applyAlignment="1">
      <alignment horizontal="left" vertical="top" wrapText="1"/>
    </xf>
    <xf numFmtId="0" fontId="8" fillId="0" borderId="17" xfId="4" applyFont="1" applyBorder="1" applyAlignment="1">
      <alignment horizontal="left" vertical="top" wrapText="1"/>
    </xf>
    <xf numFmtId="0" fontId="8" fillId="0" borderId="21" xfId="4" applyFont="1" applyBorder="1" applyAlignment="1">
      <alignment horizontal="left" vertical="top" wrapText="1"/>
    </xf>
    <xf numFmtId="0" fontId="8" fillId="0" borderId="2" xfId="4" applyFont="1" applyBorder="1" applyAlignment="1">
      <alignment horizontal="left" vertical="top" wrapText="1"/>
    </xf>
    <xf numFmtId="0" fontId="8" fillId="0" borderId="22" xfId="4" applyFont="1" applyBorder="1" applyAlignment="1">
      <alignment horizontal="left" vertical="top" wrapText="1"/>
    </xf>
    <xf numFmtId="0" fontId="8" fillId="0" borderId="18" xfId="4" applyFont="1" applyBorder="1" applyAlignment="1">
      <alignment horizontal="left" vertical="top" wrapText="1"/>
    </xf>
    <xf numFmtId="0" fontId="8" fillId="0" borderId="19" xfId="4" applyFont="1" applyBorder="1" applyAlignment="1">
      <alignment horizontal="left" vertical="top" wrapText="1"/>
    </xf>
    <xf numFmtId="0" fontId="8" fillId="0" borderId="20" xfId="4" applyFont="1" applyBorder="1" applyAlignment="1">
      <alignment horizontal="left" vertical="top" wrapText="1"/>
    </xf>
    <xf numFmtId="0" fontId="26" fillId="9" borderId="1" xfId="5" applyFont="1" applyFill="1" applyBorder="1" applyAlignment="1">
      <alignment horizontal="left" vertical="center" wrapText="1"/>
    </xf>
    <xf numFmtId="0" fontId="11" fillId="8" borderId="1" xfId="5" applyFont="1" applyFill="1" applyBorder="1" applyAlignment="1">
      <alignment horizontal="center" vertical="center" wrapText="1"/>
    </xf>
    <xf numFmtId="0" fontId="11" fillId="11" borderId="1" xfId="0" applyFont="1" applyFill="1" applyBorder="1" applyAlignment="1">
      <alignment horizontal="center" vertical="center" wrapText="1"/>
    </xf>
    <xf numFmtId="0" fontId="15" fillId="11" borderId="1" xfId="0" applyFont="1" applyFill="1" applyBorder="1" applyAlignment="1">
      <alignment horizontal="center" vertical="center" wrapText="1"/>
    </xf>
    <xf numFmtId="0" fontId="15" fillId="13" borderId="1" xfId="0" applyFont="1" applyFill="1" applyBorder="1" applyAlignment="1">
      <alignment horizontal="center" vertical="center" wrapText="1"/>
    </xf>
    <xf numFmtId="0" fontId="14" fillId="0" borderId="0" xfId="2" applyFont="1" applyAlignment="1">
      <alignment horizontal="left" vertical="top"/>
    </xf>
    <xf numFmtId="0" fontId="8" fillId="0" borderId="1" xfId="0" applyFont="1" applyBorder="1" applyAlignment="1">
      <alignment horizontal="left" vertical="top" wrapText="1"/>
    </xf>
    <xf numFmtId="0" fontId="14" fillId="0" borderId="1" xfId="2" applyFont="1" applyBorder="1" applyAlignment="1">
      <alignment horizontal="left" vertical="top" wrapText="1"/>
    </xf>
    <xf numFmtId="0" fontId="20" fillId="0" borderId="1" xfId="0" applyFont="1" applyBorder="1" applyAlignment="1">
      <alignment horizontal="left" vertical="top"/>
    </xf>
    <xf numFmtId="0" fontId="21" fillId="0" borderId="1" xfId="0" applyFont="1" applyBorder="1" applyAlignment="1">
      <alignment horizontal="left" vertical="top" wrapText="1"/>
    </xf>
    <xf numFmtId="0" fontId="21" fillId="0" borderId="1" xfId="0" applyFont="1" applyBorder="1" applyAlignment="1">
      <alignment horizontal="left" vertical="top"/>
    </xf>
    <xf numFmtId="0" fontId="20" fillId="0" borderId="1" xfId="0" applyFont="1" applyBorder="1" applyAlignment="1">
      <alignment horizontal="left" vertical="top" wrapText="1"/>
    </xf>
    <xf numFmtId="0" fontId="21" fillId="0" borderId="1" xfId="5" applyFont="1" applyBorder="1" applyAlignment="1">
      <alignment horizontal="left" vertical="top"/>
    </xf>
    <xf numFmtId="0" fontId="20" fillId="0" borderId="1" xfId="5" applyFont="1" applyBorder="1" applyAlignment="1">
      <alignment horizontal="left" vertical="top" wrapText="1"/>
    </xf>
    <xf numFmtId="0" fontId="21" fillId="0" borderId="0" xfId="5" applyFont="1" applyAlignment="1">
      <alignment horizontal="left" vertical="top"/>
    </xf>
    <xf numFmtId="0" fontId="20" fillId="0" borderId="0" xfId="5" applyFont="1" applyAlignment="1">
      <alignment horizontal="left" vertical="top" wrapText="1"/>
    </xf>
    <xf numFmtId="0" fontId="15" fillId="6" borderId="1" xfId="5" applyFont="1" applyFill="1" applyBorder="1" applyAlignment="1">
      <alignment horizontal="center" vertical="center"/>
    </xf>
    <xf numFmtId="0" fontId="15" fillId="6" borderId="1" xfId="5" applyFont="1" applyFill="1" applyBorder="1" applyAlignment="1">
      <alignment horizontal="center" vertical="center" wrapText="1"/>
    </xf>
    <xf numFmtId="0" fontId="12" fillId="0" borderId="2" xfId="11" applyFont="1" applyBorder="1" applyAlignment="1">
      <alignment horizontal="left" vertical="top" wrapText="1"/>
    </xf>
    <xf numFmtId="0" fontId="8" fillId="0" borderId="16" xfId="4" applyFont="1" applyBorder="1" applyAlignment="1">
      <alignment horizontal="center" vertical="center" wrapText="1"/>
    </xf>
    <xf numFmtId="15" fontId="8" fillId="0" borderId="1" xfId="4" applyNumberFormat="1" applyFont="1" applyBorder="1" applyAlignment="1">
      <alignment horizontal="center" vertical="center" wrapText="1"/>
    </xf>
    <xf numFmtId="0" fontId="8" fillId="0" borderId="1" xfId="4" applyFont="1" applyBorder="1" applyAlignment="1">
      <alignment horizontal="center" vertical="center" wrapText="1"/>
    </xf>
    <xf numFmtId="0" fontId="15" fillId="8" borderId="6" xfId="0" applyFont="1" applyFill="1" applyBorder="1" applyAlignment="1">
      <alignment horizontal="center" vertical="center" wrapText="1"/>
    </xf>
    <xf numFmtId="0" fontId="15" fillId="8" borderId="1" xfId="0" applyFont="1" applyFill="1" applyBorder="1" applyAlignment="1">
      <alignment horizontal="center" vertical="center" wrapText="1"/>
    </xf>
    <xf numFmtId="0" fontId="12" fillId="0" borderId="0" xfId="5" applyFont="1" applyAlignment="1">
      <alignment wrapText="1"/>
    </xf>
    <xf numFmtId="0" fontId="19" fillId="0" borderId="1" xfId="5" applyFont="1" applyBorder="1" applyAlignment="1">
      <alignment horizontal="center" vertical="center"/>
    </xf>
    <xf numFmtId="0" fontId="0" fillId="0" borderId="1" xfId="0" applyBorder="1" applyAlignment="1">
      <alignment horizontal="left"/>
    </xf>
    <xf numFmtId="0" fontId="0" fillId="0" borderId="1" xfId="0" applyBorder="1" applyAlignment="1">
      <alignment horizontal="left" wrapText="1"/>
    </xf>
    <xf numFmtId="0" fontId="12" fillId="0" borderId="1" xfId="5" applyFont="1" applyBorder="1" applyAlignment="1">
      <alignment horizontal="left" vertical="top"/>
    </xf>
    <xf numFmtId="0" fontId="8" fillId="0" borderId="1" xfId="0" applyFont="1" applyBorder="1" applyAlignment="1">
      <alignment horizontal="center" vertical="center"/>
    </xf>
    <xf numFmtId="0" fontId="20" fillId="0" borderId="1" xfId="0" applyFont="1" applyBorder="1" applyAlignment="1">
      <alignment horizontal="center" vertical="center"/>
    </xf>
    <xf numFmtId="17" fontId="18" fillId="0" borderId="1" xfId="0" applyNumberFormat="1" applyFont="1" applyBorder="1" applyAlignment="1">
      <alignment horizontal="left" vertical="top"/>
    </xf>
    <xf numFmtId="0" fontId="5" fillId="0" borderId="1" xfId="0" applyFont="1" applyBorder="1" applyAlignment="1">
      <alignment horizontal="left" wrapText="1"/>
    </xf>
    <xf numFmtId="0" fontId="12" fillId="0" borderId="1" xfId="5" applyFont="1" applyBorder="1" applyAlignment="1">
      <alignment horizontal="center" vertical="center"/>
    </xf>
    <xf numFmtId="0" fontId="14" fillId="0" borderId="0" xfId="2" applyFont="1" applyAlignment="1">
      <alignment horizontal="center" vertical="center" wrapText="1"/>
    </xf>
    <xf numFmtId="0" fontId="8" fillId="0" borderId="1" xfId="3" applyFont="1" applyBorder="1" applyAlignment="1">
      <alignment horizontal="left" vertical="top" wrapText="1"/>
    </xf>
    <xf numFmtId="0" fontId="8" fillId="0" borderId="0" xfId="2" applyFont="1" applyAlignment="1">
      <alignment horizontal="left" vertical="top"/>
    </xf>
    <xf numFmtId="0" fontId="8" fillId="3" borderId="1" xfId="3" applyFont="1" applyFill="1" applyBorder="1" applyAlignment="1">
      <alignment horizontal="left" vertical="top" wrapText="1"/>
    </xf>
    <xf numFmtId="0" fontId="8" fillId="0" borderId="1" xfId="0" applyFont="1" applyBorder="1" applyAlignment="1">
      <alignment horizontal="left" vertical="top"/>
    </xf>
    <xf numFmtId="0" fontId="8" fillId="0" borderId="0" xfId="0" applyFont="1" applyAlignment="1">
      <alignment horizontal="left" vertical="top" wrapText="1"/>
    </xf>
    <xf numFmtId="0" fontId="8" fillId="0" borderId="1" xfId="3" applyFont="1" applyBorder="1" applyAlignment="1">
      <alignment horizontal="left" vertical="top"/>
    </xf>
    <xf numFmtId="0" fontId="14" fillId="0" borderId="0" xfId="2" applyFont="1" applyAlignment="1">
      <alignment horizontal="left" vertical="top" wrapText="1"/>
    </xf>
    <xf numFmtId="0" fontId="12" fillId="0" borderId="0" xfId="11" applyFont="1" applyAlignment="1">
      <alignment horizontal="left" vertical="top"/>
    </xf>
    <xf numFmtId="0" fontId="12" fillId="0" borderId="1" xfId="11" applyFont="1" applyBorder="1" applyAlignment="1">
      <alignment horizontal="left" vertical="top"/>
    </xf>
    <xf numFmtId="0" fontId="15" fillId="14" borderId="12" xfId="0" applyFont="1" applyFill="1" applyBorder="1" applyAlignment="1">
      <alignment horizontal="center" vertical="center" wrapText="1"/>
    </xf>
    <xf numFmtId="0" fontId="12" fillId="0" borderId="0" xfId="11" applyFont="1" applyAlignment="1">
      <alignment horizontal="center" vertical="center"/>
    </xf>
    <xf numFmtId="0" fontId="12" fillId="0" borderId="1" xfId="11" applyFont="1" applyBorder="1" applyAlignment="1">
      <alignment horizontal="center" vertical="center"/>
    </xf>
    <xf numFmtId="0" fontId="8" fillId="0" borderId="1" xfId="3" applyFont="1" applyBorder="1" applyAlignment="1">
      <alignment horizontal="center" vertical="center" wrapText="1"/>
    </xf>
    <xf numFmtId="0" fontId="12" fillId="0" borderId="0" xfId="11" applyFont="1" applyAlignment="1">
      <alignment horizontal="left" vertical="top" wrapText="1"/>
    </xf>
    <xf numFmtId="0" fontId="12" fillId="0" borderId="0" xfId="11" applyFont="1" applyAlignment="1">
      <alignment horizontal="center" vertical="center" wrapText="1"/>
    </xf>
    <xf numFmtId="0" fontId="12" fillId="20" borderId="1" xfId="0" applyFont="1" applyFill="1" applyBorder="1" applyAlignment="1">
      <alignment horizontal="center" vertical="center"/>
    </xf>
    <xf numFmtId="0" fontId="8" fillId="0" borderId="1" xfId="3" applyFont="1" applyBorder="1" applyAlignment="1">
      <alignment horizontal="center" vertical="center"/>
    </xf>
    <xf numFmtId="0" fontId="8" fillId="0" borderId="1" xfId="3" applyFont="1" applyBorder="1" applyAlignment="1">
      <alignment horizontal="left" vertical="center" wrapText="1"/>
    </xf>
    <xf numFmtId="0" fontId="8" fillId="0" borderId="1" xfId="2" applyFont="1" applyBorder="1" applyAlignment="1">
      <alignment horizontal="left" vertical="top" wrapText="1"/>
    </xf>
    <xf numFmtId="0" fontId="8" fillId="0" borderId="2" xfId="3" applyFont="1" applyBorder="1" applyAlignment="1">
      <alignment horizontal="center" vertical="center" wrapText="1"/>
    </xf>
    <xf numFmtId="0" fontId="14" fillId="0" borderId="0" xfId="11" applyFont="1" applyAlignment="1">
      <alignment horizontal="left" vertical="top" wrapText="1"/>
    </xf>
    <xf numFmtId="0" fontId="14" fillId="0" borderId="0" xfId="11" applyFont="1" applyAlignment="1">
      <alignment horizontal="left" vertical="top"/>
    </xf>
    <xf numFmtId="0" fontId="14" fillId="0" borderId="0" xfId="2" applyFont="1" applyAlignment="1">
      <alignment horizontal="center" vertical="center"/>
    </xf>
    <xf numFmtId="0" fontId="8" fillId="0" borderId="1" xfId="0" applyFont="1" applyBorder="1" applyAlignment="1">
      <alignment horizontal="center" vertical="center" wrapText="1"/>
    </xf>
    <xf numFmtId="0" fontId="8" fillId="0" borderId="6" xfId="3" applyFont="1" applyBorder="1" applyAlignment="1">
      <alignment horizontal="center" vertical="center" wrapText="1"/>
    </xf>
    <xf numFmtId="0" fontId="8" fillId="3" borderId="1" xfId="0" applyFont="1" applyFill="1" applyBorder="1" applyAlignment="1">
      <alignment horizontal="center" vertical="center" wrapText="1"/>
    </xf>
    <xf numFmtId="0" fontId="8" fillId="0" borderId="6" xfId="0" applyFont="1" applyBorder="1" applyAlignment="1">
      <alignment horizontal="center" vertical="center" wrapText="1"/>
    </xf>
    <xf numFmtId="0" fontId="8" fillId="0" borderId="6" xfId="3" applyFont="1" applyBorder="1" applyAlignment="1">
      <alignment horizontal="center" vertical="center"/>
    </xf>
    <xf numFmtId="0" fontId="8" fillId="3" borderId="1" xfId="3" applyFont="1" applyFill="1" applyBorder="1" applyAlignment="1">
      <alignment horizontal="center" vertical="center" wrapText="1"/>
    </xf>
    <xf numFmtId="0" fontId="8" fillId="3" borderId="6" xfId="3"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0" borderId="1" xfId="0" quotePrefix="1" applyFont="1" applyBorder="1" applyAlignment="1">
      <alignment horizontal="left" vertical="top" wrapText="1"/>
    </xf>
    <xf numFmtId="0" fontId="8" fillId="0" borderId="0" xfId="0" applyFont="1" applyAlignment="1">
      <alignment horizontal="center" vertical="center" wrapText="1"/>
    </xf>
    <xf numFmtId="0" fontId="20" fillId="3" borderId="1" xfId="3" applyFont="1" applyFill="1" applyBorder="1" applyAlignment="1">
      <alignment horizontal="center" vertical="center" wrapText="1"/>
    </xf>
    <xf numFmtId="0" fontId="20" fillId="3" borderId="6" xfId="3" applyFont="1" applyFill="1" applyBorder="1" applyAlignment="1">
      <alignment horizontal="center" vertical="center" wrapText="1"/>
    </xf>
    <xf numFmtId="0" fontId="8" fillId="0" borderId="1" xfId="8" applyFont="1" applyAlignment="1">
      <alignment horizontal="center" vertical="center" wrapText="1"/>
    </xf>
    <xf numFmtId="0" fontId="20" fillId="0" borderId="6" xfId="3" applyFont="1" applyBorder="1" applyAlignment="1">
      <alignment horizontal="center" vertical="center" wrapText="1"/>
    </xf>
    <xf numFmtId="0" fontId="8" fillId="3" borderId="1" xfId="3" applyFont="1" applyFill="1" applyBorder="1" applyAlignment="1">
      <alignment horizontal="center" vertical="center"/>
    </xf>
    <xf numFmtId="0" fontId="8" fillId="3" borderId="6" xfId="3" applyFont="1" applyFill="1" applyBorder="1" applyAlignment="1">
      <alignment horizontal="center" vertical="center"/>
    </xf>
    <xf numFmtId="0" fontId="29" fillId="0" borderId="1" xfId="3" applyFont="1" applyBorder="1" applyAlignment="1">
      <alignment horizontal="left" vertical="top" wrapText="1"/>
    </xf>
    <xf numFmtId="2" fontId="8" fillId="0" borderId="1" xfId="3" applyNumberFormat="1" applyFont="1" applyBorder="1" applyAlignment="1">
      <alignment horizontal="center" vertical="center"/>
    </xf>
    <xf numFmtId="0" fontId="20" fillId="3" borderId="1" xfId="3" applyFont="1" applyFill="1" applyBorder="1" applyAlignment="1">
      <alignment horizontal="center" vertical="center"/>
    </xf>
    <xf numFmtId="0" fontId="20" fillId="3" borderId="6" xfId="3" applyFont="1" applyFill="1" applyBorder="1" applyAlignment="1">
      <alignment horizontal="center" vertical="center"/>
    </xf>
    <xf numFmtId="0" fontId="20" fillId="0" borderId="1" xfId="3" applyFont="1" applyBorder="1" applyAlignment="1">
      <alignment horizontal="center" vertical="center"/>
    </xf>
    <xf numFmtId="0" fontId="8" fillId="0" borderId="1" xfId="3" quotePrefix="1" applyFont="1" applyBorder="1" applyAlignment="1">
      <alignment horizontal="left" vertical="top" wrapText="1"/>
    </xf>
    <xf numFmtId="2" fontId="8" fillId="0" borderId="1" xfId="3" applyNumberFormat="1" applyFont="1" applyBorder="1" applyAlignment="1">
      <alignment horizontal="center" vertical="center" wrapText="1"/>
    </xf>
    <xf numFmtId="0" fontId="20" fillId="0" borderId="6" xfId="0" applyFont="1" applyBorder="1" applyAlignment="1">
      <alignment horizontal="center" vertical="center" wrapText="1"/>
    </xf>
    <xf numFmtId="0" fontId="20" fillId="0" borderId="1" xfId="0" applyFont="1" applyBorder="1" applyAlignment="1">
      <alignment horizontal="center" vertical="center" wrapText="1"/>
    </xf>
    <xf numFmtId="0" fontId="8" fillId="3" borderId="1" xfId="0" applyFont="1" applyFill="1" applyBorder="1" applyAlignment="1">
      <alignment horizontal="center" vertical="center"/>
    </xf>
    <xf numFmtId="0" fontId="30" fillId="3" borderId="6" xfId="0" applyFont="1" applyFill="1" applyBorder="1" applyAlignment="1">
      <alignment horizontal="center" vertical="center" wrapText="1"/>
    </xf>
    <xf numFmtId="0" fontId="8" fillId="3" borderId="24" xfId="3" applyFont="1" applyFill="1" applyBorder="1" applyAlignment="1">
      <alignment horizontal="center" vertical="center" wrapText="1"/>
    </xf>
    <xf numFmtId="0" fontId="31" fillId="11" borderId="1" xfId="0" applyFont="1" applyFill="1" applyBorder="1" applyAlignment="1">
      <alignment horizontal="center" vertical="center"/>
    </xf>
    <xf numFmtId="0" fontId="8" fillId="0" borderId="1" xfId="0" applyFont="1" applyBorder="1" applyAlignment="1">
      <alignment vertical="top" wrapText="1"/>
    </xf>
    <xf numFmtId="0" fontId="8" fillId="0" borderId="1" xfId="3" applyFont="1" applyBorder="1" applyAlignment="1">
      <alignment vertical="top" wrapText="1"/>
    </xf>
    <xf numFmtId="0" fontId="20" fillId="0" borderId="0" xfId="11" applyFont="1" applyAlignment="1">
      <alignment horizontal="left" vertical="top"/>
    </xf>
    <xf numFmtId="0" fontId="20" fillId="0" borderId="1" xfId="11" applyFont="1" applyBorder="1" applyAlignment="1">
      <alignment horizontal="left" vertical="top"/>
    </xf>
    <xf numFmtId="0" fontId="8" fillId="0" borderId="1" xfId="3" applyFont="1" applyBorder="1" applyAlignment="1">
      <alignment vertical="top"/>
    </xf>
    <xf numFmtId="0" fontId="17" fillId="0" borderId="1" xfId="3" applyFont="1" applyBorder="1" applyAlignment="1">
      <alignment horizontal="center" vertical="center" wrapText="1"/>
    </xf>
    <xf numFmtId="0" fontId="8" fillId="0" borderId="1" xfId="11" applyFont="1" applyBorder="1" applyAlignment="1">
      <alignment horizontal="left" vertical="top" wrapText="1"/>
    </xf>
    <xf numFmtId="0" fontId="17" fillId="0" borderId="1" xfId="3" applyFont="1" applyBorder="1" applyAlignment="1">
      <alignment horizontal="left" vertical="top" wrapText="1"/>
    </xf>
    <xf numFmtId="0" fontId="29" fillId="0" borderId="1" xfId="0" applyFont="1" applyBorder="1" applyAlignment="1">
      <alignment vertical="top" wrapText="1"/>
    </xf>
    <xf numFmtId="0" fontId="8" fillId="0" borderId="1" xfId="11" applyFont="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applyAlignment="1">
      <alignment vertical="top"/>
    </xf>
    <xf numFmtId="0" fontId="32" fillId="0" borderId="0" xfId="11" applyFont="1" applyAlignment="1">
      <alignment horizontal="left" vertical="top"/>
    </xf>
    <xf numFmtId="0" fontId="8" fillId="0" borderId="0" xfId="0" applyFont="1" applyAlignment="1">
      <alignment vertical="top" wrapText="1"/>
    </xf>
    <xf numFmtId="0" fontId="8" fillId="0" borderId="1" xfId="11" applyFont="1" applyBorder="1" applyAlignment="1">
      <alignment horizontal="left" vertical="center" wrapText="1"/>
    </xf>
    <xf numFmtId="0" fontId="12" fillId="0" borderId="2" xfId="11" applyFont="1" applyBorder="1" applyAlignment="1">
      <alignment horizontal="center" vertical="top"/>
    </xf>
    <xf numFmtId="0" fontId="8" fillId="0" borderId="1" xfId="0" applyFont="1" applyBorder="1" applyAlignment="1">
      <alignment horizontal="center" vertical="top" wrapText="1"/>
    </xf>
    <xf numFmtId="0" fontId="8" fillId="0" borderId="1" xfId="0" applyFont="1" applyBorder="1" applyAlignment="1">
      <alignment horizontal="center" vertical="top"/>
    </xf>
    <xf numFmtId="0" fontId="12" fillId="0" borderId="0" xfId="11" applyFont="1" applyAlignment="1">
      <alignment horizontal="center" vertical="top"/>
    </xf>
    <xf numFmtId="0" fontId="9" fillId="3" borderId="0" xfId="3" applyFont="1" applyFill="1" applyAlignment="1">
      <alignment vertical="center"/>
    </xf>
    <xf numFmtId="0" fontId="0" fillId="0" borderId="12" xfId="0" applyBorder="1" applyAlignment="1">
      <alignment horizontal="left" vertical="center" wrapText="1"/>
    </xf>
    <xf numFmtId="0" fontId="0" fillId="0" borderId="12" xfId="0" applyBorder="1" applyAlignment="1">
      <alignment horizontal="center" vertical="center" wrapText="1"/>
    </xf>
    <xf numFmtId="0" fontId="0" fillId="16" borderId="12" xfId="0" applyFill="1" applyBorder="1" applyAlignment="1">
      <alignment horizontal="center" vertical="center" wrapText="1"/>
    </xf>
    <xf numFmtId="0" fontId="0" fillId="17" borderId="12" xfId="0" applyFill="1" applyBorder="1" applyAlignment="1">
      <alignment horizontal="center" vertical="center" wrapText="1"/>
    </xf>
    <xf numFmtId="0" fontId="5" fillId="0" borderId="1" xfId="3" applyBorder="1" applyAlignment="1">
      <alignment horizontal="left" vertical="top"/>
    </xf>
    <xf numFmtId="0" fontId="5" fillId="0" borderId="1" xfId="3" applyBorder="1" applyAlignment="1">
      <alignment horizontal="left" vertical="top" wrapText="1"/>
    </xf>
    <xf numFmtId="17" fontId="18" fillId="0" borderId="1" xfId="3" applyNumberFormat="1" applyFont="1" applyBorder="1" applyAlignment="1">
      <alignment horizontal="left" vertical="top"/>
    </xf>
    <xf numFmtId="0" fontId="12" fillId="0" borderId="0" xfId="13" applyFont="1" applyAlignment="1">
      <alignment vertical="top"/>
    </xf>
    <xf numFmtId="0" fontId="8" fillId="0" borderId="17" xfId="4" applyFont="1" applyBorder="1" applyAlignment="1">
      <alignment vertical="top" wrapText="1"/>
    </xf>
    <xf numFmtId="164" fontId="8" fillId="0" borderId="16" xfId="4" applyNumberFormat="1" applyFont="1" applyBorder="1" applyAlignment="1">
      <alignment horizontal="center" vertical="center" wrapText="1"/>
    </xf>
    <xf numFmtId="164" fontId="8" fillId="0" borderId="1" xfId="4" applyNumberFormat="1" applyFont="1" applyBorder="1" applyAlignment="1">
      <alignment horizontal="left" vertical="top" wrapText="1" indent="1"/>
    </xf>
    <xf numFmtId="0" fontId="21" fillId="18" borderId="13" xfId="4" applyFont="1" applyFill="1" applyBorder="1" applyAlignment="1">
      <alignment horizontal="center" vertical="top" wrapText="1"/>
    </xf>
    <xf numFmtId="0" fontId="21" fillId="18" borderId="14" xfId="4" applyFont="1" applyFill="1" applyBorder="1" applyAlignment="1">
      <alignment horizontal="center" vertical="top" wrapText="1"/>
    </xf>
    <xf numFmtId="0" fontId="21" fillId="18" borderId="15" xfId="4" applyFont="1" applyFill="1" applyBorder="1" applyAlignment="1">
      <alignment horizontal="center" vertical="top" wrapText="1"/>
    </xf>
    <xf numFmtId="0" fontId="8" fillId="0" borderId="6" xfId="4" applyFont="1" applyBorder="1" applyAlignment="1">
      <alignment horizontal="left" vertical="top" wrapText="1" indent="1"/>
    </xf>
    <xf numFmtId="0" fontId="8" fillId="0" borderId="8" xfId="4" applyFont="1" applyBorder="1" applyAlignment="1">
      <alignment horizontal="left" vertical="top" wrapText="1" indent="1"/>
    </xf>
    <xf numFmtId="0" fontId="8" fillId="0" borderId="26" xfId="4" applyFont="1" applyBorder="1" applyAlignment="1">
      <alignment horizontal="left" vertical="top" wrapText="1" indent="1"/>
    </xf>
    <xf numFmtId="0" fontId="8" fillId="0" borderId="1" xfId="4" applyFont="1" applyBorder="1" applyAlignment="1">
      <alignment horizontal="left" vertical="top" wrapText="1" indent="1"/>
    </xf>
    <xf numFmtId="0" fontId="9" fillId="3" borderId="4" xfId="3" applyFont="1" applyFill="1" applyBorder="1" applyAlignment="1">
      <alignment horizontal="center" vertical="center"/>
    </xf>
    <xf numFmtId="0" fontId="9" fillId="3" borderId="5" xfId="3" applyFont="1" applyFill="1" applyBorder="1" applyAlignment="1">
      <alignment horizontal="center" vertical="center"/>
    </xf>
    <xf numFmtId="0" fontId="9" fillId="3" borderId="10" xfId="0" applyFont="1" applyFill="1" applyBorder="1" applyAlignment="1">
      <alignment horizontal="left" vertical="center"/>
    </xf>
    <xf numFmtId="0" fontId="9" fillId="3" borderId="0" xfId="0" applyFont="1" applyFill="1" applyAlignment="1">
      <alignment horizontal="left" vertical="center"/>
    </xf>
    <xf numFmtId="0" fontId="9" fillId="0" borderId="0" xfId="3" applyFont="1" applyAlignment="1">
      <alignment horizontal="left" vertical="center"/>
    </xf>
    <xf numFmtId="0" fontId="9" fillId="0" borderId="11" xfId="3" applyFont="1" applyBorder="1" applyAlignment="1">
      <alignment horizontal="left" vertical="center"/>
    </xf>
    <xf numFmtId="0" fontId="9" fillId="0" borderId="0" xfId="3" applyFont="1" applyAlignment="1">
      <alignment horizontal="left" vertical="center" wrapText="1"/>
    </xf>
    <xf numFmtId="0" fontId="9" fillId="0" borderId="11" xfId="3" applyFont="1" applyBorder="1" applyAlignment="1">
      <alignment horizontal="left" vertical="center" wrapText="1"/>
    </xf>
    <xf numFmtId="0" fontId="9" fillId="3" borderId="10" xfId="0" applyFont="1" applyFill="1" applyBorder="1" applyAlignment="1">
      <alignment horizontal="center" vertical="center"/>
    </xf>
    <xf numFmtId="0" fontId="9" fillId="3" borderId="0" xfId="0" applyFont="1" applyFill="1" applyAlignment="1">
      <alignment horizontal="center" vertical="center"/>
    </xf>
    <xf numFmtId="0" fontId="9" fillId="0" borderId="10" xfId="3" applyFont="1" applyBorder="1" applyAlignment="1">
      <alignment horizontal="left" vertical="center"/>
    </xf>
    <xf numFmtId="0" fontId="9" fillId="0" borderId="0" xfId="4" applyFont="1" applyAlignment="1">
      <alignment horizontal="left" vertical="center" wrapText="1"/>
    </xf>
    <xf numFmtId="0" fontId="9" fillId="0" borderId="11" xfId="4" applyFont="1" applyBorder="1" applyAlignment="1">
      <alignment horizontal="left" vertical="center" wrapText="1"/>
    </xf>
    <xf numFmtId="0" fontId="9" fillId="3" borderId="10" xfId="3" applyFont="1" applyFill="1" applyBorder="1" applyAlignment="1">
      <alignment horizontal="left" vertical="center"/>
    </xf>
    <xf numFmtId="0" fontId="9" fillId="3" borderId="0" xfId="3" applyFont="1" applyFill="1" applyAlignment="1">
      <alignment horizontal="left" vertical="center"/>
    </xf>
    <xf numFmtId="0" fontId="22" fillId="3" borderId="10" xfId="3" applyFont="1" applyFill="1" applyBorder="1" applyAlignment="1">
      <alignment horizontal="left" vertical="center"/>
    </xf>
    <xf numFmtId="0" fontId="22" fillId="3" borderId="0" xfId="3" applyFont="1" applyFill="1" applyAlignment="1">
      <alignment horizontal="left" vertical="center"/>
    </xf>
    <xf numFmtId="0" fontId="22" fillId="0" borderId="0" xfId="4" applyFont="1" applyAlignment="1">
      <alignment horizontal="left" vertical="center" wrapText="1"/>
    </xf>
    <xf numFmtId="0" fontId="22" fillId="0" borderId="11" xfId="4" applyFont="1" applyBorder="1" applyAlignment="1">
      <alignment horizontal="left" vertical="center" wrapText="1"/>
    </xf>
    <xf numFmtId="0" fontId="17" fillId="6" borderId="1" xfId="7" applyFont="1" applyFill="1" applyAlignment="1">
      <alignment horizontal="center" vertical="center" wrapText="1"/>
    </xf>
    <xf numFmtId="0" fontId="9" fillId="7" borderId="1" xfId="7" applyFont="1" applyFill="1" applyAlignment="1">
      <alignment horizontal="left" vertical="center" wrapText="1"/>
    </xf>
    <xf numFmtId="0" fontId="14" fillId="0" borderId="6" xfId="8" applyFont="1" applyBorder="1" applyAlignment="1">
      <alignment horizontal="center" vertical="center" wrapText="1"/>
    </xf>
    <xf numFmtId="0" fontId="14" fillId="0" borderId="8" xfId="8" applyFont="1" applyBorder="1" applyAlignment="1">
      <alignment horizontal="center" vertical="center" wrapText="1"/>
    </xf>
    <xf numFmtId="0" fontId="14" fillId="0" borderId="7" xfId="8" applyFont="1" applyBorder="1" applyAlignment="1">
      <alignment horizontal="center" vertical="center" wrapText="1"/>
    </xf>
    <xf numFmtId="0" fontId="16" fillId="6" borderId="0" xfId="5" applyFont="1" applyFill="1" applyAlignment="1">
      <alignment horizontal="left" vertical="center" wrapText="1"/>
    </xf>
    <xf numFmtId="0" fontId="15" fillId="5" borderId="1" xfId="5" applyFont="1" applyFill="1" applyBorder="1" applyAlignment="1">
      <alignment horizontal="center" vertical="center"/>
    </xf>
    <xf numFmtId="0" fontId="15" fillId="5" borderId="1" xfId="5" applyFont="1" applyFill="1" applyBorder="1" applyAlignment="1">
      <alignment horizontal="center" vertical="center" wrapText="1"/>
    </xf>
    <xf numFmtId="0" fontId="12" fillId="2" borderId="1" xfId="5" applyFont="1" applyFill="1" applyBorder="1" applyAlignment="1">
      <alignment horizontal="center"/>
    </xf>
    <xf numFmtId="0" fontId="12" fillId="0" borderId="4" xfId="5" applyFont="1" applyBorder="1" applyAlignment="1">
      <alignment horizontal="left" vertical="center" wrapText="1"/>
    </xf>
    <xf numFmtId="0" fontId="12" fillId="0" borderId="0" xfId="5" applyFont="1" applyAlignment="1">
      <alignment horizontal="left" vertical="top" wrapText="1"/>
    </xf>
    <xf numFmtId="0" fontId="15" fillId="11" borderId="6" xfId="0" applyFont="1" applyFill="1" applyBorder="1" applyAlignment="1">
      <alignment horizontal="center" vertical="center"/>
    </xf>
    <xf numFmtId="0" fontId="15" fillId="11" borderId="8" xfId="0" applyFont="1" applyFill="1" applyBorder="1" applyAlignment="1">
      <alignment horizontal="center" vertical="center"/>
    </xf>
    <xf numFmtId="0" fontId="15" fillId="11" borderId="7" xfId="0" applyFont="1" applyFill="1" applyBorder="1" applyAlignment="1">
      <alignment horizontal="center" vertical="center"/>
    </xf>
    <xf numFmtId="0" fontId="27" fillId="0" borderId="1" xfId="2" applyFont="1" applyBorder="1" applyAlignment="1">
      <alignment horizontal="left" vertical="top" wrapText="1"/>
    </xf>
    <xf numFmtId="0" fontId="27" fillId="0" borderId="1" xfId="2" applyFont="1" applyBorder="1" applyAlignment="1">
      <alignment horizontal="center" vertical="center" wrapText="1"/>
    </xf>
    <xf numFmtId="0" fontId="15" fillId="15" borderId="0" xfId="0" applyFont="1" applyFill="1" applyAlignment="1">
      <alignment horizontal="center" vertical="center"/>
    </xf>
    <xf numFmtId="0" fontId="7" fillId="11" borderId="0" xfId="0" applyFont="1" applyFill="1" applyAlignment="1">
      <alignment horizontal="center" vertical="center" wrapText="1"/>
    </xf>
    <xf numFmtId="0" fontId="7" fillId="11" borderId="0" xfId="0" applyFont="1" applyFill="1" applyAlignment="1">
      <alignment horizontal="center" vertical="center"/>
    </xf>
    <xf numFmtId="0" fontId="15" fillId="12" borderId="10" xfId="0" applyFont="1" applyFill="1" applyBorder="1" applyAlignment="1">
      <alignment horizontal="center" vertical="center"/>
    </xf>
    <xf numFmtId="0" fontId="15" fillId="12" borderId="0" xfId="0" applyFont="1" applyFill="1" applyAlignment="1">
      <alignment horizontal="center" vertical="center"/>
    </xf>
    <xf numFmtId="0" fontId="25" fillId="0" borderId="2" xfId="11" applyFont="1" applyBorder="1" applyAlignment="1">
      <alignment horizontal="left" vertical="top" wrapText="1"/>
    </xf>
    <xf numFmtId="0" fontId="12" fillId="0" borderId="2" xfId="11" applyFont="1" applyBorder="1" applyAlignment="1">
      <alignment horizontal="left" vertical="top" wrapText="1"/>
    </xf>
    <xf numFmtId="0" fontId="12" fillId="0" borderId="24" xfId="11" applyFont="1" applyBorder="1" applyAlignment="1">
      <alignment horizontal="center" vertical="top" wrapText="1"/>
    </xf>
    <xf numFmtId="0" fontId="12" fillId="0" borderId="23" xfId="11" applyFont="1" applyBorder="1" applyAlignment="1">
      <alignment horizontal="center" vertical="top" wrapText="1"/>
    </xf>
    <xf numFmtId="0" fontId="12" fillId="0" borderId="25" xfId="11" applyFont="1" applyBorder="1" applyAlignment="1">
      <alignment horizontal="center" vertical="top" wrapText="1"/>
    </xf>
  </cellXfs>
  <cellStyles count="14">
    <cellStyle name="Hyperlink" xfId="6" builtinId="8"/>
    <cellStyle name="Normal" xfId="0" builtinId="0"/>
    <cellStyle name="Normal 2" xfId="2" xr:uid="{00000000-0005-0000-0000-000002000000}"/>
    <cellStyle name="Normal 2 2" xfId="3" xr:uid="{00000000-0005-0000-0000-000003000000}"/>
    <cellStyle name="Normal 2 3" xfId="10" xr:uid="{00000000-0005-0000-0000-000004000000}"/>
    <cellStyle name="Normal 3" xfId="4" xr:uid="{00000000-0005-0000-0000-000005000000}"/>
    <cellStyle name="Normal 4" xfId="5" xr:uid="{00000000-0005-0000-0000-000006000000}"/>
    <cellStyle name="Normal 4 2" xfId="12" xr:uid="{00000000-0005-0000-0000-000007000000}"/>
    <cellStyle name="Normal 4 6" xfId="13" xr:uid="{B047F92F-EB7E-4CA6-893F-E9F3B404B309}"/>
    <cellStyle name="Normal 5" xfId="11" xr:uid="{00000000-0005-0000-0000-000008000000}"/>
    <cellStyle name="Normal_Template-RTM" xfId="7" xr:uid="{00000000-0005-0000-0000-000009000000}"/>
    <cellStyle name="Normal_Template-RTM 2" xfId="1" xr:uid="{00000000-0005-0000-0000-00000A000000}"/>
    <cellStyle name="Normal_Template-RTM 2 2" xfId="8" xr:uid="{00000000-0005-0000-0000-00000B000000}"/>
    <cellStyle name="標準 2" xfId="9" xr:uid="{00000000-0005-0000-0000-00000C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auto="1"/>
      </font>
      <fill>
        <patternFill>
          <bgColor rgb="FFFFFF00"/>
        </patternFill>
      </fill>
    </dxf>
    <dxf>
      <font>
        <b/>
        <i val="0"/>
        <color auto="1"/>
      </font>
      <fill>
        <patternFill>
          <bgColor rgb="FF92D050"/>
        </patternFill>
      </fill>
    </dxf>
    <dxf>
      <fill>
        <patternFill>
          <bgColor rgb="FF92D050"/>
        </patternFill>
      </fill>
    </dxf>
    <dxf>
      <fill>
        <patternFill>
          <bgColor theme="5" tint="0.39994506668294322"/>
        </patternFill>
      </fill>
    </dxf>
    <dxf>
      <font>
        <color rgb="FF9C0006"/>
      </font>
      <fill>
        <patternFill>
          <bgColor rgb="FFFFC7CE"/>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ont>
        <b/>
        <i val="0"/>
        <color auto="1"/>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1"/>
      </font>
      <fill>
        <patternFill>
          <bgColor rgb="FF00B050"/>
        </patternFill>
      </fill>
    </dxf>
    <dxf>
      <font>
        <b/>
        <i val="0"/>
        <color auto="1"/>
      </font>
      <fill>
        <patternFill>
          <bgColor rgb="FF92D050"/>
        </patternFill>
      </fill>
    </dxf>
    <dxf>
      <font>
        <color rgb="FF9C0006"/>
      </font>
      <fill>
        <patternFill>
          <bgColor rgb="FFFFC7CE"/>
        </patternFill>
      </fill>
    </dxf>
  </dxfs>
  <tableStyles count="0" defaultTableStyle="TableStyleMedium9" defaultPivotStyle="PivotStyleLight16"/>
  <colors>
    <mruColors>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externalLink" Target="externalLinks/externalLink8.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7.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6.xml"/><Relationship Id="rId23" Type="http://schemas.openxmlformats.org/officeDocument/2006/relationships/customXml" Target="../customXml/item2.xml"/><Relationship Id="rId10" Type="http://schemas.openxmlformats.org/officeDocument/2006/relationships/externalLink" Target="externalLinks/externalLink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Summary of</a:t>
            </a:r>
            <a:r>
              <a:rPr lang="en-US" baseline="0"/>
              <a:t> requirements by Req. Applicability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Total</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'Summary-Product-Requirement'!$A$5:$A$8</c:f>
              <c:strCache>
                <c:ptCount val="4"/>
                <c:pt idx="0">
                  <c:v>System &amp; Design</c:v>
                </c:pt>
                <c:pt idx="1">
                  <c:v>Infrastructure&amp;Network</c:v>
                </c:pt>
                <c:pt idx="2">
                  <c:v>Wireless</c:v>
                </c:pt>
                <c:pt idx="3">
                  <c:v>Cloud</c:v>
                </c:pt>
              </c:strCache>
            </c:strRef>
          </c:cat>
          <c:val>
            <c:numRef>
              <c:f>'Summary-Product-Requirement'!$B$5:$B$8</c:f>
              <c:numCache>
                <c:formatCode>General</c:formatCode>
                <c:ptCount val="4"/>
                <c:pt idx="0">
                  <c:v>1564</c:v>
                </c:pt>
                <c:pt idx="1">
                  <c:v>271</c:v>
                </c:pt>
                <c:pt idx="2">
                  <c:v>176</c:v>
                </c:pt>
                <c:pt idx="3">
                  <c:v>11</c:v>
                </c:pt>
              </c:numCache>
            </c:numRef>
          </c:val>
          <c:extLst>
            <c:ext xmlns:c16="http://schemas.microsoft.com/office/drawing/2014/chart" uri="{C3380CC4-5D6E-409C-BE32-E72D297353CC}">
              <c16:uniqueId val="{00000000-1969-4760-96AC-8DD2437D7A0C}"/>
            </c:ext>
          </c:extLst>
        </c:ser>
        <c:ser>
          <c:idx val="1"/>
          <c:order val="1"/>
          <c:tx>
            <c:v>Unique</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'Summary-Product-Requirement'!$A$5:$A$8</c:f>
              <c:strCache>
                <c:ptCount val="4"/>
                <c:pt idx="0">
                  <c:v>System &amp; Design</c:v>
                </c:pt>
                <c:pt idx="1">
                  <c:v>Infrastructure&amp;Network</c:v>
                </c:pt>
                <c:pt idx="2">
                  <c:v>Wireless</c:v>
                </c:pt>
                <c:pt idx="3">
                  <c:v>Cloud</c:v>
                </c:pt>
              </c:strCache>
            </c:strRef>
          </c:cat>
          <c:val>
            <c:numRef>
              <c:f>'Summary-Product-Requirement'!$C$5:$C$8</c:f>
              <c:numCache>
                <c:formatCode>General</c:formatCode>
                <c:ptCount val="4"/>
                <c:pt idx="0">
                  <c:v>153</c:v>
                </c:pt>
                <c:pt idx="1">
                  <c:v>27</c:v>
                </c:pt>
                <c:pt idx="2">
                  <c:v>33</c:v>
                </c:pt>
                <c:pt idx="3">
                  <c:v>4</c:v>
                </c:pt>
              </c:numCache>
            </c:numRef>
          </c:val>
          <c:extLst>
            <c:ext xmlns:c16="http://schemas.microsoft.com/office/drawing/2014/chart" uri="{C3380CC4-5D6E-409C-BE32-E72D297353CC}">
              <c16:uniqueId val="{00000001-1969-4760-96AC-8DD2437D7A0C}"/>
            </c:ext>
          </c:extLst>
        </c:ser>
        <c:dLbls>
          <c:showLegendKey val="0"/>
          <c:showVal val="0"/>
          <c:showCatName val="0"/>
          <c:showSerName val="0"/>
          <c:showPercent val="0"/>
          <c:showBubbleSize val="0"/>
        </c:dLbls>
        <c:gapWidth val="219"/>
        <c:overlap val="-27"/>
        <c:axId val="2130810992"/>
        <c:axId val="2130810576"/>
      </c:barChart>
      <c:catAx>
        <c:axId val="2130810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810576"/>
        <c:crosses val="autoZero"/>
        <c:auto val="1"/>
        <c:lblAlgn val="ctr"/>
        <c:lblOffset val="100"/>
        <c:noMultiLvlLbl val="0"/>
      </c:catAx>
      <c:valAx>
        <c:axId val="2130810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810992"/>
        <c:crosses val="autoZero"/>
        <c:crossBetween val="between"/>
      </c:valAx>
      <c:spPr>
        <a:noFill/>
        <a:ln>
          <a:noFill/>
        </a:ln>
        <a:effectLst/>
      </c:spPr>
    </c:plotArea>
    <c:legend>
      <c:legendPos val="r"/>
      <c:layout>
        <c:manualLayout>
          <c:xMode val="edge"/>
          <c:yMode val="edge"/>
          <c:x val="0.90673732863792322"/>
          <c:y val="0.47943165966220436"/>
          <c:w val="8.3491253298494772E-2"/>
          <c:h val="0.229575533389910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1">
          <a:lumMod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Summary of requirements by NIST Function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'Summary-Product-Requirement'!$B$12</c:f>
              <c:strCache>
                <c:ptCount val="1"/>
                <c:pt idx="0">
                  <c:v>Total Req. Count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'Summary-Product-Requirement'!$A$13:$A$17</c:f>
              <c:strCache>
                <c:ptCount val="5"/>
                <c:pt idx="0">
                  <c:v>Identify</c:v>
                </c:pt>
                <c:pt idx="1">
                  <c:v>Protect</c:v>
                </c:pt>
                <c:pt idx="2">
                  <c:v>Detect</c:v>
                </c:pt>
                <c:pt idx="3">
                  <c:v>Respond</c:v>
                </c:pt>
                <c:pt idx="4">
                  <c:v>Recover</c:v>
                </c:pt>
              </c:strCache>
            </c:strRef>
          </c:cat>
          <c:val>
            <c:numRef>
              <c:f>'Summary-Product-Requirement'!$B$13:$B$17</c:f>
              <c:numCache>
                <c:formatCode>General</c:formatCode>
                <c:ptCount val="5"/>
                <c:pt idx="0">
                  <c:v>14</c:v>
                </c:pt>
                <c:pt idx="1">
                  <c:v>1897</c:v>
                </c:pt>
                <c:pt idx="2">
                  <c:v>111</c:v>
                </c:pt>
                <c:pt idx="3">
                  <c:v>0</c:v>
                </c:pt>
                <c:pt idx="4">
                  <c:v>0</c:v>
                </c:pt>
              </c:numCache>
            </c:numRef>
          </c:val>
          <c:extLst>
            <c:ext xmlns:c16="http://schemas.microsoft.com/office/drawing/2014/chart" uri="{C3380CC4-5D6E-409C-BE32-E72D297353CC}">
              <c16:uniqueId val="{00000000-E1DF-4D39-A0B2-B1B5172A51B9}"/>
            </c:ext>
          </c:extLst>
        </c:ser>
        <c:ser>
          <c:idx val="1"/>
          <c:order val="1"/>
          <c:tx>
            <c:strRef>
              <c:f>'Summary-Product-Requirement'!$C$12</c:f>
              <c:strCache>
                <c:ptCount val="1"/>
                <c:pt idx="0">
                  <c:v>Unique Req. Count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'Summary-Product-Requirement'!$A$13:$A$17</c:f>
              <c:strCache>
                <c:ptCount val="5"/>
                <c:pt idx="0">
                  <c:v>Identify</c:v>
                </c:pt>
                <c:pt idx="1">
                  <c:v>Protect</c:v>
                </c:pt>
                <c:pt idx="2">
                  <c:v>Detect</c:v>
                </c:pt>
                <c:pt idx="3">
                  <c:v>Respond</c:v>
                </c:pt>
                <c:pt idx="4">
                  <c:v>Recover</c:v>
                </c:pt>
              </c:strCache>
            </c:strRef>
          </c:cat>
          <c:val>
            <c:numRef>
              <c:f>'Summary-Product-Requirement'!$C$13:$C$17</c:f>
              <c:numCache>
                <c:formatCode>General</c:formatCode>
                <c:ptCount val="5"/>
                <c:pt idx="0">
                  <c:v>3</c:v>
                </c:pt>
                <c:pt idx="1">
                  <c:v>201</c:v>
                </c:pt>
                <c:pt idx="2">
                  <c:v>13</c:v>
                </c:pt>
                <c:pt idx="3">
                  <c:v>0</c:v>
                </c:pt>
                <c:pt idx="4">
                  <c:v>0</c:v>
                </c:pt>
              </c:numCache>
            </c:numRef>
          </c:val>
          <c:extLst>
            <c:ext xmlns:c16="http://schemas.microsoft.com/office/drawing/2014/chart" uri="{C3380CC4-5D6E-409C-BE32-E72D297353CC}">
              <c16:uniqueId val="{00000001-E1DF-4D39-A0B2-B1B5172A51B9}"/>
            </c:ext>
          </c:extLst>
        </c:ser>
        <c:dLbls>
          <c:dLblPos val="outEnd"/>
          <c:showLegendKey val="0"/>
          <c:showVal val="1"/>
          <c:showCatName val="0"/>
          <c:showSerName val="0"/>
          <c:showPercent val="0"/>
          <c:showBubbleSize val="0"/>
        </c:dLbls>
        <c:gapWidth val="219"/>
        <c:overlap val="-27"/>
        <c:axId val="170495232"/>
        <c:axId val="170491904"/>
      </c:barChart>
      <c:catAx>
        <c:axId val="170495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91904"/>
        <c:crosses val="autoZero"/>
        <c:auto val="1"/>
        <c:lblAlgn val="ctr"/>
        <c:lblOffset val="100"/>
        <c:noMultiLvlLbl val="0"/>
      </c:catAx>
      <c:valAx>
        <c:axId val="170491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95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590550</xdr:colOff>
      <xdr:row>0</xdr:row>
      <xdr:rowOff>104775</xdr:rowOff>
    </xdr:from>
    <xdr:to>
      <xdr:col>5</xdr:col>
      <xdr:colOff>1819275</xdr:colOff>
      <xdr:row>0</xdr:row>
      <xdr:rowOff>304800</xdr:rowOff>
    </xdr:to>
    <xdr:pic>
      <xdr:nvPicPr>
        <xdr:cNvPr id="2" name="Picture 2" descr="HCL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5212" b="28896"/>
        <a:stretch>
          <a:fillRect/>
        </a:stretch>
      </xdr:blipFill>
      <xdr:spPr bwMode="auto">
        <a:xfrm>
          <a:off x="7153275" y="104775"/>
          <a:ext cx="1228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583746</xdr:colOff>
      <xdr:row>2</xdr:row>
      <xdr:rowOff>179615</xdr:rowOff>
    </xdr:from>
    <xdr:to>
      <xdr:col>7</xdr:col>
      <xdr:colOff>435429</xdr:colOff>
      <xdr:row>16</xdr:row>
      <xdr:rowOff>122464</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666751</xdr:colOff>
      <xdr:row>2</xdr:row>
      <xdr:rowOff>172810</xdr:rowOff>
    </xdr:from>
    <xdr:to>
      <xdr:col>12</xdr:col>
      <xdr:colOff>421822</xdr:colOff>
      <xdr:row>16</xdr:row>
      <xdr:rowOff>122464</xdr:rowOff>
    </xdr:to>
    <xdr:graphicFrame macro="">
      <xdr:nvGraphicFramePr>
        <xdr:cNvPr id="4" name="Chart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485775</xdr:colOff>
          <xdr:row>1</xdr:row>
          <xdr:rowOff>95250</xdr:rowOff>
        </xdr:from>
        <xdr:to>
          <xdr:col>3</xdr:col>
          <xdr:colOff>1266825</xdr:colOff>
          <xdr:row>1</xdr:row>
          <xdr:rowOff>447675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Update Standard Mapping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1</xdr:row>
          <xdr:rowOff>95250</xdr:rowOff>
        </xdr:from>
        <xdr:to>
          <xdr:col>4</xdr:col>
          <xdr:colOff>2933700</xdr:colOff>
          <xdr:row>1</xdr:row>
          <xdr:rowOff>457200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Update Country Mapping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3352800</xdr:colOff>
          <xdr:row>1</xdr:row>
          <xdr:rowOff>104775</xdr:rowOff>
        </xdr:from>
        <xdr:to>
          <xdr:col>4</xdr:col>
          <xdr:colOff>6248400</xdr:colOff>
          <xdr:row>1</xdr:row>
          <xdr:rowOff>466725</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5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Update Unique Req. Reference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2028264</xdr:colOff>
      <xdr:row>5</xdr:row>
      <xdr:rowOff>78442</xdr:rowOff>
    </xdr:from>
    <xdr:to>
      <xdr:col>3</xdr:col>
      <xdr:colOff>11205</xdr:colOff>
      <xdr:row>5</xdr:row>
      <xdr:rowOff>78443</xdr:rowOff>
    </xdr:to>
    <xdr:cxnSp macro="">
      <xdr:nvCxnSpPr>
        <xdr:cNvPr id="2" name="Straight Arrow Connector 1">
          <a:extLst>
            <a:ext uri="{FF2B5EF4-FFF2-40B4-BE49-F238E27FC236}">
              <a16:creationId xmlns:a16="http://schemas.microsoft.com/office/drawing/2014/main" id="{00000000-0008-0000-0800-000002000000}"/>
            </a:ext>
          </a:extLst>
        </xdr:cNvPr>
        <xdr:cNvCxnSpPr/>
      </xdr:nvCxnSpPr>
      <xdr:spPr>
        <a:xfrm>
          <a:off x="2190189" y="916642"/>
          <a:ext cx="1592916"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1893794</xdr:colOff>
      <xdr:row>3</xdr:row>
      <xdr:rowOff>134472</xdr:rowOff>
    </xdr:from>
    <xdr:to>
      <xdr:col>3</xdr:col>
      <xdr:colOff>11205</xdr:colOff>
      <xdr:row>4</xdr:row>
      <xdr:rowOff>112059</xdr:rowOff>
    </xdr:to>
    <xdr:cxnSp macro="">
      <xdr:nvCxnSpPr>
        <xdr:cNvPr id="3" name="Straight Arrow Connector 2">
          <a:extLst>
            <a:ext uri="{FF2B5EF4-FFF2-40B4-BE49-F238E27FC236}">
              <a16:creationId xmlns:a16="http://schemas.microsoft.com/office/drawing/2014/main" id="{00000000-0008-0000-0800-000003000000}"/>
            </a:ext>
          </a:extLst>
        </xdr:cNvPr>
        <xdr:cNvCxnSpPr/>
      </xdr:nvCxnSpPr>
      <xdr:spPr>
        <a:xfrm flipV="1">
          <a:off x="2189069" y="620247"/>
          <a:ext cx="1594036" cy="1680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alasubramanian_s\AppData\Local\Microsoft\Windows\INetCache\Content.Outlook\68JIKDMQ\New%20folder\MLSR020_CANCSA%20C22.2%20NO.%2060601-1-8-08%20(R2018)_Rev%20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S%20Templates/CS_MLSR_Template.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udhakarraojar\AppData\Local\Microsoft\Windows\INetCache\Content.Outlook\81JOWRYN\DOC\MLSR%20079%20iec62443-2-1%7bed1.0%7db.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ites\OLY-CS-P1\Shared%20Documents\General\HCL_CS_Team_Review\Reviewed%20&amp;%20Cleaned%20Up\Re-Mapped%20after%20MLCR%20review\MLSR%20Final%20Delivery%20-Product%20documents\Consolidated\MLSR049_NIST_SP_800-53_R4_Rev%2001_Bala.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balasubramanian_s\AppData\Local\Microsoft\Windows\INetCache\Content.Outlook\68JIKDMQ\Total\MLSR%20014%20BS_EN_ISO_14971_2019.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Project\Olympus\SVN_\HS\Deliverables\External%20review\MLSR%20060%20065%20105%20MLCR\MLSR106_Postmarket%20Management%20of%20Cybersecurity%20in%20Medical%20Devic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navaneethakrishnann/Desktop/customer%20review%20updated%20document/MLSR049%20NIST.SP.800-53%20r4.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sudhakarraojar\AppData\Local\Microsoft\Windows\INetCache\Content.Outlook\81JOWRYN\name\MLSR%20to%20MLCR\MLSR%20014%20BS_EN_ISO_14971_201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CUMENT CREDENTIALS"/>
      <sheetName val="GUIDANCE DOCUMENT"/>
      <sheetName val="SUMMARY-STANDARD ASSESSMENT"/>
      <sheetName val="STANDARD ASSESSMENT"/>
      <sheetName val="REVISION HISTORY"/>
      <sheetName val="Macro"/>
    </sheetNames>
    <sheetDataSet>
      <sheetData sheetId="0" refreshError="1"/>
      <sheetData sheetId="1" refreshError="1"/>
      <sheetData sheetId="2" refreshError="1"/>
      <sheetData sheetId="3" refreshError="1"/>
      <sheetData sheetId="4" refreshError="1"/>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Modification History &amp; Approval"/>
      <sheetName val="Guidelines"/>
      <sheetName val="Summary-Standard Assessment"/>
      <sheetName val="Standard Assessment"/>
      <sheetName val="Macro New"/>
    </sheetNames>
    <sheetDataSet>
      <sheetData sheetId="0"/>
      <sheetData sheetId="1"/>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Standard Assessment"/>
      <sheetName val="Guideline"/>
      <sheetName val="Macro"/>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CUMENT CREDENTIALS"/>
      <sheetName val="GUIDANCE DOCUMENT"/>
      <sheetName val="SUMMARY-STANDARD ASSESSMENT"/>
      <sheetName val="STANDARD ASSESSMENT"/>
      <sheetName val="REVISION HISTORY"/>
      <sheetName val="Macro New"/>
    </sheetNames>
    <sheetDataSet>
      <sheetData sheetId="0"/>
      <sheetData sheetId="1"/>
      <sheetData sheetId="2"/>
      <sheetData sheetId="3"/>
      <sheetData sheetId="4"/>
      <sheetData sheetId="5">
        <row r="4">
          <cell r="D4" t="str">
            <v>N/A</v>
          </cell>
        </row>
        <row r="13">
          <cell r="J13" t="str">
            <v>System_Design</v>
          </cell>
        </row>
        <row r="14">
          <cell r="J14" t="str">
            <v>Infrastructure&amp;Network</v>
          </cell>
        </row>
        <row r="15">
          <cell r="J15" t="str">
            <v>Wireless</v>
          </cell>
        </row>
        <row r="16">
          <cell r="J16" t="str">
            <v>Cloud</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CUMENT CREDENTIALS"/>
      <sheetName val="GUIDANCE DOCUMENT"/>
      <sheetName val="SUMMARY-STANDARD ASSESSMENT"/>
      <sheetName val="STANDARD ASSESSMENT"/>
      <sheetName val="REVISION HISTORY"/>
      <sheetName val="Macro New"/>
    </sheetNames>
    <sheetDataSet>
      <sheetData sheetId="0"/>
      <sheetData sheetId="1"/>
      <sheetData sheetId="2"/>
      <sheetData sheetId="3"/>
      <sheetData sheetId="4"/>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Standard Assessment"/>
      <sheetName val="Guideline"/>
      <sheetName val="Macro"/>
    </sheetNames>
    <sheetDataSet>
      <sheetData sheetId="0"/>
      <sheetData sheetId="1"/>
      <sheetData sheetId="2"/>
      <sheetData sheetId="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Standard Assessment"/>
      <sheetName val="Sheet1"/>
      <sheetName val="Guideline"/>
      <sheetName val="Macro"/>
    </sheetNames>
    <sheetDataSet>
      <sheetData sheetId="0"/>
      <sheetData sheetId="1"/>
      <sheetData sheetId="2"/>
      <sheetData sheetId="3"/>
      <sheetData sheetId="4"/>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Standard Assessment"/>
      <sheetName val="Guideline"/>
      <sheetName val="Macro"/>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8"/>
  <sheetViews>
    <sheetView zoomScaleNormal="100" workbookViewId="0">
      <pane ySplit="22" topLeftCell="A23" activePane="bottomLeft" state="frozen"/>
      <selection pane="bottomLeft" activeCell="C1" sqref="C1"/>
    </sheetView>
  </sheetViews>
  <sheetFormatPr defaultRowHeight="15"/>
  <cols>
    <col min="1" max="1" width="5.42578125" style="8" customWidth="1"/>
    <col min="2" max="2" width="27.140625" style="8" bestFit="1" customWidth="1"/>
    <col min="3" max="3" width="112.5703125" style="8" customWidth="1"/>
    <col min="4" max="16384" width="9.140625" style="8"/>
  </cols>
  <sheetData>
    <row r="1" spans="1:3">
      <c r="A1" s="7" t="s">
        <v>0</v>
      </c>
      <c r="B1" s="7" t="s">
        <v>1</v>
      </c>
      <c r="C1" s="7" t="s">
        <v>2</v>
      </c>
    </row>
    <row r="2" spans="1:3">
      <c r="A2" s="52">
        <v>1</v>
      </c>
      <c r="B2" s="53" t="s">
        <v>3</v>
      </c>
      <c r="C2" s="54" t="s">
        <v>4</v>
      </c>
    </row>
    <row r="3" spans="1:3">
      <c r="A3" s="52">
        <v>2</v>
      </c>
      <c r="B3" s="52" t="s">
        <v>5</v>
      </c>
      <c r="C3" s="54" t="s">
        <v>6</v>
      </c>
    </row>
    <row r="4" spans="1:3">
      <c r="A4" s="52">
        <v>3</v>
      </c>
      <c r="B4" s="52" t="s">
        <v>7</v>
      </c>
      <c r="C4" s="54" t="s">
        <v>8</v>
      </c>
    </row>
    <row r="5" spans="1:3">
      <c r="A5" s="52">
        <v>4</v>
      </c>
      <c r="B5" s="52" t="s">
        <v>9</v>
      </c>
      <c r="C5" s="54" t="s">
        <v>10</v>
      </c>
    </row>
    <row r="6" spans="1:3" s="9" customFormat="1" ht="56.25" customHeight="1">
      <c r="A6" s="52">
        <v>5</v>
      </c>
      <c r="B6" s="53" t="s">
        <v>11</v>
      </c>
      <c r="C6" s="55" t="s">
        <v>12</v>
      </c>
    </row>
    <row r="7" spans="1:3">
      <c r="A7" s="52">
        <v>6</v>
      </c>
      <c r="B7" s="52" t="s">
        <v>13</v>
      </c>
      <c r="C7" s="54" t="s">
        <v>14</v>
      </c>
    </row>
    <row r="8" spans="1:3" ht="25.5">
      <c r="A8" s="52">
        <v>7</v>
      </c>
      <c r="B8" s="52" t="s">
        <v>15</v>
      </c>
      <c r="C8" s="55" t="s">
        <v>16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F28"/>
  <sheetViews>
    <sheetView zoomScaleNormal="100" workbookViewId="0">
      <selection activeCell="F18" sqref="F18"/>
    </sheetView>
  </sheetViews>
  <sheetFormatPr defaultRowHeight="12.75"/>
  <cols>
    <col min="1" max="1" width="9.140625" style="56"/>
    <col min="2" max="2" width="22.140625" style="56" customWidth="1"/>
    <col min="3" max="3" width="35.85546875" style="56" customWidth="1"/>
    <col min="4" max="4" width="35.7109375" style="56" customWidth="1"/>
    <col min="5" max="5" width="28" style="56" customWidth="1"/>
    <col min="6" max="6" width="41" style="56" customWidth="1"/>
    <col min="7" max="257" width="9.140625" style="56"/>
    <col min="258" max="258" width="22.140625" style="56" customWidth="1"/>
    <col min="259" max="259" width="17.28515625" style="56" customWidth="1"/>
    <col min="260" max="260" width="21.85546875" style="56" customWidth="1"/>
    <col min="261" max="261" width="28" style="56" customWidth="1"/>
    <col min="262" max="262" width="33.5703125" style="56" customWidth="1"/>
    <col min="263" max="513" width="9.140625" style="56"/>
    <col min="514" max="514" width="22.140625" style="56" customWidth="1"/>
    <col min="515" max="515" width="17.28515625" style="56" customWidth="1"/>
    <col min="516" max="516" width="21.85546875" style="56" customWidth="1"/>
    <col min="517" max="517" width="28" style="56" customWidth="1"/>
    <col min="518" max="518" width="33.5703125" style="56" customWidth="1"/>
    <col min="519" max="769" width="9.140625" style="56"/>
    <col min="770" max="770" width="22.140625" style="56" customWidth="1"/>
    <col min="771" max="771" width="17.28515625" style="56" customWidth="1"/>
    <col min="772" max="772" width="21.85546875" style="56" customWidth="1"/>
    <col min="773" max="773" width="28" style="56" customWidth="1"/>
    <col min="774" max="774" width="33.5703125" style="56" customWidth="1"/>
    <col min="775" max="1025" width="9.140625" style="56"/>
    <col min="1026" max="1026" width="22.140625" style="56" customWidth="1"/>
    <col min="1027" max="1027" width="17.28515625" style="56" customWidth="1"/>
    <col min="1028" max="1028" width="21.85546875" style="56" customWidth="1"/>
    <col min="1029" max="1029" width="28" style="56" customWidth="1"/>
    <col min="1030" max="1030" width="33.5703125" style="56" customWidth="1"/>
    <col min="1031" max="1281" width="9.140625" style="56"/>
    <col min="1282" max="1282" width="22.140625" style="56" customWidth="1"/>
    <col min="1283" max="1283" width="17.28515625" style="56" customWidth="1"/>
    <col min="1284" max="1284" width="21.85546875" style="56" customWidth="1"/>
    <col min="1285" max="1285" width="28" style="56" customWidth="1"/>
    <col min="1286" max="1286" width="33.5703125" style="56" customWidth="1"/>
    <col min="1287" max="1537" width="9.140625" style="56"/>
    <col min="1538" max="1538" width="22.140625" style="56" customWidth="1"/>
    <col min="1539" max="1539" width="17.28515625" style="56" customWidth="1"/>
    <col min="1540" max="1540" width="21.85546875" style="56" customWidth="1"/>
    <col min="1541" max="1541" width="28" style="56" customWidth="1"/>
    <col min="1542" max="1542" width="33.5703125" style="56" customWidth="1"/>
    <col min="1543" max="1793" width="9.140625" style="56"/>
    <col min="1794" max="1794" width="22.140625" style="56" customWidth="1"/>
    <col min="1795" max="1795" width="17.28515625" style="56" customWidth="1"/>
    <col min="1796" max="1796" width="21.85546875" style="56" customWidth="1"/>
    <col min="1797" max="1797" width="28" style="56" customWidth="1"/>
    <col min="1798" max="1798" width="33.5703125" style="56" customWidth="1"/>
    <col min="1799" max="2049" width="9.140625" style="56"/>
    <col min="2050" max="2050" width="22.140625" style="56" customWidth="1"/>
    <col min="2051" max="2051" width="17.28515625" style="56" customWidth="1"/>
    <col min="2052" max="2052" width="21.85546875" style="56" customWidth="1"/>
    <col min="2053" max="2053" width="28" style="56" customWidth="1"/>
    <col min="2054" max="2054" width="33.5703125" style="56" customWidth="1"/>
    <col min="2055" max="2305" width="9.140625" style="56"/>
    <col min="2306" max="2306" width="22.140625" style="56" customWidth="1"/>
    <col min="2307" max="2307" width="17.28515625" style="56" customWidth="1"/>
    <col min="2308" max="2308" width="21.85546875" style="56" customWidth="1"/>
    <col min="2309" max="2309" width="28" style="56" customWidth="1"/>
    <col min="2310" max="2310" width="33.5703125" style="56" customWidth="1"/>
    <col min="2311" max="2561" width="9.140625" style="56"/>
    <col min="2562" max="2562" width="22.140625" style="56" customWidth="1"/>
    <col min="2563" max="2563" width="17.28515625" style="56" customWidth="1"/>
    <col min="2564" max="2564" width="21.85546875" style="56" customWidth="1"/>
    <col min="2565" max="2565" width="28" style="56" customWidth="1"/>
    <col min="2566" max="2566" width="33.5703125" style="56" customWidth="1"/>
    <col min="2567" max="2817" width="9.140625" style="56"/>
    <col min="2818" max="2818" width="22.140625" style="56" customWidth="1"/>
    <col min="2819" max="2819" width="17.28515625" style="56" customWidth="1"/>
    <col min="2820" max="2820" width="21.85546875" style="56" customWidth="1"/>
    <col min="2821" max="2821" width="28" style="56" customWidth="1"/>
    <col min="2822" max="2822" width="33.5703125" style="56" customWidth="1"/>
    <col min="2823" max="3073" width="9.140625" style="56"/>
    <col min="3074" max="3074" width="22.140625" style="56" customWidth="1"/>
    <col min="3075" max="3075" width="17.28515625" style="56" customWidth="1"/>
    <col min="3076" max="3076" width="21.85546875" style="56" customWidth="1"/>
    <col min="3077" max="3077" width="28" style="56" customWidth="1"/>
    <col min="3078" max="3078" width="33.5703125" style="56" customWidth="1"/>
    <col min="3079" max="3329" width="9.140625" style="56"/>
    <col min="3330" max="3330" width="22.140625" style="56" customWidth="1"/>
    <col min="3331" max="3331" width="17.28515625" style="56" customWidth="1"/>
    <col min="3332" max="3332" width="21.85546875" style="56" customWidth="1"/>
    <col min="3333" max="3333" width="28" style="56" customWidth="1"/>
    <col min="3334" max="3334" width="33.5703125" style="56" customWidth="1"/>
    <col min="3335" max="3585" width="9.140625" style="56"/>
    <col min="3586" max="3586" width="22.140625" style="56" customWidth="1"/>
    <col min="3587" max="3587" width="17.28515625" style="56" customWidth="1"/>
    <col min="3588" max="3588" width="21.85546875" style="56" customWidth="1"/>
    <col min="3589" max="3589" width="28" style="56" customWidth="1"/>
    <col min="3590" max="3590" width="33.5703125" style="56" customWidth="1"/>
    <col min="3591" max="3841" width="9.140625" style="56"/>
    <col min="3842" max="3842" width="22.140625" style="56" customWidth="1"/>
    <col min="3843" max="3843" width="17.28515625" style="56" customWidth="1"/>
    <col min="3844" max="3844" width="21.85546875" style="56" customWidth="1"/>
    <col min="3845" max="3845" width="28" style="56" customWidth="1"/>
    <col min="3846" max="3846" width="33.5703125" style="56" customWidth="1"/>
    <col min="3847" max="4097" width="9.140625" style="56"/>
    <col min="4098" max="4098" width="22.140625" style="56" customWidth="1"/>
    <col min="4099" max="4099" width="17.28515625" style="56" customWidth="1"/>
    <col min="4100" max="4100" width="21.85546875" style="56" customWidth="1"/>
    <col min="4101" max="4101" width="28" style="56" customWidth="1"/>
    <col min="4102" max="4102" width="33.5703125" style="56" customWidth="1"/>
    <col min="4103" max="4353" width="9.140625" style="56"/>
    <col min="4354" max="4354" width="22.140625" style="56" customWidth="1"/>
    <col min="4355" max="4355" width="17.28515625" style="56" customWidth="1"/>
    <col min="4356" max="4356" width="21.85546875" style="56" customWidth="1"/>
    <col min="4357" max="4357" width="28" style="56" customWidth="1"/>
    <col min="4358" max="4358" width="33.5703125" style="56" customWidth="1"/>
    <col min="4359" max="4609" width="9.140625" style="56"/>
    <col min="4610" max="4610" width="22.140625" style="56" customWidth="1"/>
    <col min="4611" max="4611" width="17.28515625" style="56" customWidth="1"/>
    <col min="4612" max="4612" width="21.85546875" style="56" customWidth="1"/>
    <col min="4613" max="4613" width="28" style="56" customWidth="1"/>
    <col min="4614" max="4614" width="33.5703125" style="56" customWidth="1"/>
    <col min="4615" max="4865" width="9.140625" style="56"/>
    <col min="4866" max="4866" width="22.140625" style="56" customWidth="1"/>
    <col min="4867" max="4867" width="17.28515625" style="56" customWidth="1"/>
    <col min="4868" max="4868" width="21.85546875" style="56" customWidth="1"/>
    <col min="4869" max="4869" width="28" style="56" customWidth="1"/>
    <col min="4870" max="4870" width="33.5703125" style="56" customWidth="1"/>
    <col min="4871" max="5121" width="9.140625" style="56"/>
    <col min="5122" max="5122" width="22.140625" style="56" customWidth="1"/>
    <col min="5123" max="5123" width="17.28515625" style="56" customWidth="1"/>
    <col min="5124" max="5124" width="21.85546875" style="56" customWidth="1"/>
    <col min="5125" max="5125" width="28" style="56" customWidth="1"/>
    <col min="5126" max="5126" width="33.5703125" style="56" customWidth="1"/>
    <col min="5127" max="5377" width="9.140625" style="56"/>
    <col min="5378" max="5378" width="22.140625" style="56" customWidth="1"/>
    <col min="5379" max="5379" width="17.28515625" style="56" customWidth="1"/>
    <col min="5380" max="5380" width="21.85546875" style="56" customWidth="1"/>
    <col min="5381" max="5381" width="28" style="56" customWidth="1"/>
    <col min="5382" max="5382" width="33.5703125" style="56" customWidth="1"/>
    <col min="5383" max="5633" width="9.140625" style="56"/>
    <col min="5634" max="5634" width="22.140625" style="56" customWidth="1"/>
    <col min="5635" max="5635" width="17.28515625" style="56" customWidth="1"/>
    <col min="5636" max="5636" width="21.85546875" style="56" customWidth="1"/>
    <col min="5637" max="5637" width="28" style="56" customWidth="1"/>
    <col min="5638" max="5638" width="33.5703125" style="56" customWidth="1"/>
    <col min="5639" max="5889" width="9.140625" style="56"/>
    <col min="5890" max="5890" width="22.140625" style="56" customWidth="1"/>
    <col min="5891" max="5891" width="17.28515625" style="56" customWidth="1"/>
    <col min="5892" max="5892" width="21.85546875" style="56" customWidth="1"/>
    <col min="5893" max="5893" width="28" style="56" customWidth="1"/>
    <col min="5894" max="5894" width="33.5703125" style="56" customWidth="1"/>
    <col min="5895" max="6145" width="9.140625" style="56"/>
    <col min="6146" max="6146" width="22.140625" style="56" customWidth="1"/>
    <col min="6147" max="6147" width="17.28515625" style="56" customWidth="1"/>
    <col min="6148" max="6148" width="21.85546875" style="56" customWidth="1"/>
    <col min="6149" max="6149" width="28" style="56" customWidth="1"/>
    <col min="6150" max="6150" width="33.5703125" style="56" customWidth="1"/>
    <col min="6151" max="6401" width="9.140625" style="56"/>
    <col min="6402" max="6402" width="22.140625" style="56" customWidth="1"/>
    <col min="6403" max="6403" width="17.28515625" style="56" customWidth="1"/>
    <col min="6404" max="6404" width="21.85546875" style="56" customWidth="1"/>
    <col min="6405" max="6405" width="28" style="56" customWidth="1"/>
    <col min="6406" max="6406" width="33.5703125" style="56" customWidth="1"/>
    <col min="6407" max="6657" width="9.140625" style="56"/>
    <col min="6658" max="6658" width="22.140625" style="56" customWidth="1"/>
    <col min="6659" max="6659" width="17.28515625" style="56" customWidth="1"/>
    <col min="6660" max="6660" width="21.85546875" style="56" customWidth="1"/>
    <col min="6661" max="6661" width="28" style="56" customWidth="1"/>
    <col min="6662" max="6662" width="33.5703125" style="56" customWidth="1"/>
    <col min="6663" max="6913" width="9.140625" style="56"/>
    <col min="6914" max="6914" width="22.140625" style="56" customWidth="1"/>
    <col min="6915" max="6915" width="17.28515625" style="56" customWidth="1"/>
    <col min="6916" max="6916" width="21.85546875" style="56" customWidth="1"/>
    <col min="6917" max="6917" width="28" style="56" customWidth="1"/>
    <col min="6918" max="6918" width="33.5703125" style="56" customWidth="1"/>
    <col min="6919" max="7169" width="9.140625" style="56"/>
    <col min="7170" max="7170" width="22.140625" style="56" customWidth="1"/>
    <col min="7171" max="7171" width="17.28515625" style="56" customWidth="1"/>
    <col min="7172" max="7172" width="21.85546875" style="56" customWidth="1"/>
    <col min="7173" max="7173" width="28" style="56" customWidth="1"/>
    <col min="7174" max="7174" width="33.5703125" style="56" customWidth="1"/>
    <col min="7175" max="7425" width="9.140625" style="56"/>
    <col min="7426" max="7426" width="22.140625" style="56" customWidth="1"/>
    <col min="7427" max="7427" width="17.28515625" style="56" customWidth="1"/>
    <col min="7428" max="7428" width="21.85546875" style="56" customWidth="1"/>
    <col min="7429" max="7429" width="28" style="56" customWidth="1"/>
    <col min="7430" max="7430" width="33.5703125" style="56" customWidth="1"/>
    <col min="7431" max="7681" width="9.140625" style="56"/>
    <col min="7682" max="7682" width="22.140625" style="56" customWidth="1"/>
    <col min="7683" max="7683" width="17.28515625" style="56" customWidth="1"/>
    <col min="7684" max="7684" width="21.85546875" style="56" customWidth="1"/>
    <col min="7685" max="7685" width="28" style="56" customWidth="1"/>
    <col min="7686" max="7686" width="33.5703125" style="56" customWidth="1"/>
    <col min="7687" max="7937" width="9.140625" style="56"/>
    <col min="7938" max="7938" width="22.140625" style="56" customWidth="1"/>
    <col min="7939" max="7939" width="17.28515625" style="56" customWidth="1"/>
    <col min="7940" max="7940" width="21.85546875" style="56" customWidth="1"/>
    <col min="7941" max="7941" width="28" style="56" customWidth="1"/>
    <col min="7942" max="7942" width="33.5703125" style="56" customWidth="1"/>
    <col min="7943" max="8193" width="9.140625" style="56"/>
    <col min="8194" max="8194" width="22.140625" style="56" customWidth="1"/>
    <col min="8195" max="8195" width="17.28515625" style="56" customWidth="1"/>
    <col min="8196" max="8196" width="21.85546875" style="56" customWidth="1"/>
    <col min="8197" max="8197" width="28" style="56" customWidth="1"/>
    <col min="8198" max="8198" width="33.5703125" style="56" customWidth="1"/>
    <col min="8199" max="8449" width="9.140625" style="56"/>
    <col min="8450" max="8450" width="22.140625" style="56" customWidth="1"/>
    <col min="8451" max="8451" width="17.28515625" style="56" customWidth="1"/>
    <col min="8452" max="8452" width="21.85546875" style="56" customWidth="1"/>
    <col min="8453" max="8453" width="28" style="56" customWidth="1"/>
    <col min="8454" max="8454" width="33.5703125" style="56" customWidth="1"/>
    <col min="8455" max="8705" width="9.140625" style="56"/>
    <col min="8706" max="8706" width="22.140625" style="56" customWidth="1"/>
    <col min="8707" max="8707" width="17.28515625" style="56" customWidth="1"/>
    <col min="8708" max="8708" width="21.85546875" style="56" customWidth="1"/>
    <col min="8709" max="8709" width="28" style="56" customWidth="1"/>
    <col min="8710" max="8710" width="33.5703125" style="56" customWidth="1"/>
    <col min="8711" max="8961" width="9.140625" style="56"/>
    <col min="8962" max="8962" width="22.140625" style="56" customWidth="1"/>
    <col min="8963" max="8963" width="17.28515625" style="56" customWidth="1"/>
    <col min="8964" max="8964" width="21.85546875" style="56" customWidth="1"/>
    <col min="8965" max="8965" width="28" style="56" customWidth="1"/>
    <col min="8966" max="8966" width="33.5703125" style="56" customWidth="1"/>
    <col min="8967" max="9217" width="9.140625" style="56"/>
    <col min="9218" max="9218" width="22.140625" style="56" customWidth="1"/>
    <col min="9219" max="9219" width="17.28515625" style="56" customWidth="1"/>
    <col min="9220" max="9220" width="21.85546875" style="56" customWidth="1"/>
    <col min="9221" max="9221" width="28" style="56" customWidth="1"/>
    <col min="9222" max="9222" width="33.5703125" style="56" customWidth="1"/>
    <col min="9223" max="9473" width="9.140625" style="56"/>
    <col min="9474" max="9474" width="22.140625" style="56" customWidth="1"/>
    <col min="9475" max="9475" width="17.28515625" style="56" customWidth="1"/>
    <col min="9476" max="9476" width="21.85546875" style="56" customWidth="1"/>
    <col min="9477" max="9477" width="28" style="56" customWidth="1"/>
    <col min="9478" max="9478" width="33.5703125" style="56" customWidth="1"/>
    <col min="9479" max="9729" width="9.140625" style="56"/>
    <col min="9730" max="9730" width="22.140625" style="56" customWidth="1"/>
    <col min="9731" max="9731" width="17.28515625" style="56" customWidth="1"/>
    <col min="9732" max="9732" width="21.85546875" style="56" customWidth="1"/>
    <col min="9733" max="9733" width="28" style="56" customWidth="1"/>
    <col min="9734" max="9734" width="33.5703125" style="56" customWidth="1"/>
    <col min="9735" max="9985" width="9.140625" style="56"/>
    <col min="9986" max="9986" width="22.140625" style="56" customWidth="1"/>
    <col min="9987" max="9987" width="17.28515625" style="56" customWidth="1"/>
    <col min="9988" max="9988" width="21.85546875" style="56" customWidth="1"/>
    <col min="9989" max="9989" width="28" style="56" customWidth="1"/>
    <col min="9990" max="9990" width="33.5703125" style="56" customWidth="1"/>
    <col min="9991" max="10241" width="9.140625" style="56"/>
    <col min="10242" max="10242" width="22.140625" style="56" customWidth="1"/>
    <col min="10243" max="10243" width="17.28515625" style="56" customWidth="1"/>
    <col min="10244" max="10244" width="21.85546875" style="56" customWidth="1"/>
    <col min="10245" max="10245" width="28" style="56" customWidth="1"/>
    <col min="10246" max="10246" width="33.5703125" style="56" customWidth="1"/>
    <col min="10247" max="10497" width="9.140625" style="56"/>
    <col min="10498" max="10498" width="22.140625" style="56" customWidth="1"/>
    <col min="10499" max="10499" width="17.28515625" style="56" customWidth="1"/>
    <col min="10500" max="10500" width="21.85546875" style="56" customWidth="1"/>
    <col min="10501" max="10501" width="28" style="56" customWidth="1"/>
    <col min="10502" max="10502" width="33.5703125" style="56" customWidth="1"/>
    <col min="10503" max="10753" width="9.140625" style="56"/>
    <col min="10754" max="10754" width="22.140625" style="56" customWidth="1"/>
    <col min="10755" max="10755" width="17.28515625" style="56" customWidth="1"/>
    <col min="10756" max="10756" width="21.85546875" style="56" customWidth="1"/>
    <col min="10757" max="10757" width="28" style="56" customWidth="1"/>
    <col min="10758" max="10758" width="33.5703125" style="56" customWidth="1"/>
    <col min="10759" max="11009" width="9.140625" style="56"/>
    <col min="11010" max="11010" width="22.140625" style="56" customWidth="1"/>
    <col min="11011" max="11011" width="17.28515625" style="56" customWidth="1"/>
    <col min="11012" max="11012" width="21.85546875" style="56" customWidth="1"/>
    <col min="11013" max="11013" width="28" style="56" customWidth="1"/>
    <col min="11014" max="11014" width="33.5703125" style="56" customWidth="1"/>
    <col min="11015" max="11265" width="9.140625" style="56"/>
    <col min="11266" max="11266" width="22.140625" style="56" customWidth="1"/>
    <col min="11267" max="11267" width="17.28515625" style="56" customWidth="1"/>
    <col min="11268" max="11268" width="21.85546875" style="56" customWidth="1"/>
    <col min="11269" max="11269" width="28" style="56" customWidth="1"/>
    <col min="11270" max="11270" width="33.5703125" style="56" customWidth="1"/>
    <col min="11271" max="11521" width="9.140625" style="56"/>
    <col min="11522" max="11522" width="22.140625" style="56" customWidth="1"/>
    <col min="11523" max="11523" width="17.28515625" style="56" customWidth="1"/>
    <col min="11524" max="11524" width="21.85546875" style="56" customWidth="1"/>
    <col min="11525" max="11525" width="28" style="56" customWidth="1"/>
    <col min="11526" max="11526" width="33.5703125" style="56" customWidth="1"/>
    <col min="11527" max="11777" width="9.140625" style="56"/>
    <col min="11778" max="11778" width="22.140625" style="56" customWidth="1"/>
    <col min="11779" max="11779" width="17.28515625" style="56" customWidth="1"/>
    <col min="11780" max="11780" width="21.85546875" style="56" customWidth="1"/>
    <col min="11781" max="11781" width="28" style="56" customWidth="1"/>
    <col min="11782" max="11782" width="33.5703125" style="56" customWidth="1"/>
    <col min="11783" max="12033" width="9.140625" style="56"/>
    <col min="12034" max="12034" width="22.140625" style="56" customWidth="1"/>
    <col min="12035" max="12035" width="17.28515625" style="56" customWidth="1"/>
    <col min="12036" max="12036" width="21.85546875" style="56" customWidth="1"/>
    <col min="12037" max="12037" width="28" style="56" customWidth="1"/>
    <col min="12038" max="12038" width="33.5703125" style="56" customWidth="1"/>
    <col min="12039" max="12289" width="9.140625" style="56"/>
    <col min="12290" max="12290" width="22.140625" style="56" customWidth="1"/>
    <col min="12291" max="12291" width="17.28515625" style="56" customWidth="1"/>
    <col min="12292" max="12292" width="21.85546875" style="56" customWidth="1"/>
    <col min="12293" max="12293" width="28" style="56" customWidth="1"/>
    <col min="12294" max="12294" width="33.5703125" style="56" customWidth="1"/>
    <col min="12295" max="12545" width="9.140625" style="56"/>
    <col min="12546" max="12546" width="22.140625" style="56" customWidth="1"/>
    <col min="12547" max="12547" width="17.28515625" style="56" customWidth="1"/>
    <col min="12548" max="12548" width="21.85546875" style="56" customWidth="1"/>
    <col min="12549" max="12549" width="28" style="56" customWidth="1"/>
    <col min="12550" max="12550" width="33.5703125" style="56" customWidth="1"/>
    <col min="12551" max="12801" width="9.140625" style="56"/>
    <col min="12802" max="12802" width="22.140625" style="56" customWidth="1"/>
    <col min="12803" max="12803" width="17.28515625" style="56" customWidth="1"/>
    <col min="12804" max="12804" width="21.85546875" style="56" customWidth="1"/>
    <col min="12805" max="12805" width="28" style="56" customWidth="1"/>
    <col min="12806" max="12806" width="33.5703125" style="56" customWidth="1"/>
    <col min="12807" max="13057" width="9.140625" style="56"/>
    <col min="13058" max="13058" width="22.140625" style="56" customWidth="1"/>
    <col min="13059" max="13059" width="17.28515625" style="56" customWidth="1"/>
    <col min="13060" max="13060" width="21.85546875" style="56" customWidth="1"/>
    <col min="13061" max="13061" width="28" style="56" customWidth="1"/>
    <col min="13062" max="13062" width="33.5703125" style="56" customWidth="1"/>
    <col min="13063" max="13313" width="9.140625" style="56"/>
    <col min="13314" max="13314" width="22.140625" style="56" customWidth="1"/>
    <col min="13315" max="13315" width="17.28515625" style="56" customWidth="1"/>
    <col min="13316" max="13316" width="21.85546875" style="56" customWidth="1"/>
    <col min="13317" max="13317" width="28" style="56" customWidth="1"/>
    <col min="13318" max="13318" width="33.5703125" style="56" customWidth="1"/>
    <col min="13319" max="13569" width="9.140625" style="56"/>
    <col min="13570" max="13570" width="22.140625" style="56" customWidth="1"/>
    <col min="13571" max="13571" width="17.28515625" style="56" customWidth="1"/>
    <col min="13572" max="13572" width="21.85546875" style="56" customWidth="1"/>
    <col min="13573" max="13573" width="28" style="56" customWidth="1"/>
    <col min="13574" max="13574" width="33.5703125" style="56" customWidth="1"/>
    <col min="13575" max="13825" width="9.140625" style="56"/>
    <col min="13826" max="13826" width="22.140625" style="56" customWidth="1"/>
    <col min="13827" max="13827" width="17.28515625" style="56" customWidth="1"/>
    <col min="13828" max="13828" width="21.85546875" style="56" customWidth="1"/>
    <col min="13829" max="13829" width="28" style="56" customWidth="1"/>
    <col min="13830" max="13830" width="33.5703125" style="56" customWidth="1"/>
    <col min="13831" max="14081" width="9.140625" style="56"/>
    <col min="14082" max="14082" width="22.140625" style="56" customWidth="1"/>
    <col min="14083" max="14083" width="17.28515625" style="56" customWidth="1"/>
    <col min="14084" max="14084" width="21.85546875" style="56" customWidth="1"/>
    <col min="14085" max="14085" width="28" style="56" customWidth="1"/>
    <col min="14086" max="14086" width="33.5703125" style="56" customWidth="1"/>
    <col min="14087" max="14337" width="9.140625" style="56"/>
    <col min="14338" max="14338" width="22.140625" style="56" customWidth="1"/>
    <col min="14339" max="14339" width="17.28515625" style="56" customWidth="1"/>
    <col min="14340" max="14340" width="21.85546875" style="56" customWidth="1"/>
    <col min="14341" max="14341" width="28" style="56" customWidth="1"/>
    <col min="14342" max="14342" width="33.5703125" style="56" customWidth="1"/>
    <col min="14343" max="14593" width="9.140625" style="56"/>
    <col min="14594" max="14594" width="22.140625" style="56" customWidth="1"/>
    <col min="14595" max="14595" width="17.28515625" style="56" customWidth="1"/>
    <col min="14596" max="14596" width="21.85546875" style="56" customWidth="1"/>
    <col min="14597" max="14597" width="28" style="56" customWidth="1"/>
    <col min="14598" max="14598" width="33.5703125" style="56" customWidth="1"/>
    <col min="14599" max="14849" width="9.140625" style="56"/>
    <col min="14850" max="14850" width="22.140625" style="56" customWidth="1"/>
    <col min="14851" max="14851" width="17.28515625" style="56" customWidth="1"/>
    <col min="14852" max="14852" width="21.85546875" style="56" customWidth="1"/>
    <col min="14853" max="14853" width="28" style="56" customWidth="1"/>
    <col min="14854" max="14854" width="33.5703125" style="56" customWidth="1"/>
    <col min="14855" max="15105" width="9.140625" style="56"/>
    <col min="15106" max="15106" width="22.140625" style="56" customWidth="1"/>
    <col min="15107" max="15107" width="17.28515625" style="56" customWidth="1"/>
    <col min="15108" max="15108" width="21.85546875" style="56" customWidth="1"/>
    <col min="15109" max="15109" width="28" style="56" customWidth="1"/>
    <col min="15110" max="15110" width="33.5703125" style="56" customWidth="1"/>
    <col min="15111" max="15361" width="9.140625" style="56"/>
    <col min="15362" max="15362" width="22.140625" style="56" customWidth="1"/>
    <col min="15363" max="15363" width="17.28515625" style="56" customWidth="1"/>
    <col min="15364" max="15364" width="21.85546875" style="56" customWidth="1"/>
    <col min="15365" max="15365" width="28" style="56" customWidth="1"/>
    <col min="15366" max="15366" width="33.5703125" style="56" customWidth="1"/>
    <col min="15367" max="15617" width="9.140625" style="56"/>
    <col min="15618" max="15618" width="22.140625" style="56" customWidth="1"/>
    <col min="15619" max="15619" width="17.28515625" style="56" customWidth="1"/>
    <col min="15620" max="15620" width="21.85546875" style="56" customWidth="1"/>
    <col min="15621" max="15621" width="28" style="56" customWidth="1"/>
    <col min="15622" max="15622" width="33.5703125" style="56" customWidth="1"/>
    <col min="15623" max="15873" width="9.140625" style="56"/>
    <col min="15874" max="15874" width="22.140625" style="56" customWidth="1"/>
    <col min="15875" max="15875" width="17.28515625" style="56" customWidth="1"/>
    <col min="15876" max="15876" width="21.85546875" style="56" customWidth="1"/>
    <col min="15877" max="15877" width="28" style="56" customWidth="1"/>
    <col min="15878" max="15878" width="33.5703125" style="56" customWidth="1"/>
    <col min="15879" max="16129" width="9.140625" style="56"/>
    <col min="16130" max="16130" width="22.140625" style="56" customWidth="1"/>
    <col min="16131" max="16131" width="17.28515625" style="56" customWidth="1"/>
    <col min="16132" max="16132" width="21.85546875" style="56" customWidth="1"/>
    <col min="16133" max="16133" width="28" style="56" customWidth="1"/>
    <col min="16134" max="16134" width="33.5703125" style="56" customWidth="1"/>
    <col min="16135" max="16384" width="9.140625" style="56"/>
  </cols>
  <sheetData>
    <row r="1" spans="2:6" ht="35.25" customHeight="1"/>
    <row r="2" spans="2:6" ht="1.5" customHeight="1" thickBot="1"/>
    <row r="3" spans="2:6" ht="18" customHeight="1">
      <c r="B3" s="196" t="s">
        <v>17</v>
      </c>
      <c r="C3" s="197"/>
      <c r="D3" s="197"/>
      <c r="E3" s="197"/>
      <c r="F3" s="198"/>
    </row>
    <row r="4" spans="2:6">
      <c r="B4" s="57" t="s">
        <v>18</v>
      </c>
      <c r="C4" s="58" t="s">
        <v>19</v>
      </c>
      <c r="D4" s="58" t="s">
        <v>20</v>
      </c>
      <c r="E4" s="58" t="s">
        <v>21</v>
      </c>
      <c r="F4" s="59" t="s">
        <v>22</v>
      </c>
    </row>
    <row r="5" spans="2:6" ht="51">
      <c r="B5" s="194">
        <v>1</v>
      </c>
      <c r="C5" s="98">
        <v>44057</v>
      </c>
      <c r="D5" s="60" t="s">
        <v>23</v>
      </c>
      <c r="E5" s="99" t="s">
        <v>24</v>
      </c>
      <c r="F5" s="193" t="s">
        <v>25</v>
      </c>
    </row>
    <row r="6" spans="2:6" ht="25.5">
      <c r="B6" s="97">
        <v>1.1000000000000001</v>
      </c>
      <c r="C6" s="98">
        <v>44208</v>
      </c>
      <c r="D6" s="67" t="s">
        <v>26</v>
      </c>
      <c r="E6" s="99" t="s">
        <v>24</v>
      </c>
      <c r="F6" s="193" t="s">
        <v>27</v>
      </c>
    </row>
    <row r="7" spans="2:6" ht="13.5" thickBot="1">
      <c r="B7" s="61"/>
      <c r="C7" s="62"/>
      <c r="D7" s="62"/>
      <c r="E7" s="62"/>
      <c r="F7" s="63"/>
    </row>
    <row r="8" spans="2:6" ht="13.5" thickBot="1">
      <c r="B8" s="64"/>
      <c r="C8" s="64"/>
      <c r="D8" s="64"/>
      <c r="E8" s="64"/>
      <c r="F8" s="64"/>
    </row>
    <row r="9" spans="2:6">
      <c r="B9" s="196" t="s">
        <v>28</v>
      </c>
      <c r="C9" s="197"/>
      <c r="D9" s="197"/>
      <c r="E9" s="197"/>
      <c r="F9" s="198"/>
    </row>
    <row r="10" spans="2:6">
      <c r="B10" s="65" t="s">
        <v>29</v>
      </c>
      <c r="C10" s="199" t="s">
        <v>30</v>
      </c>
      <c r="D10" s="200"/>
      <c r="E10" s="200"/>
      <c r="F10" s="201"/>
    </row>
    <row r="11" spans="2:6" ht="12.75" customHeight="1">
      <c r="B11" s="65" t="s">
        <v>31</v>
      </c>
      <c r="C11" s="202" t="s">
        <v>32</v>
      </c>
      <c r="D11" s="202"/>
      <c r="E11" s="202"/>
      <c r="F11" s="202"/>
    </row>
    <row r="12" spans="2:6" ht="12.75" customHeight="1">
      <c r="B12" s="65" t="s">
        <v>33</v>
      </c>
      <c r="C12" s="202" t="s">
        <v>34</v>
      </c>
      <c r="D12" s="202"/>
      <c r="E12" s="202"/>
      <c r="F12" s="202"/>
    </row>
    <row r="13" spans="2:6" ht="12.75" customHeight="1">
      <c r="B13" s="65" t="s">
        <v>35</v>
      </c>
      <c r="C13" s="202" t="s">
        <v>36</v>
      </c>
      <c r="D13" s="202"/>
      <c r="E13" s="202"/>
      <c r="F13" s="202"/>
    </row>
    <row r="14" spans="2:6">
      <c r="B14" s="65" t="s">
        <v>37</v>
      </c>
      <c r="C14" s="195">
        <v>1.1000000000000001</v>
      </c>
      <c r="D14" s="195"/>
      <c r="E14" s="195"/>
      <c r="F14" s="195"/>
    </row>
    <row r="15" spans="2:6">
      <c r="B15" s="64"/>
      <c r="C15" s="64"/>
      <c r="D15" s="64"/>
      <c r="E15" s="64"/>
      <c r="F15" s="64"/>
    </row>
    <row r="16" spans="2:6">
      <c r="B16" s="57" t="s">
        <v>0</v>
      </c>
      <c r="C16" s="58" t="s">
        <v>38</v>
      </c>
      <c r="D16" s="58" t="s">
        <v>21</v>
      </c>
      <c r="E16" s="58" t="s">
        <v>39</v>
      </c>
      <c r="F16" s="59" t="s">
        <v>19</v>
      </c>
    </row>
    <row r="17" spans="2:6" ht="38.25">
      <c r="B17" s="97">
        <v>1</v>
      </c>
      <c r="C17" s="60" t="s">
        <v>40</v>
      </c>
      <c r="D17" s="99" t="s">
        <v>24</v>
      </c>
      <c r="E17" s="68"/>
      <c r="F17" s="98">
        <v>44057</v>
      </c>
    </row>
    <row r="18" spans="2:6" ht="25.5">
      <c r="B18" s="97">
        <v>2</v>
      </c>
      <c r="C18" s="67" t="s">
        <v>26</v>
      </c>
      <c r="D18" s="99" t="s">
        <v>24</v>
      </c>
      <c r="E18" s="68"/>
      <c r="F18" s="98">
        <v>44208</v>
      </c>
    </row>
    <row r="19" spans="2:6">
      <c r="B19" s="66"/>
      <c r="C19" s="67"/>
      <c r="D19" s="67"/>
      <c r="E19" s="68"/>
      <c r="F19" s="69"/>
    </row>
    <row r="20" spans="2:6">
      <c r="B20" s="57" t="s">
        <v>0</v>
      </c>
      <c r="C20" s="58" t="s">
        <v>41</v>
      </c>
      <c r="D20" s="58" t="s">
        <v>21</v>
      </c>
      <c r="E20" s="58" t="s">
        <v>39</v>
      </c>
      <c r="F20" s="59" t="s">
        <v>19</v>
      </c>
    </row>
    <row r="21" spans="2:6" ht="38.25">
      <c r="B21" s="97">
        <v>1</v>
      </c>
      <c r="C21" s="60" t="s">
        <v>40</v>
      </c>
      <c r="D21" s="99" t="s">
        <v>42</v>
      </c>
      <c r="E21" s="68"/>
      <c r="F21" s="98">
        <v>44057</v>
      </c>
    </row>
    <row r="22" spans="2:6" ht="38.25">
      <c r="B22" s="97">
        <v>2</v>
      </c>
      <c r="C22" s="60" t="s">
        <v>40</v>
      </c>
      <c r="D22" s="99" t="s">
        <v>42</v>
      </c>
      <c r="E22" s="68"/>
      <c r="F22" s="98">
        <v>44208</v>
      </c>
    </row>
    <row r="23" spans="2:6">
      <c r="B23" s="70"/>
      <c r="C23" s="67"/>
      <c r="D23" s="67"/>
      <c r="E23" s="67"/>
      <c r="F23" s="71"/>
    </row>
    <row r="24" spans="2:6">
      <c r="B24" s="70"/>
      <c r="C24" s="67"/>
      <c r="D24" s="67"/>
      <c r="E24" s="67"/>
      <c r="F24" s="71"/>
    </row>
    <row r="25" spans="2:6" ht="25.5">
      <c r="B25" s="57" t="s">
        <v>0</v>
      </c>
      <c r="C25" s="58" t="s">
        <v>43</v>
      </c>
      <c r="D25" s="58" t="s">
        <v>21</v>
      </c>
      <c r="E25" s="58" t="s">
        <v>39</v>
      </c>
      <c r="F25" s="59" t="s">
        <v>19</v>
      </c>
    </row>
    <row r="26" spans="2:6">
      <c r="B26" s="70"/>
      <c r="C26" s="67"/>
      <c r="D26" s="67"/>
      <c r="E26" s="67"/>
      <c r="F26" s="71"/>
    </row>
    <row r="27" spans="2:6">
      <c r="B27" s="72"/>
      <c r="C27" s="73"/>
      <c r="D27" s="73"/>
      <c r="E27" s="73"/>
      <c r="F27" s="74"/>
    </row>
    <row r="28" spans="2:6" ht="13.5" thickBot="1">
      <c r="B28" s="75"/>
      <c r="C28" s="76"/>
      <c r="D28" s="76"/>
      <c r="E28" s="76"/>
      <c r="F28" s="77"/>
    </row>
  </sheetData>
  <mergeCells count="7">
    <mergeCell ref="C14:F14"/>
    <mergeCell ref="B3:F3"/>
    <mergeCell ref="B9:F9"/>
    <mergeCell ref="C10:F10"/>
    <mergeCell ref="C11:F11"/>
    <mergeCell ref="C12:F12"/>
    <mergeCell ref="C13:F13"/>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V50"/>
  <sheetViews>
    <sheetView showGridLines="0" zoomScaleNormal="100" workbookViewId="0">
      <selection activeCell="D45" sqref="D45:V45"/>
    </sheetView>
  </sheetViews>
  <sheetFormatPr defaultColWidth="5.7109375" defaultRowHeight="15" customHeight="1"/>
  <cols>
    <col min="1" max="2" width="5.7109375" style="38" customWidth="1"/>
    <col min="3" max="7" width="5.7109375" style="38"/>
    <col min="8" max="8" width="12.85546875" style="38" customWidth="1"/>
    <col min="9" max="9" width="5.7109375" style="38"/>
    <col min="10" max="10" width="5.85546875" style="38" customWidth="1"/>
    <col min="11" max="11" width="5.7109375" style="38"/>
    <col min="12" max="12" width="6.42578125" style="38" customWidth="1"/>
    <col min="13" max="21" width="5.7109375" style="38"/>
    <col min="22" max="22" width="9.28515625" style="38" customWidth="1"/>
    <col min="23" max="16384" width="5.7109375" style="38"/>
  </cols>
  <sheetData>
    <row r="1" spans="1:22" ht="15" customHeight="1">
      <c r="A1" s="222" t="s">
        <v>44</v>
      </c>
      <c r="B1" s="222"/>
      <c r="C1" s="222"/>
      <c r="D1" s="222"/>
      <c r="E1" s="222"/>
      <c r="F1" s="222"/>
      <c r="G1" s="222"/>
      <c r="H1" s="222"/>
      <c r="I1" s="222"/>
      <c r="J1" s="222"/>
      <c r="K1" s="222"/>
      <c r="L1" s="222"/>
      <c r="M1" s="222"/>
      <c r="N1" s="222"/>
      <c r="O1" s="222"/>
      <c r="P1" s="222"/>
      <c r="Q1" s="222"/>
      <c r="R1" s="222"/>
      <c r="S1" s="222"/>
      <c r="T1" s="222"/>
      <c r="U1" s="222"/>
      <c r="V1" s="222"/>
    </row>
    <row r="2" spans="1:22" ht="15" customHeight="1">
      <c r="A2" s="223" t="s">
        <v>33</v>
      </c>
      <c r="B2" s="223"/>
      <c r="C2" s="224" t="str">
        <f>'Modification History &amp; Approval'!C12:F12</f>
        <v>MLCR_CS_Prod_ Req_V1.1</v>
      </c>
      <c r="D2" s="225"/>
      <c r="E2" s="225"/>
      <c r="F2" s="225"/>
      <c r="G2" s="226"/>
      <c r="H2" s="42" t="s">
        <v>35</v>
      </c>
      <c r="I2" s="224" t="str">
        <f>'Modification History &amp; Approval'!C13</f>
        <v>Master List of Product Cybersecurity Requirements</v>
      </c>
      <c r="J2" s="225"/>
      <c r="K2" s="225"/>
      <c r="L2" s="225"/>
      <c r="M2" s="225"/>
      <c r="N2" s="225"/>
      <c r="O2" s="225"/>
      <c r="P2" s="225"/>
      <c r="Q2" s="225"/>
      <c r="R2" s="225"/>
      <c r="S2" s="225"/>
      <c r="T2" s="225"/>
      <c r="U2" s="225"/>
      <c r="V2" s="226"/>
    </row>
    <row r="3" spans="1:22" ht="15" customHeight="1">
      <c r="A3" s="222" t="s">
        <v>45</v>
      </c>
      <c r="B3" s="222"/>
      <c r="C3" s="222"/>
      <c r="D3" s="222"/>
      <c r="E3" s="222"/>
      <c r="F3" s="222"/>
      <c r="G3" s="222"/>
      <c r="H3" s="222"/>
      <c r="I3" s="222"/>
      <c r="J3" s="222"/>
      <c r="K3" s="222"/>
      <c r="L3" s="222"/>
      <c r="M3" s="222"/>
      <c r="N3" s="222"/>
      <c r="O3" s="222"/>
      <c r="P3" s="222"/>
      <c r="Q3" s="222"/>
      <c r="R3" s="222"/>
      <c r="S3" s="222"/>
      <c r="T3" s="222"/>
      <c r="U3" s="222"/>
      <c r="V3" s="222"/>
    </row>
    <row r="4" spans="1:22" ht="15" customHeight="1">
      <c r="V4" s="40"/>
    </row>
    <row r="5" spans="1:22" ht="15" customHeight="1">
      <c r="A5" s="218" t="s">
        <v>46</v>
      </c>
      <c r="B5" s="219"/>
      <c r="C5" s="219"/>
      <c r="D5" s="219"/>
      <c r="E5" s="219"/>
      <c r="F5" s="219"/>
      <c r="G5" s="219"/>
      <c r="H5" s="219"/>
      <c r="V5" s="40"/>
    </row>
    <row r="6" spans="1:22" ht="15" customHeight="1">
      <c r="A6" s="39"/>
      <c r="L6" s="184"/>
      <c r="V6" s="40"/>
    </row>
    <row r="7" spans="1:22" ht="15" customHeight="1">
      <c r="A7" s="218" t="s">
        <v>47</v>
      </c>
      <c r="B7" s="219"/>
      <c r="C7" s="219"/>
      <c r="D7" s="219"/>
      <c r="F7" s="220" t="s">
        <v>2</v>
      </c>
      <c r="G7" s="220"/>
      <c r="H7" s="220"/>
      <c r="I7" s="220"/>
      <c r="J7" s="220"/>
      <c r="K7" s="220"/>
      <c r="L7" s="220"/>
      <c r="M7" s="220"/>
      <c r="N7" s="220"/>
      <c r="O7" s="220"/>
      <c r="P7" s="220"/>
      <c r="Q7" s="220"/>
      <c r="R7" s="220"/>
      <c r="S7" s="220"/>
      <c r="T7" s="220"/>
      <c r="U7" s="220"/>
      <c r="V7" s="221"/>
    </row>
    <row r="8" spans="1:22" ht="15" customHeight="1">
      <c r="A8" s="216" t="s">
        <v>48</v>
      </c>
      <c r="B8" s="217"/>
      <c r="C8" s="217"/>
      <c r="D8" s="217"/>
      <c r="E8" s="38" t="s">
        <v>49</v>
      </c>
      <c r="F8" s="214" t="s">
        <v>50</v>
      </c>
      <c r="G8" s="214"/>
      <c r="H8" s="214"/>
      <c r="I8" s="214"/>
      <c r="J8" s="214"/>
      <c r="K8" s="214"/>
      <c r="L8" s="214"/>
      <c r="M8" s="214"/>
      <c r="N8" s="214"/>
      <c r="O8" s="214"/>
      <c r="P8" s="214"/>
      <c r="Q8" s="214"/>
      <c r="R8" s="214"/>
      <c r="S8" s="214"/>
      <c r="T8" s="214"/>
      <c r="U8" s="214"/>
      <c r="V8" s="215"/>
    </row>
    <row r="9" spans="1:22" ht="33.75" customHeight="1">
      <c r="A9" s="216" t="s">
        <v>51</v>
      </c>
      <c r="B9" s="217"/>
      <c r="C9" s="217"/>
      <c r="D9" s="217"/>
      <c r="E9" s="38" t="s">
        <v>49</v>
      </c>
      <c r="F9" s="214" t="s">
        <v>52</v>
      </c>
      <c r="G9" s="214"/>
      <c r="H9" s="214"/>
      <c r="I9" s="214"/>
      <c r="J9" s="214"/>
      <c r="K9" s="214"/>
      <c r="L9" s="214"/>
      <c r="M9" s="214"/>
      <c r="N9" s="214"/>
      <c r="O9" s="214"/>
      <c r="P9" s="214"/>
      <c r="Q9" s="214"/>
      <c r="R9" s="214"/>
      <c r="S9" s="214"/>
      <c r="T9" s="214"/>
      <c r="U9" s="214"/>
      <c r="V9" s="215"/>
    </row>
    <row r="10" spans="1:22" ht="15" customHeight="1">
      <c r="A10" s="216" t="s">
        <v>53</v>
      </c>
      <c r="B10" s="217"/>
      <c r="C10" s="217"/>
      <c r="D10" s="217"/>
      <c r="E10" s="38" t="s">
        <v>49</v>
      </c>
      <c r="F10" s="214" t="s">
        <v>54</v>
      </c>
      <c r="G10" s="214"/>
      <c r="H10" s="214"/>
      <c r="I10" s="214"/>
      <c r="J10" s="214"/>
      <c r="K10" s="214"/>
      <c r="L10" s="214"/>
      <c r="M10" s="214"/>
      <c r="N10" s="214"/>
      <c r="O10" s="214"/>
      <c r="P10" s="214"/>
      <c r="Q10" s="214"/>
      <c r="R10" s="214"/>
      <c r="S10" s="214"/>
      <c r="T10" s="214"/>
      <c r="U10" s="214"/>
      <c r="V10" s="215"/>
    </row>
    <row r="11" spans="1:22" ht="15" customHeight="1">
      <c r="A11" s="216" t="s">
        <v>55</v>
      </c>
      <c r="B11" s="217"/>
      <c r="C11" s="217"/>
      <c r="D11" s="217"/>
      <c r="E11" s="38" t="s">
        <v>49</v>
      </c>
      <c r="F11" s="214" t="s">
        <v>56</v>
      </c>
      <c r="G11" s="214"/>
      <c r="H11" s="214"/>
      <c r="I11" s="214"/>
      <c r="J11" s="214"/>
      <c r="K11" s="214"/>
      <c r="L11" s="214"/>
      <c r="M11" s="214"/>
      <c r="N11" s="214"/>
      <c r="O11" s="214"/>
      <c r="P11" s="214"/>
      <c r="Q11" s="214"/>
      <c r="R11" s="214"/>
      <c r="S11" s="214"/>
      <c r="T11" s="214"/>
      <c r="U11" s="214"/>
      <c r="V11" s="215"/>
    </row>
    <row r="12" spans="1:22" ht="15" customHeight="1">
      <c r="A12" s="216" t="s">
        <v>57</v>
      </c>
      <c r="B12" s="217"/>
      <c r="C12" s="217"/>
      <c r="D12" s="217"/>
      <c r="E12" s="38" t="s">
        <v>49</v>
      </c>
      <c r="F12" s="214" t="s">
        <v>58</v>
      </c>
      <c r="G12" s="214"/>
      <c r="H12" s="214"/>
      <c r="I12" s="214"/>
      <c r="J12" s="214"/>
      <c r="K12" s="214"/>
      <c r="L12" s="214"/>
      <c r="M12" s="214"/>
      <c r="N12" s="214"/>
      <c r="O12" s="214"/>
      <c r="P12" s="214"/>
      <c r="Q12" s="214"/>
      <c r="R12" s="214"/>
      <c r="S12" s="214"/>
      <c r="T12" s="214"/>
      <c r="U12" s="214"/>
      <c r="V12" s="215"/>
    </row>
    <row r="13" spans="1:22" ht="15" customHeight="1">
      <c r="A13" s="216" t="s">
        <v>59</v>
      </c>
      <c r="B13" s="217"/>
      <c r="C13" s="217"/>
      <c r="D13" s="217"/>
      <c r="E13" s="38" t="s">
        <v>49</v>
      </c>
      <c r="F13" s="214" t="s">
        <v>60</v>
      </c>
      <c r="G13" s="214"/>
      <c r="H13" s="214"/>
      <c r="I13" s="214"/>
      <c r="J13" s="214"/>
      <c r="K13" s="214"/>
      <c r="L13" s="214"/>
      <c r="M13" s="214"/>
      <c r="N13" s="214"/>
      <c r="O13" s="214"/>
      <c r="P13" s="214"/>
      <c r="Q13" s="214"/>
      <c r="R13" s="214"/>
      <c r="S13" s="214"/>
      <c r="T13" s="214"/>
      <c r="U13" s="214"/>
      <c r="V13" s="215"/>
    </row>
    <row r="14" spans="1:22" ht="69" customHeight="1">
      <c r="A14" s="216" t="s">
        <v>61</v>
      </c>
      <c r="B14" s="217"/>
      <c r="C14" s="217"/>
      <c r="D14" s="217"/>
      <c r="E14" s="38" t="s">
        <v>49</v>
      </c>
      <c r="F14" s="214" t="s">
        <v>62</v>
      </c>
      <c r="G14" s="214"/>
      <c r="H14" s="214"/>
      <c r="I14" s="214"/>
      <c r="J14" s="214"/>
      <c r="K14" s="214"/>
      <c r="L14" s="214"/>
      <c r="M14" s="214"/>
      <c r="N14" s="214"/>
      <c r="O14" s="214"/>
      <c r="P14" s="214"/>
      <c r="Q14" s="214"/>
      <c r="R14" s="214"/>
      <c r="S14" s="214"/>
      <c r="T14" s="214"/>
      <c r="U14" s="214"/>
      <c r="V14" s="215"/>
    </row>
    <row r="15" spans="1:22" ht="27.75" customHeight="1">
      <c r="A15" s="216" t="s">
        <v>63</v>
      </c>
      <c r="B15" s="217"/>
      <c r="C15" s="217"/>
      <c r="D15" s="217"/>
      <c r="E15" s="38" t="s">
        <v>49</v>
      </c>
      <c r="F15" s="214" t="s">
        <v>64</v>
      </c>
      <c r="G15" s="214"/>
      <c r="H15" s="214"/>
      <c r="I15" s="214"/>
      <c r="J15" s="214"/>
      <c r="K15" s="214"/>
      <c r="L15" s="214"/>
      <c r="M15" s="214"/>
      <c r="N15" s="214"/>
      <c r="O15" s="214"/>
      <c r="P15" s="214"/>
      <c r="Q15" s="214"/>
      <c r="R15" s="214"/>
      <c r="S15" s="214"/>
      <c r="T15" s="214"/>
      <c r="U15" s="214"/>
      <c r="V15" s="215"/>
    </row>
    <row r="16" spans="1:22" ht="15" customHeight="1">
      <c r="A16" s="216" t="s">
        <v>65</v>
      </c>
      <c r="B16" s="217"/>
      <c r="C16" s="217"/>
      <c r="D16" s="217"/>
      <c r="E16" s="38" t="s">
        <v>49</v>
      </c>
      <c r="F16" s="214" t="s">
        <v>66</v>
      </c>
      <c r="G16" s="214"/>
      <c r="H16" s="214"/>
      <c r="I16" s="214"/>
      <c r="J16" s="214"/>
      <c r="K16" s="214"/>
      <c r="L16" s="214"/>
      <c r="M16" s="214"/>
      <c r="N16" s="214"/>
      <c r="O16" s="214"/>
      <c r="P16" s="214"/>
      <c r="Q16" s="214"/>
      <c r="R16" s="214"/>
      <c r="S16" s="214"/>
      <c r="T16" s="214"/>
      <c r="U16" s="214"/>
      <c r="V16" s="215"/>
    </row>
    <row r="17" spans="1:22" ht="15" customHeight="1">
      <c r="A17" s="216" t="s">
        <v>67</v>
      </c>
      <c r="B17" s="217"/>
      <c r="C17" s="217"/>
      <c r="D17" s="217"/>
      <c r="E17" s="38" t="s">
        <v>49</v>
      </c>
      <c r="F17" s="214" t="s">
        <v>68</v>
      </c>
      <c r="G17" s="214"/>
      <c r="H17" s="214"/>
      <c r="I17" s="214"/>
      <c r="J17" s="214"/>
      <c r="K17" s="214"/>
      <c r="L17" s="214"/>
      <c r="M17" s="214"/>
      <c r="N17" s="214"/>
      <c r="O17" s="214"/>
      <c r="P17" s="214"/>
      <c r="Q17" s="214"/>
      <c r="R17" s="214"/>
      <c r="S17" s="214"/>
      <c r="T17" s="214"/>
      <c r="U17" s="214"/>
      <c r="V17" s="215"/>
    </row>
    <row r="18" spans="1:22" ht="15" customHeight="1">
      <c r="A18" s="216" t="s">
        <v>69</v>
      </c>
      <c r="B18" s="217"/>
      <c r="C18" s="217"/>
      <c r="D18" s="217"/>
      <c r="E18" s="38" t="s">
        <v>49</v>
      </c>
      <c r="F18" s="214" t="s">
        <v>70</v>
      </c>
      <c r="G18" s="214"/>
      <c r="H18" s="214"/>
      <c r="I18" s="214"/>
      <c r="J18" s="214"/>
      <c r="K18" s="214"/>
      <c r="L18" s="214"/>
      <c r="M18" s="214"/>
      <c r="N18" s="214"/>
      <c r="O18" s="214"/>
      <c r="P18" s="214"/>
      <c r="Q18" s="214"/>
      <c r="R18" s="214"/>
      <c r="S18" s="214"/>
      <c r="T18" s="214"/>
      <c r="U18" s="214"/>
      <c r="V18" s="215"/>
    </row>
    <row r="19" spans="1:22" ht="64.5" customHeight="1">
      <c r="A19" s="216" t="s">
        <v>71</v>
      </c>
      <c r="B19" s="217"/>
      <c r="C19" s="217"/>
      <c r="D19" s="217"/>
      <c r="E19" s="38" t="s">
        <v>49</v>
      </c>
      <c r="F19" s="214" t="s">
        <v>72</v>
      </c>
      <c r="G19" s="214"/>
      <c r="H19" s="214"/>
      <c r="I19" s="214"/>
      <c r="J19" s="214"/>
      <c r="K19" s="214"/>
      <c r="L19" s="214"/>
      <c r="M19" s="214"/>
      <c r="N19" s="214"/>
      <c r="O19" s="214"/>
      <c r="P19" s="214"/>
      <c r="Q19" s="214"/>
      <c r="R19" s="214"/>
      <c r="S19" s="214"/>
      <c r="T19" s="214"/>
      <c r="U19" s="214"/>
      <c r="V19" s="215"/>
    </row>
    <row r="20" spans="1:22" ht="88.5" customHeight="1">
      <c r="A20" s="216" t="s">
        <v>73</v>
      </c>
      <c r="B20" s="217"/>
      <c r="C20" s="217"/>
      <c r="D20" s="217"/>
      <c r="E20" s="38" t="s">
        <v>49</v>
      </c>
      <c r="F20" s="214" t="s">
        <v>74</v>
      </c>
      <c r="G20" s="214"/>
      <c r="H20" s="214"/>
      <c r="I20" s="214"/>
      <c r="J20" s="214"/>
      <c r="K20" s="214"/>
      <c r="L20" s="214"/>
      <c r="M20" s="214"/>
      <c r="N20" s="214"/>
      <c r="O20" s="214"/>
      <c r="P20" s="214"/>
      <c r="Q20" s="214"/>
      <c r="R20" s="214"/>
      <c r="S20" s="214"/>
      <c r="T20" s="214"/>
      <c r="U20" s="214"/>
      <c r="V20" s="215"/>
    </row>
    <row r="21" spans="1:22" ht="15" customHeight="1">
      <c r="A21" s="39"/>
      <c r="V21" s="40"/>
    </row>
    <row r="22" spans="1:22" ht="15" customHeight="1">
      <c r="A22" s="218" t="s">
        <v>75</v>
      </c>
      <c r="B22" s="219"/>
      <c r="C22" s="219"/>
      <c r="D22" s="219"/>
      <c r="E22" s="219"/>
      <c r="F22" s="219"/>
      <c r="G22" s="219"/>
      <c r="H22" s="219"/>
      <c r="I22" s="219"/>
      <c r="V22" s="40"/>
    </row>
    <row r="23" spans="1:22" ht="15" customHeight="1">
      <c r="A23" s="39"/>
      <c r="V23" s="40"/>
    </row>
    <row r="24" spans="1:22" ht="15" customHeight="1">
      <c r="A24" s="218" t="s">
        <v>47</v>
      </c>
      <c r="B24" s="219"/>
      <c r="C24" s="219"/>
      <c r="D24" s="219"/>
      <c r="F24" s="220" t="s">
        <v>2</v>
      </c>
      <c r="G24" s="220"/>
      <c r="H24" s="220"/>
      <c r="I24" s="220"/>
      <c r="J24" s="220"/>
      <c r="K24" s="220"/>
      <c r="L24" s="220"/>
      <c r="M24" s="220"/>
      <c r="N24" s="220"/>
      <c r="O24" s="220"/>
      <c r="P24" s="220"/>
      <c r="Q24" s="220"/>
      <c r="R24" s="220"/>
      <c r="S24" s="220"/>
      <c r="T24" s="220"/>
      <c r="U24" s="220"/>
      <c r="V24" s="221"/>
    </row>
    <row r="25" spans="1:22" ht="15" customHeight="1">
      <c r="A25" s="216" t="s">
        <v>48</v>
      </c>
      <c r="B25" s="217"/>
      <c r="C25" s="217"/>
      <c r="D25" s="217"/>
      <c r="E25" s="38" t="s">
        <v>49</v>
      </c>
      <c r="F25" s="214" t="s">
        <v>50</v>
      </c>
      <c r="G25" s="214"/>
      <c r="H25" s="214"/>
      <c r="I25" s="214"/>
      <c r="J25" s="214"/>
      <c r="K25" s="214"/>
      <c r="L25" s="214"/>
      <c r="M25" s="214"/>
      <c r="N25" s="214"/>
      <c r="O25" s="214"/>
      <c r="P25" s="214"/>
      <c r="Q25" s="214"/>
      <c r="R25" s="214"/>
      <c r="S25" s="214"/>
      <c r="T25" s="214"/>
      <c r="U25" s="214"/>
      <c r="V25" s="215"/>
    </row>
    <row r="26" spans="1:22" ht="28.5" customHeight="1">
      <c r="A26" s="216" t="s">
        <v>76</v>
      </c>
      <c r="B26" s="217"/>
      <c r="C26" s="217"/>
      <c r="D26" s="217"/>
      <c r="E26" s="38" t="s">
        <v>49</v>
      </c>
      <c r="F26" s="214" t="s">
        <v>77</v>
      </c>
      <c r="G26" s="214"/>
      <c r="H26" s="214"/>
      <c r="I26" s="214"/>
      <c r="J26" s="214"/>
      <c r="K26" s="214"/>
      <c r="L26" s="214"/>
      <c r="M26" s="214"/>
      <c r="N26" s="214"/>
      <c r="O26" s="214"/>
      <c r="P26" s="214"/>
      <c r="Q26" s="214"/>
      <c r="R26" s="214"/>
      <c r="S26" s="214"/>
      <c r="T26" s="214"/>
      <c r="U26" s="214"/>
      <c r="V26" s="215"/>
    </row>
    <row r="27" spans="1:22" ht="15" customHeight="1">
      <c r="A27" s="216" t="s">
        <v>78</v>
      </c>
      <c r="B27" s="217"/>
      <c r="C27" s="217"/>
      <c r="D27" s="217"/>
      <c r="E27" s="38" t="s">
        <v>49</v>
      </c>
      <c r="F27" s="214" t="s">
        <v>79</v>
      </c>
      <c r="G27" s="214"/>
      <c r="H27" s="214"/>
      <c r="I27" s="214"/>
      <c r="J27" s="214"/>
      <c r="K27" s="214"/>
      <c r="L27" s="214"/>
      <c r="M27" s="214"/>
      <c r="N27" s="214"/>
      <c r="O27" s="214"/>
      <c r="P27" s="214"/>
      <c r="Q27" s="214"/>
      <c r="R27" s="214"/>
      <c r="S27" s="214"/>
      <c r="T27" s="214"/>
      <c r="U27" s="214"/>
      <c r="V27" s="215"/>
    </row>
    <row r="28" spans="1:22" ht="116.25" customHeight="1">
      <c r="A28" s="216" t="s">
        <v>61</v>
      </c>
      <c r="B28" s="217"/>
      <c r="C28" s="217"/>
      <c r="D28" s="217"/>
      <c r="E28" s="38" t="s">
        <v>49</v>
      </c>
      <c r="F28" s="214" t="s">
        <v>80</v>
      </c>
      <c r="G28" s="214"/>
      <c r="H28" s="214"/>
      <c r="I28" s="214"/>
      <c r="J28" s="214"/>
      <c r="K28" s="214"/>
      <c r="L28" s="214"/>
      <c r="M28" s="214"/>
      <c r="N28" s="214"/>
      <c r="O28" s="214"/>
      <c r="P28" s="214"/>
      <c r="Q28" s="214"/>
      <c r="R28" s="214"/>
      <c r="S28" s="214"/>
      <c r="T28" s="214"/>
      <c r="U28" s="214"/>
      <c r="V28" s="215"/>
    </row>
    <row r="29" spans="1:22" ht="15" customHeight="1">
      <c r="A29" s="216" t="s">
        <v>59</v>
      </c>
      <c r="B29" s="217"/>
      <c r="C29" s="217"/>
      <c r="D29" s="217"/>
      <c r="E29" s="38" t="s">
        <v>49</v>
      </c>
      <c r="F29" s="214" t="s">
        <v>60</v>
      </c>
      <c r="G29" s="214"/>
      <c r="H29" s="214"/>
      <c r="I29" s="214"/>
      <c r="J29" s="214"/>
      <c r="K29" s="214"/>
      <c r="L29" s="214"/>
      <c r="M29" s="214"/>
      <c r="N29" s="214"/>
      <c r="O29" s="214"/>
      <c r="P29" s="214"/>
      <c r="Q29" s="214"/>
      <c r="R29" s="214"/>
      <c r="S29" s="214"/>
      <c r="T29" s="214"/>
      <c r="U29" s="214"/>
      <c r="V29" s="215"/>
    </row>
    <row r="30" spans="1:22" ht="15" customHeight="1">
      <c r="A30" s="216" t="s">
        <v>65</v>
      </c>
      <c r="B30" s="217"/>
      <c r="C30" s="217"/>
      <c r="D30" s="217"/>
      <c r="E30" s="38" t="s">
        <v>49</v>
      </c>
      <c r="F30" s="214" t="s">
        <v>66</v>
      </c>
      <c r="G30" s="214"/>
      <c r="H30" s="214"/>
      <c r="I30" s="214"/>
      <c r="J30" s="214"/>
      <c r="K30" s="214"/>
      <c r="L30" s="214"/>
      <c r="M30" s="214"/>
      <c r="N30" s="214"/>
      <c r="O30" s="214"/>
      <c r="P30" s="214"/>
      <c r="Q30" s="214"/>
      <c r="R30" s="214"/>
      <c r="S30" s="214"/>
      <c r="T30" s="214"/>
      <c r="U30" s="214"/>
      <c r="V30" s="215"/>
    </row>
    <row r="31" spans="1:22" ht="15" customHeight="1">
      <c r="A31" s="216" t="s">
        <v>67</v>
      </c>
      <c r="B31" s="217"/>
      <c r="C31" s="217"/>
      <c r="D31" s="217"/>
      <c r="E31" s="38" t="s">
        <v>49</v>
      </c>
      <c r="F31" s="214" t="s">
        <v>68</v>
      </c>
      <c r="G31" s="214"/>
      <c r="H31" s="214"/>
      <c r="I31" s="214"/>
      <c r="J31" s="214"/>
      <c r="K31" s="214"/>
      <c r="L31" s="214"/>
      <c r="M31" s="214"/>
      <c r="N31" s="214"/>
      <c r="O31" s="214"/>
      <c r="P31" s="214"/>
      <c r="Q31" s="214"/>
      <c r="R31" s="214"/>
      <c r="S31" s="214"/>
      <c r="T31" s="214"/>
      <c r="U31" s="214"/>
      <c r="V31" s="215"/>
    </row>
    <row r="32" spans="1:22" ht="15" customHeight="1">
      <c r="A32" s="216" t="s">
        <v>69</v>
      </c>
      <c r="B32" s="217"/>
      <c r="C32" s="217"/>
      <c r="D32" s="217"/>
      <c r="E32" s="38" t="s">
        <v>49</v>
      </c>
      <c r="F32" s="214" t="s">
        <v>70</v>
      </c>
      <c r="G32" s="214"/>
      <c r="H32" s="214"/>
      <c r="I32" s="214"/>
      <c r="J32" s="214"/>
      <c r="K32" s="214"/>
      <c r="L32" s="214"/>
      <c r="M32" s="214"/>
      <c r="N32" s="214"/>
      <c r="O32" s="214"/>
      <c r="P32" s="214"/>
      <c r="Q32" s="214"/>
      <c r="R32" s="214"/>
      <c r="S32" s="214"/>
      <c r="T32" s="214"/>
      <c r="U32" s="214"/>
      <c r="V32" s="215"/>
    </row>
    <row r="33" spans="1:22" ht="64.5" customHeight="1">
      <c r="A33" s="216" t="s">
        <v>71</v>
      </c>
      <c r="B33" s="217"/>
      <c r="C33" s="217"/>
      <c r="D33" s="217"/>
      <c r="E33" s="38" t="s">
        <v>49</v>
      </c>
      <c r="F33" s="214" t="s">
        <v>72</v>
      </c>
      <c r="G33" s="214"/>
      <c r="H33" s="214"/>
      <c r="I33" s="214"/>
      <c r="J33" s="214"/>
      <c r="K33" s="214"/>
      <c r="L33" s="214"/>
      <c r="M33" s="214"/>
      <c r="N33" s="214"/>
      <c r="O33" s="214"/>
      <c r="P33" s="214"/>
      <c r="Q33" s="214"/>
      <c r="R33" s="214"/>
      <c r="S33" s="214"/>
      <c r="T33" s="214"/>
      <c r="U33" s="214"/>
      <c r="V33" s="215"/>
    </row>
    <row r="34" spans="1:22" ht="88.5" customHeight="1">
      <c r="A34" s="216" t="s">
        <v>73</v>
      </c>
      <c r="B34" s="217"/>
      <c r="C34" s="217"/>
      <c r="D34" s="217"/>
      <c r="E34" s="38" t="s">
        <v>49</v>
      </c>
      <c r="F34" s="214" t="s">
        <v>74</v>
      </c>
      <c r="G34" s="214"/>
      <c r="H34" s="214"/>
      <c r="I34" s="214"/>
      <c r="J34" s="214"/>
      <c r="K34" s="214"/>
      <c r="L34" s="214"/>
      <c r="M34" s="214"/>
      <c r="N34" s="214"/>
      <c r="O34" s="214"/>
      <c r="P34" s="214"/>
      <c r="Q34" s="214"/>
      <c r="R34" s="214"/>
      <c r="S34" s="214"/>
      <c r="T34" s="214"/>
      <c r="U34" s="214"/>
      <c r="V34" s="215"/>
    </row>
    <row r="35" spans="1:22" ht="35.25" customHeight="1">
      <c r="A35" s="216" t="s">
        <v>81</v>
      </c>
      <c r="B35" s="217"/>
      <c r="C35" s="217"/>
      <c r="D35" s="217"/>
      <c r="E35" s="38" t="s">
        <v>49</v>
      </c>
      <c r="F35" s="214" t="s">
        <v>82</v>
      </c>
      <c r="G35" s="214"/>
      <c r="H35" s="214"/>
      <c r="I35" s="214"/>
      <c r="J35" s="214"/>
      <c r="K35" s="214"/>
      <c r="L35" s="214"/>
      <c r="M35" s="214"/>
      <c r="N35" s="214"/>
      <c r="O35" s="214"/>
      <c r="P35" s="214"/>
      <c r="Q35" s="214"/>
      <c r="R35" s="214"/>
      <c r="S35" s="214"/>
      <c r="T35" s="214"/>
      <c r="U35" s="214"/>
      <c r="V35" s="215"/>
    </row>
    <row r="36" spans="1:22" ht="27.75" customHeight="1">
      <c r="A36" s="213" t="s">
        <v>83</v>
      </c>
      <c r="B36" s="207"/>
      <c r="C36" s="207"/>
      <c r="D36" s="207"/>
      <c r="E36" s="38" t="s">
        <v>49</v>
      </c>
      <c r="F36" s="214" t="s">
        <v>84</v>
      </c>
      <c r="G36" s="214"/>
      <c r="H36" s="214"/>
      <c r="I36" s="214"/>
      <c r="J36" s="214"/>
      <c r="K36" s="214"/>
      <c r="L36" s="214"/>
      <c r="M36" s="214"/>
      <c r="N36" s="214"/>
      <c r="O36" s="214"/>
      <c r="P36" s="214"/>
      <c r="Q36" s="214"/>
      <c r="R36" s="214"/>
      <c r="S36" s="214"/>
      <c r="T36" s="214"/>
      <c r="U36" s="214"/>
      <c r="V36" s="215"/>
    </row>
    <row r="37" spans="1:22" ht="22.5" customHeight="1">
      <c r="A37" s="213" t="s">
        <v>85</v>
      </c>
      <c r="B37" s="207"/>
      <c r="C37" s="207"/>
      <c r="D37" s="207"/>
      <c r="E37" s="38" t="s">
        <v>49</v>
      </c>
      <c r="F37" s="214" t="s">
        <v>86</v>
      </c>
      <c r="G37" s="214"/>
      <c r="H37" s="214"/>
      <c r="I37" s="214"/>
      <c r="J37" s="214"/>
      <c r="K37" s="214"/>
      <c r="L37" s="214"/>
      <c r="M37" s="214"/>
      <c r="N37" s="214"/>
      <c r="O37" s="214"/>
      <c r="P37" s="214"/>
      <c r="Q37" s="214"/>
      <c r="R37" s="214"/>
      <c r="S37" s="214"/>
      <c r="T37" s="214"/>
      <c r="U37" s="214"/>
      <c r="V37" s="215"/>
    </row>
    <row r="38" spans="1:22" ht="15" customHeight="1">
      <c r="A38" s="39"/>
      <c r="V38" s="40"/>
    </row>
    <row r="39" spans="1:22" ht="15" customHeight="1">
      <c r="A39" s="43" t="s">
        <v>87</v>
      </c>
      <c r="B39" s="44"/>
      <c r="C39" s="44"/>
      <c r="D39" s="44"/>
      <c r="E39" s="44"/>
      <c r="F39" s="44"/>
      <c r="G39" s="44"/>
      <c r="H39" s="44"/>
      <c r="I39" s="44"/>
      <c r="J39" s="44"/>
      <c r="K39" s="44"/>
      <c r="L39" s="44"/>
      <c r="M39" s="44"/>
      <c r="N39" s="44"/>
      <c r="O39" s="44"/>
      <c r="P39" s="44"/>
      <c r="Q39" s="44"/>
      <c r="R39" s="44"/>
      <c r="S39" s="44"/>
      <c r="T39" s="44"/>
      <c r="U39" s="44"/>
      <c r="V39" s="45"/>
    </row>
    <row r="40" spans="1:22" ht="15" customHeight="1">
      <c r="A40" s="205" t="s">
        <v>88</v>
      </c>
      <c r="B40" s="206"/>
      <c r="C40" s="44" t="s">
        <v>49</v>
      </c>
      <c r="D40" s="207" t="s">
        <v>89</v>
      </c>
      <c r="E40" s="207"/>
      <c r="F40" s="207"/>
      <c r="G40" s="207"/>
      <c r="H40" s="207"/>
      <c r="I40" s="207"/>
      <c r="J40" s="207"/>
      <c r="K40" s="207"/>
      <c r="L40" s="207"/>
      <c r="M40" s="207"/>
      <c r="N40" s="207"/>
      <c r="O40" s="207"/>
      <c r="P40" s="207"/>
      <c r="Q40" s="207"/>
      <c r="R40" s="207"/>
      <c r="S40" s="207"/>
      <c r="T40" s="207"/>
      <c r="U40" s="207"/>
      <c r="V40" s="208"/>
    </row>
    <row r="41" spans="1:22" ht="15" customHeight="1">
      <c r="A41" s="205" t="s">
        <v>90</v>
      </c>
      <c r="B41" s="206"/>
      <c r="C41" s="44" t="s">
        <v>49</v>
      </c>
      <c r="D41" s="207">
        <v>10</v>
      </c>
      <c r="E41" s="207"/>
      <c r="F41" s="207"/>
      <c r="G41" s="207"/>
      <c r="H41" s="207"/>
      <c r="I41" s="207"/>
      <c r="J41" s="207"/>
      <c r="K41" s="207"/>
      <c r="L41" s="207"/>
      <c r="M41" s="207"/>
      <c r="N41" s="207"/>
      <c r="O41" s="207"/>
      <c r="P41" s="207"/>
      <c r="Q41" s="207"/>
      <c r="R41" s="207"/>
      <c r="S41" s="207"/>
      <c r="T41" s="207"/>
      <c r="U41" s="207"/>
      <c r="V41" s="208"/>
    </row>
    <row r="42" spans="1:22" ht="15" customHeight="1">
      <c r="A42" s="205" t="s">
        <v>91</v>
      </c>
      <c r="B42" s="206"/>
      <c r="C42" s="44" t="s">
        <v>49</v>
      </c>
      <c r="D42" s="207" t="s">
        <v>92</v>
      </c>
      <c r="E42" s="207"/>
      <c r="F42" s="207"/>
      <c r="G42" s="207"/>
      <c r="H42" s="207"/>
      <c r="I42" s="207"/>
      <c r="J42" s="207"/>
      <c r="K42" s="207"/>
      <c r="L42" s="207"/>
      <c r="M42" s="207"/>
      <c r="N42" s="207"/>
      <c r="O42" s="207"/>
      <c r="P42" s="207"/>
      <c r="Q42" s="207"/>
      <c r="R42" s="207"/>
      <c r="S42" s="207"/>
      <c r="T42" s="207"/>
      <c r="U42" s="207"/>
      <c r="V42" s="208"/>
    </row>
    <row r="43" spans="1:22" ht="15" customHeight="1">
      <c r="A43" s="205" t="s">
        <v>93</v>
      </c>
      <c r="B43" s="206"/>
      <c r="C43" s="44" t="s">
        <v>49</v>
      </c>
      <c r="D43" s="207" t="s">
        <v>94</v>
      </c>
      <c r="E43" s="207"/>
      <c r="F43" s="207"/>
      <c r="G43" s="207"/>
      <c r="H43" s="207"/>
      <c r="I43" s="207"/>
      <c r="J43" s="207"/>
      <c r="K43" s="207"/>
      <c r="L43" s="207"/>
      <c r="M43" s="207"/>
      <c r="N43" s="207"/>
      <c r="O43" s="207"/>
      <c r="P43" s="207"/>
      <c r="Q43" s="207"/>
      <c r="R43" s="207"/>
      <c r="S43" s="207"/>
      <c r="T43" s="207"/>
      <c r="U43" s="207"/>
      <c r="V43" s="208"/>
    </row>
    <row r="44" spans="1:22" ht="15" customHeight="1">
      <c r="A44" s="205" t="s">
        <v>95</v>
      </c>
      <c r="B44" s="206"/>
      <c r="C44" s="44" t="s">
        <v>49</v>
      </c>
      <c r="D44" s="207" t="s">
        <v>96</v>
      </c>
      <c r="E44" s="207"/>
      <c r="F44" s="207"/>
      <c r="G44" s="207"/>
      <c r="H44" s="207"/>
      <c r="I44" s="207"/>
      <c r="J44" s="207"/>
      <c r="K44" s="207"/>
      <c r="L44" s="207"/>
      <c r="M44" s="207"/>
      <c r="N44" s="207"/>
      <c r="O44" s="207"/>
      <c r="P44" s="207"/>
      <c r="Q44" s="207"/>
      <c r="R44" s="207"/>
      <c r="S44" s="207"/>
      <c r="T44" s="207"/>
      <c r="U44" s="207"/>
      <c r="V44" s="208"/>
    </row>
    <row r="45" spans="1:22" ht="77.25" customHeight="1">
      <c r="A45" s="205" t="s">
        <v>97</v>
      </c>
      <c r="B45" s="206"/>
      <c r="C45" s="44" t="s">
        <v>49</v>
      </c>
      <c r="D45" s="209" t="s">
        <v>98</v>
      </c>
      <c r="E45" s="209"/>
      <c r="F45" s="209"/>
      <c r="G45" s="209"/>
      <c r="H45" s="209"/>
      <c r="I45" s="209"/>
      <c r="J45" s="209"/>
      <c r="K45" s="209"/>
      <c r="L45" s="209"/>
      <c r="M45" s="209"/>
      <c r="N45" s="209"/>
      <c r="O45" s="209"/>
      <c r="P45" s="209"/>
      <c r="Q45" s="209"/>
      <c r="R45" s="209"/>
      <c r="S45" s="209"/>
      <c r="T45" s="209"/>
      <c r="U45" s="209"/>
      <c r="V45" s="210"/>
    </row>
    <row r="46" spans="1:22" ht="15" customHeight="1">
      <c r="A46" s="211"/>
      <c r="B46" s="212"/>
      <c r="C46" s="44"/>
      <c r="D46" s="44"/>
      <c r="E46" s="44"/>
      <c r="F46" s="44"/>
      <c r="G46" s="44"/>
      <c r="H46" s="44"/>
      <c r="I46" s="44"/>
      <c r="J46" s="44"/>
      <c r="K46" s="44"/>
      <c r="L46" s="44"/>
      <c r="M46" s="44"/>
      <c r="N46" s="44"/>
      <c r="O46" s="44"/>
      <c r="P46" s="44"/>
      <c r="Q46" s="44"/>
      <c r="R46" s="44"/>
      <c r="S46" s="44"/>
      <c r="T46" s="44"/>
      <c r="U46" s="44"/>
      <c r="V46" s="45"/>
    </row>
    <row r="47" spans="1:22" ht="15" customHeight="1">
      <c r="A47" s="39"/>
      <c r="V47" s="40"/>
    </row>
    <row r="48" spans="1:22" ht="15" customHeight="1">
      <c r="A48" s="39"/>
      <c r="V48" s="40"/>
    </row>
    <row r="49" spans="1:22" ht="15" customHeight="1">
      <c r="A49" s="39"/>
      <c r="V49" s="40"/>
    </row>
    <row r="50" spans="1:22" ht="15" customHeight="1">
      <c r="A50" s="203"/>
      <c r="B50" s="203"/>
      <c r="C50" s="203"/>
      <c r="D50" s="203"/>
      <c r="E50" s="203"/>
      <c r="F50" s="203"/>
      <c r="G50" s="203"/>
      <c r="H50" s="203"/>
      <c r="I50" s="203"/>
      <c r="J50" s="203"/>
      <c r="K50" s="203"/>
      <c r="L50" s="203"/>
      <c r="M50" s="203"/>
      <c r="N50" s="203"/>
      <c r="O50" s="203"/>
      <c r="P50" s="203"/>
      <c r="Q50" s="203"/>
      <c r="R50" s="203"/>
      <c r="S50" s="203"/>
      <c r="T50" s="203"/>
      <c r="U50" s="203"/>
      <c r="V50" s="204"/>
    </row>
  </sheetData>
  <mergeCells count="77">
    <mergeCell ref="F16:V16"/>
    <mergeCell ref="A15:D15"/>
    <mergeCell ref="F15:V15"/>
    <mergeCell ref="A1:V1"/>
    <mergeCell ref="A2:B2"/>
    <mergeCell ref="A13:D13"/>
    <mergeCell ref="A3:V3"/>
    <mergeCell ref="I2:V2"/>
    <mergeCell ref="C2:G2"/>
    <mergeCell ref="A7:D7"/>
    <mergeCell ref="F7:V7"/>
    <mergeCell ref="A12:D12"/>
    <mergeCell ref="F12:V12"/>
    <mergeCell ref="A10:D10"/>
    <mergeCell ref="F10:V10"/>
    <mergeCell ref="A11:D11"/>
    <mergeCell ref="A29:D29"/>
    <mergeCell ref="A28:D28"/>
    <mergeCell ref="A27:D27"/>
    <mergeCell ref="F27:V27"/>
    <mergeCell ref="A20:D20"/>
    <mergeCell ref="F20:V20"/>
    <mergeCell ref="F24:V24"/>
    <mergeCell ref="A25:D25"/>
    <mergeCell ref="F25:V25"/>
    <mergeCell ref="A26:D26"/>
    <mergeCell ref="F26:V26"/>
    <mergeCell ref="A17:D17"/>
    <mergeCell ref="F17:V17"/>
    <mergeCell ref="A18:D18"/>
    <mergeCell ref="F18:V18"/>
    <mergeCell ref="A19:D19"/>
    <mergeCell ref="F19:V19"/>
    <mergeCell ref="A5:H5"/>
    <mergeCell ref="F28:V28"/>
    <mergeCell ref="F29:V29"/>
    <mergeCell ref="A30:D30"/>
    <mergeCell ref="F30:V30"/>
    <mergeCell ref="A24:D24"/>
    <mergeCell ref="A8:D8"/>
    <mergeCell ref="F8:V8"/>
    <mergeCell ref="F13:V13"/>
    <mergeCell ref="A14:D14"/>
    <mergeCell ref="F14:V14"/>
    <mergeCell ref="A16:D16"/>
    <mergeCell ref="F11:V11"/>
    <mergeCell ref="A22:I22"/>
    <mergeCell ref="A9:D9"/>
    <mergeCell ref="F9:V9"/>
    <mergeCell ref="A35:D35"/>
    <mergeCell ref="F35:V35"/>
    <mergeCell ref="A31:D31"/>
    <mergeCell ref="F31:V31"/>
    <mergeCell ref="A32:D32"/>
    <mergeCell ref="F32:V32"/>
    <mergeCell ref="A33:D33"/>
    <mergeCell ref="F33:V33"/>
    <mergeCell ref="A34:D34"/>
    <mergeCell ref="F34:V34"/>
    <mergeCell ref="A36:D36"/>
    <mergeCell ref="F36:V36"/>
    <mergeCell ref="A37:D37"/>
    <mergeCell ref="F37:V37"/>
    <mergeCell ref="A40:B40"/>
    <mergeCell ref="D40:V40"/>
    <mergeCell ref="A41:B41"/>
    <mergeCell ref="D41:V41"/>
    <mergeCell ref="A42:B42"/>
    <mergeCell ref="D42:V42"/>
    <mergeCell ref="A43:B43"/>
    <mergeCell ref="D43:V43"/>
    <mergeCell ref="A50:V50"/>
    <mergeCell ref="A44:B44"/>
    <mergeCell ref="D44:V44"/>
    <mergeCell ref="A45:B45"/>
    <mergeCell ref="D45:V45"/>
    <mergeCell ref="A46:B46"/>
  </mergeCells>
  <pageMargins left="0.28333333333333299" right="0.17499999999999999" top="0.17499999999999999" bottom="0.35" header="0.108333333333333" footer="0.116666666666667"/>
  <pageSetup paperSize="9" scale="80" orientation="portrait" r:id="rId1"/>
  <headerFooter>
    <oddFooter>&amp;C&amp;"Times New Roman,Regular"&amp;8&amp;K00-046HCLT  Confidential&amp;R&amp;"Times New Roman,Regular"&amp;8&amp;K00-045Page &amp;"Times New Roman,Bold"&amp;9&amp;K01+000&amp;P&amp;"Times New Roman,Regular"&amp;8&amp;K00-045 &amp;"Times New Roman,Bold"&amp;9&amp;K01+000of &amp;N&amp;"Times New Roman,Regular"&amp;8&amp;K00-045 Pages</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B106"/>
  <sheetViews>
    <sheetView workbookViewId="0">
      <pane ySplit="1" topLeftCell="A6" activePane="bottomLeft" state="frozen"/>
      <selection pane="bottomLeft" activeCell="B12" sqref="B12"/>
      <selection activeCell="D37" sqref="D37:H37"/>
    </sheetView>
  </sheetViews>
  <sheetFormatPr defaultRowHeight="15"/>
  <cols>
    <col min="1" max="1" width="21" style="92" bestFit="1" customWidth="1"/>
    <col min="2" max="2" width="123.5703125" style="93" bestFit="1" customWidth="1"/>
    <col min="3" max="16384" width="9.140625" style="8"/>
  </cols>
  <sheetData>
    <row r="1" spans="1:2">
      <c r="A1" s="94" t="s">
        <v>99</v>
      </c>
      <c r="B1" s="95" t="s">
        <v>2</v>
      </c>
    </row>
    <row r="2" spans="1:2">
      <c r="A2" s="87" t="s">
        <v>100</v>
      </c>
      <c r="B2" s="84" t="s">
        <v>101</v>
      </c>
    </row>
    <row r="3" spans="1:2">
      <c r="A3" s="87" t="s">
        <v>102</v>
      </c>
      <c r="B3" s="84" t="s">
        <v>103</v>
      </c>
    </row>
    <row r="4" spans="1:2">
      <c r="A4" s="87" t="s">
        <v>104</v>
      </c>
      <c r="B4" s="84" t="s">
        <v>105</v>
      </c>
    </row>
    <row r="5" spans="1:2" ht="25.5">
      <c r="A5" s="87" t="s">
        <v>106</v>
      </c>
      <c r="B5" s="84" t="s">
        <v>107</v>
      </c>
    </row>
    <row r="6" spans="1:2" ht="38.25">
      <c r="A6" s="87" t="s">
        <v>108</v>
      </c>
      <c r="B6" s="84" t="s">
        <v>109</v>
      </c>
    </row>
    <row r="7" spans="1:2" ht="38.25">
      <c r="A7" s="87" t="s">
        <v>110</v>
      </c>
      <c r="B7" s="84" t="s">
        <v>111</v>
      </c>
    </row>
    <row r="8" spans="1:2" ht="63.75">
      <c r="A8" s="87" t="s">
        <v>112</v>
      </c>
      <c r="B8" s="84" t="s">
        <v>113</v>
      </c>
    </row>
    <row r="9" spans="1:2">
      <c r="A9" s="87" t="s">
        <v>114</v>
      </c>
      <c r="B9" s="84" t="s">
        <v>115</v>
      </c>
    </row>
    <row r="10" spans="1:2">
      <c r="A10" s="88" t="s">
        <v>116</v>
      </c>
      <c r="B10" s="89" t="s">
        <v>117</v>
      </c>
    </row>
    <row r="11" spans="1:2">
      <c r="A11" s="87" t="s">
        <v>118</v>
      </c>
      <c r="B11" s="84" t="s">
        <v>119</v>
      </c>
    </row>
    <row r="12" spans="1:2">
      <c r="A12" s="87" t="s">
        <v>120</v>
      </c>
      <c r="B12" s="84" t="s">
        <v>121</v>
      </c>
    </row>
    <row r="13" spans="1:2">
      <c r="A13" s="87" t="s">
        <v>122</v>
      </c>
      <c r="B13" s="84" t="s">
        <v>123</v>
      </c>
    </row>
    <row r="14" spans="1:2" ht="25.5">
      <c r="A14" s="87" t="s">
        <v>124</v>
      </c>
      <c r="B14" s="84" t="s">
        <v>125</v>
      </c>
    </row>
    <row r="15" spans="1:2">
      <c r="A15" s="87" t="s">
        <v>126</v>
      </c>
      <c r="B15" s="84" t="s">
        <v>127</v>
      </c>
    </row>
    <row r="16" spans="1:2">
      <c r="A16" s="88" t="s">
        <v>128</v>
      </c>
      <c r="B16" s="89" t="s">
        <v>129</v>
      </c>
    </row>
    <row r="17" spans="1:2">
      <c r="A17" s="88" t="s">
        <v>130</v>
      </c>
      <c r="B17" s="89" t="s">
        <v>131</v>
      </c>
    </row>
    <row r="18" spans="1:2">
      <c r="A18" s="88" t="s">
        <v>132</v>
      </c>
      <c r="B18" s="86" t="s">
        <v>133</v>
      </c>
    </row>
    <row r="19" spans="1:2">
      <c r="A19" s="88" t="s">
        <v>134</v>
      </c>
      <c r="B19" s="89" t="s">
        <v>135</v>
      </c>
    </row>
    <row r="20" spans="1:2">
      <c r="A20" s="87" t="s">
        <v>136</v>
      </c>
      <c r="B20" s="84" t="s">
        <v>137</v>
      </c>
    </row>
    <row r="21" spans="1:2">
      <c r="A21" s="87" t="s">
        <v>138</v>
      </c>
      <c r="B21" s="84" t="s">
        <v>139</v>
      </c>
    </row>
    <row r="22" spans="1:2">
      <c r="A22" s="88" t="s">
        <v>140</v>
      </c>
      <c r="B22" s="89" t="s">
        <v>141</v>
      </c>
    </row>
    <row r="23" spans="1:2">
      <c r="A23" s="90" t="s">
        <v>142</v>
      </c>
      <c r="B23" s="91" t="s">
        <v>143</v>
      </c>
    </row>
    <row r="24" spans="1:2">
      <c r="A24" s="88" t="s">
        <v>144</v>
      </c>
      <c r="B24" s="89" t="s">
        <v>145</v>
      </c>
    </row>
    <row r="25" spans="1:2">
      <c r="A25" s="87" t="s">
        <v>146</v>
      </c>
      <c r="B25" s="84" t="s">
        <v>147</v>
      </c>
    </row>
    <row r="26" spans="1:2" ht="25.5">
      <c r="A26" s="87" t="s">
        <v>148</v>
      </c>
      <c r="B26" s="84" t="s">
        <v>149</v>
      </c>
    </row>
    <row r="27" spans="1:2">
      <c r="A27" s="88" t="s">
        <v>150</v>
      </c>
      <c r="B27" s="86" t="s">
        <v>151</v>
      </c>
    </row>
    <row r="28" spans="1:2">
      <c r="A28" s="88" t="s">
        <v>152</v>
      </c>
      <c r="B28" s="89" t="s">
        <v>153</v>
      </c>
    </row>
    <row r="29" spans="1:2">
      <c r="A29" s="88" t="s">
        <v>154</v>
      </c>
      <c r="B29" s="89" t="s">
        <v>155</v>
      </c>
    </row>
    <row r="30" spans="1:2">
      <c r="A30" s="87" t="s">
        <v>156</v>
      </c>
      <c r="B30" s="84" t="s">
        <v>157</v>
      </c>
    </row>
    <row r="31" spans="1:2">
      <c r="A31" s="88" t="s">
        <v>158</v>
      </c>
      <c r="B31" s="86" t="s">
        <v>159</v>
      </c>
    </row>
    <row r="32" spans="1:2">
      <c r="A32" s="87" t="s">
        <v>160</v>
      </c>
      <c r="B32" s="84" t="s">
        <v>161</v>
      </c>
    </row>
    <row r="33" spans="1:2">
      <c r="A33" s="87" t="s">
        <v>162</v>
      </c>
      <c r="B33" s="84" t="s">
        <v>163</v>
      </c>
    </row>
    <row r="34" spans="1:2">
      <c r="A34" s="87" t="s">
        <v>164</v>
      </c>
      <c r="B34" s="84" t="s">
        <v>165</v>
      </c>
    </row>
    <row r="35" spans="1:2">
      <c r="A35" s="87" t="s">
        <v>166</v>
      </c>
      <c r="B35" s="84" t="s">
        <v>167</v>
      </c>
    </row>
    <row r="36" spans="1:2">
      <c r="A36" s="87" t="s">
        <v>168</v>
      </c>
      <c r="B36" s="84" t="s">
        <v>169</v>
      </c>
    </row>
    <row r="37" spans="1:2">
      <c r="A37" s="87" t="s">
        <v>170</v>
      </c>
      <c r="B37" s="84" t="s">
        <v>171</v>
      </c>
    </row>
    <row r="38" spans="1:2" ht="25.5">
      <c r="A38" s="87" t="s">
        <v>172</v>
      </c>
      <c r="B38" s="84" t="s">
        <v>173</v>
      </c>
    </row>
    <row r="39" spans="1:2">
      <c r="A39" s="87" t="s">
        <v>174</v>
      </c>
      <c r="B39" s="84" t="s">
        <v>175</v>
      </c>
    </row>
    <row r="40" spans="1:2">
      <c r="A40" s="87" t="s">
        <v>176</v>
      </c>
      <c r="B40" s="84" t="s">
        <v>177</v>
      </c>
    </row>
    <row r="41" spans="1:2">
      <c r="A41" s="88" t="s">
        <v>178</v>
      </c>
      <c r="B41" s="86" t="s">
        <v>179</v>
      </c>
    </row>
    <row r="42" spans="1:2">
      <c r="A42" s="88" t="s">
        <v>180</v>
      </c>
      <c r="B42" s="89" t="s">
        <v>181</v>
      </c>
    </row>
    <row r="43" spans="1:2">
      <c r="A43" s="87" t="s">
        <v>182</v>
      </c>
      <c r="B43" s="84" t="s">
        <v>183</v>
      </c>
    </row>
    <row r="44" spans="1:2">
      <c r="A44" s="88" t="s">
        <v>184</v>
      </c>
      <c r="B44" s="89" t="s">
        <v>185</v>
      </c>
    </row>
    <row r="45" spans="1:2">
      <c r="A45" s="90" t="s">
        <v>186</v>
      </c>
      <c r="B45" s="91" t="s">
        <v>187</v>
      </c>
    </row>
    <row r="46" spans="1:2">
      <c r="A46" s="88" t="s">
        <v>188</v>
      </c>
      <c r="B46" s="89" t="s">
        <v>189</v>
      </c>
    </row>
    <row r="47" spans="1:2" ht="25.5">
      <c r="A47" s="87" t="s">
        <v>190</v>
      </c>
      <c r="B47" s="84" t="s">
        <v>191</v>
      </c>
    </row>
    <row r="48" spans="1:2">
      <c r="A48" s="88" t="s">
        <v>192</v>
      </c>
      <c r="B48" s="89" t="s">
        <v>193</v>
      </c>
    </row>
    <row r="49" spans="1:2">
      <c r="A49" s="87" t="s">
        <v>194</v>
      </c>
      <c r="B49" s="84" t="s">
        <v>195</v>
      </c>
    </row>
    <row r="50" spans="1:2">
      <c r="A50" s="87" t="s">
        <v>196</v>
      </c>
      <c r="B50" s="84" t="s">
        <v>197</v>
      </c>
    </row>
    <row r="51" spans="1:2">
      <c r="A51" s="88" t="s">
        <v>198</v>
      </c>
      <c r="B51" s="89" t="s">
        <v>199</v>
      </c>
    </row>
    <row r="52" spans="1:2" ht="38.25">
      <c r="A52" s="87" t="s">
        <v>200</v>
      </c>
      <c r="B52" s="84" t="s">
        <v>201</v>
      </c>
    </row>
    <row r="53" spans="1:2" ht="25.5">
      <c r="A53" s="87" t="s">
        <v>202</v>
      </c>
      <c r="B53" s="84" t="s">
        <v>203</v>
      </c>
    </row>
    <row r="54" spans="1:2">
      <c r="A54" s="88" t="s">
        <v>204</v>
      </c>
      <c r="B54" s="89" t="s">
        <v>205</v>
      </c>
    </row>
    <row r="55" spans="1:2">
      <c r="A55" s="87" t="s">
        <v>206</v>
      </c>
      <c r="B55" s="84" t="s">
        <v>207</v>
      </c>
    </row>
    <row r="56" spans="1:2">
      <c r="A56" s="88" t="s">
        <v>208</v>
      </c>
      <c r="B56" s="89" t="s">
        <v>209</v>
      </c>
    </row>
    <row r="57" spans="1:2">
      <c r="A57" s="88" t="s">
        <v>210</v>
      </c>
      <c r="B57" s="89" t="s">
        <v>211</v>
      </c>
    </row>
    <row r="58" spans="1:2">
      <c r="A58" s="88" t="s">
        <v>212</v>
      </c>
      <c r="B58" s="89" t="s">
        <v>213</v>
      </c>
    </row>
    <row r="59" spans="1:2">
      <c r="A59" s="88" t="s">
        <v>214</v>
      </c>
      <c r="B59" s="89" t="s">
        <v>215</v>
      </c>
    </row>
    <row r="60" spans="1:2">
      <c r="A60" s="87" t="s">
        <v>216</v>
      </c>
      <c r="B60" s="84" t="s">
        <v>217</v>
      </c>
    </row>
    <row r="61" spans="1:2">
      <c r="A61" s="87" t="s">
        <v>218</v>
      </c>
      <c r="B61" s="84" t="s">
        <v>219</v>
      </c>
    </row>
    <row r="62" spans="1:2">
      <c r="A62" s="88" t="s">
        <v>220</v>
      </c>
      <c r="B62" s="89" t="s">
        <v>221</v>
      </c>
    </row>
    <row r="63" spans="1:2">
      <c r="A63" s="88" t="s">
        <v>222</v>
      </c>
      <c r="B63" s="89" t="s">
        <v>223</v>
      </c>
    </row>
    <row r="64" spans="1:2">
      <c r="A64" s="87" t="s">
        <v>224</v>
      </c>
      <c r="B64" s="84" t="s">
        <v>225</v>
      </c>
    </row>
    <row r="65" spans="1:2">
      <c r="A65" s="87" t="s">
        <v>226</v>
      </c>
      <c r="B65" s="84" t="s">
        <v>227</v>
      </c>
    </row>
    <row r="66" spans="1:2">
      <c r="A66" s="88" t="s">
        <v>228</v>
      </c>
      <c r="B66" s="89" t="s">
        <v>229</v>
      </c>
    </row>
    <row r="67" spans="1:2">
      <c r="A67" s="88" t="s">
        <v>230</v>
      </c>
      <c r="B67" s="86" t="s">
        <v>231</v>
      </c>
    </row>
    <row r="68" spans="1:2">
      <c r="A68" s="88" t="s">
        <v>232</v>
      </c>
      <c r="B68" s="89" t="s">
        <v>233</v>
      </c>
    </row>
    <row r="69" spans="1:2">
      <c r="A69" s="88" t="s">
        <v>234</v>
      </c>
      <c r="B69" s="89" t="s">
        <v>235</v>
      </c>
    </row>
    <row r="70" spans="1:2">
      <c r="A70" s="88" t="s">
        <v>236</v>
      </c>
      <c r="B70" s="89" t="s">
        <v>237</v>
      </c>
    </row>
    <row r="71" spans="1:2">
      <c r="A71" s="87" t="s">
        <v>238</v>
      </c>
      <c r="B71" s="84" t="s">
        <v>239</v>
      </c>
    </row>
    <row r="72" spans="1:2">
      <c r="A72" s="88" t="s">
        <v>240</v>
      </c>
      <c r="B72" s="89" t="s">
        <v>241</v>
      </c>
    </row>
    <row r="73" spans="1:2">
      <c r="A73" s="88" t="s">
        <v>242</v>
      </c>
      <c r="B73" s="89" t="s">
        <v>243</v>
      </c>
    </row>
    <row r="74" spans="1:2">
      <c r="A74" s="88" t="s">
        <v>244</v>
      </c>
      <c r="B74" s="86" t="s">
        <v>245</v>
      </c>
    </row>
    <row r="75" spans="1:2">
      <c r="A75" s="87" t="s">
        <v>246</v>
      </c>
      <c r="B75" s="84" t="s">
        <v>247</v>
      </c>
    </row>
    <row r="76" spans="1:2">
      <c r="A76" s="88" t="s">
        <v>248</v>
      </c>
      <c r="B76" s="89" t="s">
        <v>249</v>
      </c>
    </row>
    <row r="77" spans="1:2" ht="25.5">
      <c r="A77" s="87" t="s">
        <v>250</v>
      </c>
      <c r="B77" s="84" t="s">
        <v>251</v>
      </c>
    </row>
    <row r="78" spans="1:2">
      <c r="A78" s="88" t="s">
        <v>252</v>
      </c>
      <c r="B78" s="89" t="s">
        <v>253</v>
      </c>
    </row>
    <row r="79" spans="1:2">
      <c r="A79" s="87" t="s">
        <v>254</v>
      </c>
      <c r="B79" s="84" t="s">
        <v>255</v>
      </c>
    </row>
    <row r="80" spans="1:2">
      <c r="A80" s="88" t="s">
        <v>256</v>
      </c>
      <c r="B80" s="89" t="s">
        <v>257</v>
      </c>
    </row>
    <row r="81" spans="1:2">
      <c r="A81" s="88" t="s">
        <v>258</v>
      </c>
      <c r="B81" s="89" t="s">
        <v>259</v>
      </c>
    </row>
    <row r="82" spans="1:2">
      <c r="A82" s="87" t="s">
        <v>260</v>
      </c>
      <c r="B82" s="84" t="s">
        <v>261</v>
      </c>
    </row>
    <row r="83" spans="1:2" ht="25.5">
      <c r="A83" s="87" t="s">
        <v>262</v>
      </c>
      <c r="B83" s="84" t="s">
        <v>263</v>
      </c>
    </row>
    <row r="84" spans="1:2">
      <c r="A84" s="87" t="s">
        <v>264</v>
      </c>
      <c r="B84" s="84" t="s">
        <v>265</v>
      </c>
    </row>
    <row r="85" spans="1:2">
      <c r="A85" s="87" t="s">
        <v>266</v>
      </c>
      <c r="B85" s="84" t="s">
        <v>267</v>
      </c>
    </row>
    <row r="86" spans="1:2">
      <c r="A86" s="87" t="s">
        <v>268</v>
      </c>
      <c r="B86" s="84" t="s">
        <v>269</v>
      </c>
    </row>
    <row r="87" spans="1:2">
      <c r="A87" s="88" t="s">
        <v>270</v>
      </c>
      <c r="B87" s="89" t="s">
        <v>271</v>
      </c>
    </row>
    <row r="88" spans="1:2">
      <c r="A88" s="88" t="s">
        <v>272</v>
      </c>
      <c r="B88" s="89" t="s">
        <v>273</v>
      </c>
    </row>
    <row r="89" spans="1:2" ht="25.5">
      <c r="A89" s="87" t="s">
        <v>274</v>
      </c>
      <c r="B89" s="84" t="s">
        <v>275</v>
      </c>
    </row>
    <row r="90" spans="1:2">
      <c r="A90" s="90" t="s">
        <v>276</v>
      </c>
      <c r="B90" s="91" t="s">
        <v>277</v>
      </c>
    </row>
    <row r="91" spans="1:2">
      <c r="A91" s="90" t="s">
        <v>278</v>
      </c>
      <c r="B91" s="91" t="s">
        <v>279</v>
      </c>
    </row>
    <row r="92" spans="1:2">
      <c r="A92" s="90" t="s">
        <v>280</v>
      </c>
      <c r="B92" s="91" t="s">
        <v>281</v>
      </c>
    </row>
    <row r="93" spans="1:2">
      <c r="A93" s="88" t="s">
        <v>282</v>
      </c>
      <c r="B93" s="89" t="s">
        <v>283</v>
      </c>
    </row>
    <row r="94" spans="1:2">
      <c r="A94" s="87" t="s">
        <v>284</v>
      </c>
      <c r="B94" s="84" t="s">
        <v>285</v>
      </c>
    </row>
    <row r="95" spans="1:2">
      <c r="A95" s="88" t="s">
        <v>286</v>
      </c>
      <c r="B95" s="89" t="s">
        <v>287</v>
      </c>
    </row>
    <row r="96" spans="1:2">
      <c r="A96" s="87" t="s">
        <v>288</v>
      </c>
      <c r="B96" s="84" t="s">
        <v>289</v>
      </c>
    </row>
    <row r="97" spans="1:2">
      <c r="A97" s="88" t="s">
        <v>290</v>
      </c>
      <c r="B97" s="89" t="s">
        <v>291</v>
      </c>
    </row>
    <row r="98" spans="1:2" ht="51">
      <c r="A98" s="87" t="s">
        <v>292</v>
      </c>
      <c r="B98" s="84" t="s">
        <v>293</v>
      </c>
    </row>
    <row r="99" spans="1:2">
      <c r="A99" s="88" t="s">
        <v>294</v>
      </c>
      <c r="B99" s="89" t="s">
        <v>295</v>
      </c>
    </row>
    <row r="100" spans="1:2">
      <c r="A100" s="88" t="s">
        <v>296</v>
      </c>
      <c r="B100" s="89" t="s">
        <v>297</v>
      </c>
    </row>
    <row r="101" spans="1:2">
      <c r="A101" s="88" t="s">
        <v>298</v>
      </c>
      <c r="B101" s="89" t="s">
        <v>299</v>
      </c>
    </row>
    <row r="102" spans="1:2">
      <c r="A102" s="88" t="s">
        <v>300</v>
      </c>
      <c r="B102" s="89" t="s">
        <v>301</v>
      </c>
    </row>
    <row r="103" spans="1:2">
      <c r="A103" s="88" t="s">
        <v>302</v>
      </c>
      <c r="B103" s="89" t="s">
        <v>303</v>
      </c>
    </row>
    <row r="104" spans="1:2">
      <c r="A104" s="88" t="s">
        <v>304</v>
      </c>
      <c r="B104" s="89" t="s">
        <v>305</v>
      </c>
    </row>
    <row r="105" spans="1:2">
      <c r="A105" s="87" t="s">
        <v>306</v>
      </c>
      <c r="B105" s="84" t="s">
        <v>307</v>
      </c>
    </row>
    <row r="106" spans="1:2">
      <c r="A106" s="88" t="s">
        <v>308</v>
      </c>
      <c r="B106" s="89" t="s">
        <v>309</v>
      </c>
    </row>
  </sheetData>
  <autoFilter ref="A1:B106" xr:uid="{00000000-0009-0000-0000-000003000000}"/>
  <conditionalFormatting sqref="A1:B1048576">
    <cfRule type="duplicateValues" dxfId="59"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B40"/>
  <sheetViews>
    <sheetView zoomScale="70" zoomScaleNormal="70" workbookViewId="0">
      <selection activeCell="C9" sqref="C9"/>
    </sheetView>
  </sheetViews>
  <sheetFormatPr defaultRowHeight="15"/>
  <cols>
    <col min="1" max="1" width="37.7109375" style="8" bestFit="1" customWidth="1"/>
    <col min="2" max="2" width="14.85546875" style="8" customWidth="1"/>
    <col min="3" max="3" width="17.28515625" style="8" bestFit="1" customWidth="1"/>
    <col min="4" max="4" width="34.85546875" style="8" customWidth="1"/>
    <col min="5" max="5" width="14.28515625" style="8" bestFit="1" customWidth="1"/>
    <col min="6" max="6" width="15.7109375" style="8" bestFit="1" customWidth="1"/>
    <col min="7" max="7" width="24" style="8" customWidth="1"/>
    <col min="8" max="8" width="14.28515625" style="8" bestFit="1" customWidth="1"/>
    <col min="9" max="9" width="15.7109375" style="8" bestFit="1" customWidth="1"/>
    <col min="10" max="10" width="27.42578125" style="8" bestFit="1" customWidth="1"/>
    <col min="11" max="11" width="14.28515625" style="8" bestFit="1" customWidth="1"/>
    <col min="12" max="12" width="15.7109375" style="8" bestFit="1" customWidth="1"/>
    <col min="13" max="13" width="27.85546875" style="8" bestFit="1" customWidth="1"/>
    <col min="14" max="14" width="14.28515625" style="8" bestFit="1" customWidth="1"/>
    <col min="15" max="15" width="15.7109375" style="8" bestFit="1" customWidth="1"/>
    <col min="16" max="16" width="2.140625" style="8" customWidth="1"/>
    <col min="17" max="17" width="30.7109375" style="8" customWidth="1"/>
    <col min="18" max="18" width="8.7109375" style="8" customWidth="1"/>
    <col min="19" max="19" width="3" style="8" customWidth="1"/>
    <col min="20" max="20" width="30.7109375" style="8" customWidth="1"/>
    <col min="21" max="21" width="8.7109375" style="8" customWidth="1"/>
    <col min="22" max="22" width="3.42578125" style="8" customWidth="1"/>
    <col min="23" max="23" width="30.7109375" style="8" customWidth="1"/>
    <col min="24" max="24" width="8.7109375" style="8" customWidth="1"/>
    <col min="25" max="25" width="4.140625" style="8" customWidth="1"/>
    <col min="26" max="26" width="30.7109375" style="8" customWidth="1"/>
    <col min="27" max="27" width="8.7109375" style="8" customWidth="1"/>
    <col min="28" max="16384" width="9.140625" style="8"/>
  </cols>
  <sheetData>
    <row r="1" spans="1:28">
      <c r="A1" s="227" t="s">
        <v>310</v>
      </c>
      <c r="B1" s="227"/>
      <c r="C1" s="227"/>
      <c r="D1" s="227"/>
      <c r="E1" s="227"/>
      <c r="F1" s="227"/>
      <c r="G1" s="227"/>
      <c r="H1" s="227"/>
      <c r="I1" s="227"/>
      <c r="J1" s="227"/>
      <c r="K1" s="227"/>
      <c r="L1" s="227"/>
      <c r="M1" s="227"/>
      <c r="N1" s="227"/>
      <c r="O1" s="227"/>
      <c r="P1" s="227"/>
      <c r="Q1" s="227"/>
      <c r="R1" s="227"/>
      <c r="S1" s="227"/>
      <c r="T1" s="227"/>
      <c r="U1" s="227"/>
      <c r="V1" s="227"/>
      <c r="W1" s="227"/>
      <c r="X1" s="227"/>
      <c r="Y1" s="227"/>
      <c r="Z1" s="227"/>
      <c r="AA1" s="227"/>
      <c r="AB1" s="10"/>
    </row>
    <row r="2" spans="1:28" ht="15" customHeight="1">
      <c r="A2" s="227"/>
      <c r="B2" s="227"/>
      <c r="C2" s="227"/>
      <c r="D2" s="227"/>
      <c r="E2" s="227"/>
      <c r="F2" s="227"/>
      <c r="G2" s="227"/>
      <c r="H2" s="227"/>
      <c r="I2" s="227"/>
      <c r="J2" s="227"/>
      <c r="K2" s="227"/>
      <c r="L2" s="227"/>
      <c r="M2" s="227"/>
      <c r="N2" s="227"/>
      <c r="O2" s="227"/>
      <c r="P2" s="227"/>
      <c r="Q2" s="227"/>
      <c r="R2" s="227"/>
      <c r="S2" s="227"/>
      <c r="T2" s="227"/>
      <c r="U2" s="227"/>
      <c r="V2" s="227"/>
      <c r="W2" s="227"/>
      <c r="X2" s="227"/>
      <c r="Y2" s="227"/>
      <c r="Z2" s="227"/>
      <c r="AA2" s="227"/>
      <c r="AB2" s="10"/>
    </row>
    <row r="3" spans="1:28" ht="15" customHeight="1">
      <c r="A3" s="11"/>
      <c r="B3" s="11"/>
      <c r="C3" s="11"/>
      <c r="D3" s="11"/>
      <c r="E3" s="11"/>
      <c r="F3" s="11"/>
      <c r="G3" s="11"/>
      <c r="H3" s="11"/>
      <c r="I3" s="11"/>
      <c r="J3" s="11"/>
      <c r="K3" s="11"/>
      <c r="L3" s="11"/>
      <c r="M3" s="11"/>
      <c r="N3" s="11"/>
      <c r="O3" s="11"/>
      <c r="P3" s="11"/>
      <c r="Q3" s="11"/>
      <c r="R3" s="11"/>
      <c r="S3" s="11"/>
      <c r="T3" s="11"/>
      <c r="U3" s="11"/>
      <c r="V3" s="10"/>
      <c r="W3" s="10"/>
      <c r="X3" s="10"/>
      <c r="Y3" s="10"/>
      <c r="Z3" s="10"/>
      <c r="AA3" s="10"/>
      <c r="AB3" s="10"/>
    </row>
    <row r="4" spans="1:28" ht="28.5">
      <c r="A4" s="12" t="s">
        <v>71</v>
      </c>
      <c r="B4" s="79" t="s">
        <v>311</v>
      </c>
      <c r="C4" s="79" t="s">
        <v>312</v>
      </c>
      <c r="D4" s="11"/>
      <c r="E4" s="11"/>
      <c r="F4" s="11"/>
      <c r="G4" s="11"/>
      <c r="H4" s="11"/>
      <c r="I4" s="11"/>
      <c r="J4" s="11"/>
      <c r="K4" s="11"/>
      <c r="L4" s="11"/>
      <c r="M4" s="10"/>
      <c r="N4" s="10"/>
      <c r="O4" s="11"/>
      <c r="P4" s="10"/>
      <c r="Q4" s="10"/>
      <c r="R4" s="11"/>
      <c r="S4" s="11"/>
      <c r="T4" s="11"/>
      <c r="U4" s="10"/>
      <c r="V4" s="10"/>
      <c r="W4" s="10"/>
      <c r="X4" s="10"/>
      <c r="Y4" s="10"/>
      <c r="Z4" s="10"/>
      <c r="AA4" s="10"/>
    </row>
    <row r="5" spans="1:28">
      <c r="A5" s="13" t="s">
        <v>313</v>
      </c>
      <c r="B5" s="14">
        <f>COUNTIF('Product-Requirement'!L:L,"System_Design")</f>
        <v>1564</v>
      </c>
      <c r="C5" s="41">
        <f>COUNTIF('Unique Requirements'!J:J,"System_Design")</f>
        <v>153</v>
      </c>
      <c r="D5" s="11"/>
      <c r="E5" s="11"/>
      <c r="F5" s="11"/>
      <c r="G5" s="11"/>
      <c r="H5" s="11"/>
      <c r="I5" s="11"/>
      <c r="J5" s="11"/>
      <c r="K5" s="11"/>
      <c r="L5" s="11"/>
      <c r="M5" s="10"/>
      <c r="N5" s="10"/>
      <c r="O5" s="11"/>
      <c r="P5" s="10"/>
      <c r="Q5" s="10"/>
      <c r="R5" s="11"/>
      <c r="S5" s="11"/>
      <c r="T5" s="11"/>
      <c r="U5" s="10"/>
      <c r="V5" s="10"/>
      <c r="W5" s="10"/>
      <c r="X5" s="10"/>
      <c r="Y5" s="10"/>
      <c r="Z5" s="10"/>
      <c r="AA5" s="10"/>
    </row>
    <row r="6" spans="1:28">
      <c r="A6" s="13" t="s">
        <v>314</v>
      </c>
      <c r="B6" s="14">
        <f>COUNTIF('Product-Requirement'!L:L,"Infrastructure&amp;Network")</f>
        <v>271</v>
      </c>
      <c r="C6" s="41">
        <f>COUNTIF('Unique Requirements'!J:J,"Infrastructure&amp;Network")</f>
        <v>27</v>
      </c>
      <c r="D6" s="11"/>
      <c r="E6" s="11"/>
      <c r="F6" s="11"/>
      <c r="G6" s="11"/>
      <c r="H6" s="11"/>
      <c r="I6" s="11"/>
      <c r="J6" s="11"/>
      <c r="K6" s="11"/>
      <c r="L6" s="11"/>
      <c r="M6" s="10"/>
      <c r="N6" s="10"/>
      <c r="O6" s="11"/>
      <c r="P6" s="10"/>
      <c r="Q6" s="10"/>
      <c r="R6" s="11"/>
      <c r="S6" s="11"/>
      <c r="T6" s="11"/>
      <c r="U6" s="10"/>
      <c r="V6" s="10"/>
      <c r="W6" s="10"/>
      <c r="X6" s="10"/>
      <c r="Y6" s="10"/>
      <c r="Z6" s="10"/>
      <c r="AA6" s="10"/>
    </row>
    <row r="7" spans="1:28">
      <c r="A7" s="13" t="s">
        <v>315</v>
      </c>
      <c r="B7" s="41">
        <f>COUNTIF('Product-Requirement'!L:L,"Wireless")</f>
        <v>176</v>
      </c>
      <c r="C7" s="41">
        <f>COUNTIF('Unique Requirements'!J:J,"Wireless")</f>
        <v>33</v>
      </c>
      <c r="D7" s="11"/>
      <c r="E7" s="11"/>
      <c r="F7" s="11"/>
      <c r="G7" s="11"/>
      <c r="H7" s="11"/>
      <c r="I7" s="11"/>
      <c r="J7" s="11"/>
      <c r="K7" s="11"/>
      <c r="L7" s="11"/>
      <c r="M7" s="10"/>
      <c r="N7" s="10"/>
      <c r="O7" s="11"/>
      <c r="P7" s="10"/>
      <c r="Q7" s="10"/>
      <c r="R7" s="11"/>
      <c r="S7" s="11"/>
      <c r="T7" s="11"/>
      <c r="U7" s="10"/>
      <c r="V7" s="10"/>
      <c r="W7" s="10"/>
      <c r="X7" s="10"/>
      <c r="Y7" s="10"/>
      <c r="Z7" s="10"/>
      <c r="AA7" s="10"/>
    </row>
    <row r="8" spans="1:28">
      <c r="A8" s="13" t="s">
        <v>316</v>
      </c>
      <c r="B8" s="41">
        <f>COUNTIF('Product-Requirement'!L:L,"Cloud")</f>
        <v>11</v>
      </c>
      <c r="C8" s="41">
        <f>COUNTIF('Unique Requirements'!J:J,"Cloud")</f>
        <v>4</v>
      </c>
      <c r="D8" s="11"/>
      <c r="E8" s="11"/>
      <c r="F8" s="11"/>
      <c r="G8" s="11"/>
      <c r="H8" s="11"/>
      <c r="I8" s="11"/>
      <c r="J8" s="11"/>
      <c r="K8" s="11"/>
      <c r="L8" s="11"/>
      <c r="M8" s="10"/>
      <c r="N8" s="10"/>
      <c r="O8" s="11"/>
      <c r="P8" s="10"/>
      <c r="Q8" s="10"/>
      <c r="R8" s="11"/>
      <c r="S8" s="11"/>
      <c r="T8" s="11"/>
      <c r="U8" s="10"/>
      <c r="V8" s="10"/>
      <c r="W8" s="10"/>
      <c r="X8" s="10"/>
      <c r="Y8" s="10"/>
      <c r="Z8" s="10"/>
      <c r="AA8" s="10"/>
    </row>
    <row r="9" spans="1:28" ht="15" customHeight="1">
      <c r="A9" s="15" t="s">
        <v>317</v>
      </c>
      <c r="B9" s="16">
        <f>SUM(B5:B8)</f>
        <v>2022</v>
      </c>
      <c r="C9" s="16">
        <f>SUM(C5:C8)</f>
        <v>217</v>
      </c>
      <c r="D9" s="11"/>
      <c r="E9" s="11"/>
      <c r="F9" s="11"/>
      <c r="G9" s="11"/>
      <c r="H9" s="11"/>
      <c r="I9" s="11"/>
      <c r="J9" s="11"/>
      <c r="K9" s="11"/>
      <c r="L9" s="11"/>
      <c r="M9" s="10"/>
      <c r="N9" s="10"/>
      <c r="O9" s="11"/>
      <c r="R9" s="11"/>
      <c r="S9" s="11"/>
      <c r="T9" s="11"/>
      <c r="U9" s="10"/>
      <c r="V9" s="10"/>
      <c r="W9" s="10"/>
      <c r="X9" s="10"/>
      <c r="Y9" s="10"/>
      <c r="Z9" s="10"/>
      <c r="AA9" s="10"/>
    </row>
    <row r="10" spans="1:28">
      <c r="A10" s="17"/>
      <c r="B10" s="17"/>
      <c r="C10" s="17"/>
      <c r="D10" s="17"/>
      <c r="E10" s="17"/>
      <c r="F10" s="17"/>
      <c r="G10" s="17"/>
      <c r="H10" s="17"/>
      <c r="I10" s="17"/>
      <c r="J10" s="17"/>
      <c r="K10" s="17"/>
      <c r="L10" s="17"/>
      <c r="M10" s="17"/>
      <c r="N10" s="10"/>
      <c r="O10" s="10"/>
      <c r="P10" s="10"/>
      <c r="Q10" s="10"/>
      <c r="R10" s="10"/>
      <c r="S10" s="10"/>
      <c r="T10" s="10"/>
      <c r="U10" s="10"/>
      <c r="V10" s="10"/>
      <c r="W10" s="10"/>
      <c r="X10" s="10"/>
      <c r="Y10" s="10"/>
      <c r="Z10" s="10"/>
      <c r="AA10" s="10"/>
      <c r="AB10" s="10"/>
    </row>
    <row r="11" spans="1:28">
      <c r="A11" s="17"/>
      <c r="B11" s="17"/>
      <c r="C11" s="17"/>
      <c r="D11" s="17"/>
      <c r="E11" s="17"/>
      <c r="F11" s="17"/>
      <c r="G11" s="17"/>
      <c r="H11" s="17"/>
      <c r="I11" s="17"/>
      <c r="J11" s="17"/>
      <c r="K11" s="17"/>
      <c r="L11" s="17"/>
      <c r="M11" s="17"/>
      <c r="N11" s="10"/>
      <c r="O11" s="10"/>
      <c r="P11" s="10"/>
      <c r="Q11" s="10"/>
      <c r="R11" s="10"/>
      <c r="S11" s="10"/>
      <c r="T11" s="10"/>
      <c r="U11" s="10"/>
      <c r="V11" s="10"/>
      <c r="W11" s="10"/>
      <c r="X11" s="10"/>
      <c r="Y11" s="10"/>
      <c r="Z11" s="10"/>
      <c r="AA11" s="10"/>
      <c r="AB11" s="10"/>
    </row>
    <row r="12" spans="1:28" ht="34.5" customHeight="1">
      <c r="A12" s="12" t="s">
        <v>65</v>
      </c>
      <c r="B12" s="79" t="s">
        <v>311</v>
      </c>
      <c r="C12" s="79" t="s">
        <v>312</v>
      </c>
      <c r="D12" s="17"/>
      <c r="E12" s="17"/>
      <c r="F12" s="17"/>
      <c r="G12" s="17"/>
      <c r="H12" s="17"/>
      <c r="I12" s="17"/>
      <c r="J12" s="17"/>
      <c r="K12" s="17"/>
      <c r="L12" s="17"/>
      <c r="M12" s="17"/>
      <c r="N12" s="10"/>
      <c r="O12" s="10"/>
      <c r="P12" s="10"/>
      <c r="Q12" s="10"/>
      <c r="R12" s="10"/>
      <c r="S12" s="10"/>
      <c r="T12" s="10"/>
      <c r="U12" s="10"/>
      <c r="V12" s="10"/>
      <c r="W12" s="10"/>
      <c r="X12" s="10"/>
      <c r="Y12" s="10"/>
      <c r="Z12" s="10"/>
      <c r="AA12" s="10"/>
      <c r="AB12" s="10"/>
    </row>
    <row r="13" spans="1:28" ht="15.75">
      <c r="A13" s="78" t="s">
        <v>318</v>
      </c>
      <c r="B13" s="14">
        <f>B28</f>
        <v>14</v>
      </c>
      <c r="C13" s="41">
        <f>C28</f>
        <v>3</v>
      </c>
      <c r="D13" s="17"/>
      <c r="E13" s="17"/>
      <c r="F13" s="17"/>
      <c r="G13" s="17"/>
      <c r="H13" s="17"/>
      <c r="I13" s="17"/>
      <c r="J13" s="17"/>
      <c r="K13" s="17"/>
      <c r="L13" s="17"/>
      <c r="M13" s="17"/>
      <c r="N13" s="10"/>
      <c r="O13" s="10"/>
      <c r="P13" s="10"/>
      <c r="Q13" s="10"/>
      <c r="R13" s="10"/>
      <c r="S13" s="10"/>
      <c r="T13" s="10"/>
      <c r="U13" s="10"/>
      <c r="V13" s="10"/>
      <c r="W13" s="10"/>
      <c r="X13" s="10"/>
      <c r="Y13" s="10"/>
      <c r="Z13" s="10"/>
      <c r="AA13" s="10"/>
      <c r="AB13" s="10"/>
    </row>
    <row r="14" spans="1:28" ht="15.75">
      <c r="A14" s="78" t="s">
        <v>319</v>
      </c>
      <c r="B14" s="14">
        <f>E28</f>
        <v>1897</v>
      </c>
      <c r="C14" s="41">
        <f>F28</f>
        <v>201</v>
      </c>
      <c r="D14" s="17"/>
      <c r="E14" s="17"/>
      <c r="F14" s="17"/>
      <c r="G14" s="17"/>
      <c r="H14" s="17"/>
      <c r="I14" s="17"/>
      <c r="J14" s="17"/>
      <c r="K14" s="17"/>
      <c r="L14" s="17"/>
      <c r="M14" s="17"/>
      <c r="N14" s="10"/>
      <c r="O14" s="10"/>
      <c r="P14" s="10"/>
      <c r="Q14" s="10"/>
      <c r="R14" s="10"/>
      <c r="S14" s="10"/>
      <c r="T14" s="10"/>
      <c r="U14" s="10"/>
      <c r="V14" s="10"/>
      <c r="W14" s="10"/>
      <c r="X14" s="10"/>
      <c r="Y14" s="10"/>
      <c r="Z14" s="10"/>
      <c r="AA14" s="10"/>
      <c r="AB14" s="10"/>
    </row>
    <row r="15" spans="1:28" ht="15.75">
      <c r="A15" s="78" t="s">
        <v>320</v>
      </c>
      <c r="B15" s="14">
        <f>H28</f>
        <v>111</v>
      </c>
      <c r="C15" s="41">
        <f>I28</f>
        <v>13</v>
      </c>
      <c r="D15" s="17"/>
      <c r="E15" s="17"/>
      <c r="F15" s="17"/>
      <c r="G15" s="17"/>
      <c r="H15" s="17"/>
      <c r="I15" s="17"/>
      <c r="J15" s="17"/>
      <c r="K15" s="17"/>
      <c r="L15" s="17"/>
      <c r="M15" s="17"/>
      <c r="N15" s="10"/>
      <c r="O15" s="10"/>
      <c r="P15" s="10"/>
      <c r="Q15" s="10"/>
      <c r="R15" s="10"/>
      <c r="S15" s="10"/>
      <c r="T15" s="10"/>
      <c r="U15" s="10"/>
      <c r="V15" s="10"/>
      <c r="W15" s="10"/>
      <c r="X15" s="10"/>
      <c r="Y15" s="10"/>
      <c r="Z15" s="10"/>
      <c r="AA15" s="10"/>
      <c r="AB15" s="10"/>
    </row>
    <row r="16" spans="1:28" ht="15.75">
      <c r="A16" s="78" t="s">
        <v>321</v>
      </c>
      <c r="B16" s="14">
        <f>K35</f>
        <v>0</v>
      </c>
      <c r="C16" s="41">
        <f>L35</f>
        <v>0</v>
      </c>
      <c r="D16" s="17"/>
      <c r="E16" s="17"/>
      <c r="F16" s="17"/>
      <c r="G16" s="17"/>
      <c r="H16" s="17"/>
      <c r="I16" s="17"/>
      <c r="J16" s="17"/>
      <c r="K16" s="17"/>
      <c r="L16" s="17"/>
      <c r="M16" s="17"/>
      <c r="N16" s="10"/>
      <c r="O16" s="10"/>
      <c r="P16" s="10"/>
      <c r="Q16" s="10"/>
      <c r="R16" s="10"/>
      <c r="S16" s="10"/>
      <c r="T16" s="10"/>
      <c r="U16" s="10"/>
      <c r="V16" s="10"/>
      <c r="W16" s="10"/>
      <c r="X16" s="10"/>
      <c r="Y16" s="10"/>
      <c r="Z16" s="10"/>
      <c r="AA16" s="10"/>
      <c r="AB16" s="10"/>
    </row>
    <row r="17" spans="1:28" ht="15.75">
      <c r="A17" s="78" t="s">
        <v>322</v>
      </c>
      <c r="B17" s="14">
        <f>N28</f>
        <v>0</v>
      </c>
      <c r="C17" s="41">
        <f>O28</f>
        <v>0</v>
      </c>
      <c r="D17" s="17"/>
      <c r="E17" s="17"/>
      <c r="F17" s="17"/>
      <c r="G17" s="17"/>
      <c r="H17" s="17"/>
      <c r="I17" s="17"/>
      <c r="J17" s="17"/>
      <c r="K17" s="17"/>
      <c r="L17" s="17"/>
      <c r="M17" s="17"/>
      <c r="N17" s="10"/>
      <c r="O17" s="10"/>
      <c r="P17" s="10"/>
      <c r="Q17" s="10"/>
      <c r="R17" s="10"/>
      <c r="S17" s="10"/>
      <c r="T17" s="10"/>
      <c r="U17" s="10"/>
      <c r="V17" s="10"/>
      <c r="W17" s="10"/>
      <c r="X17" s="10"/>
      <c r="Y17" s="10"/>
      <c r="Z17" s="10"/>
      <c r="AA17" s="10"/>
      <c r="AB17" s="10"/>
    </row>
    <row r="18" spans="1:28">
      <c r="A18" s="15" t="s">
        <v>317</v>
      </c>
      <c r="B18" s="16">
        <f>SUM(B13:B17)</f>
        <v>2022</v>
      </c>
      <c r="C18" s="16">
        <f>SUM(C13:C17)</f>
        <v>217</v>
      </c>
      <c r="D18" s="17"/>
      <c r="E18" s="17"/>
      <c r="F18" s="17"/>
      <c r="G18" s="17"/>
      <c r="H18" s="17"/>
      <c r="I18" s="17"/>
      <c r="J18" s="17"/>
      <c r="K18" s="17"/>
      <c r="L18" s="17"/>
      <c r="M18" s="17"/>
      <c r="N18" s="10"/>
      <c r="O18" s="10"/>
      <c r="P18" s="10"/>
      <c r="Q18" s="10"/>
      <c r="R18" s="10"/>
      <c r="S18" s="10"/>
      <c r="T18" s="10"/>
      <c r="U18" s="10"/>
      <c r="V18" s="10"/>
      <c r="W18" s="10"/>
      <c r="X18" s="10"/>
      <c r="Y18" s="10"/>
      <c r="Z18" s="10"/>
      <c r="AA18" s="10"/>
      <c r="AB18" s="10"/>
    </row>
    <row r="19" spans="1:28">
      <c r="A19" s="17"/>
      <c r="B19" s="17"/>
      <c r="C19" s="17"/>
      <c r="D19" s="17"/>
      <c r="E19" s="17"/>
      <c r="F19" s="17"/>
      <c r="G19" s="17"/>
      <c r="H19" s="17"/>
      <c r="I19" s="17"/>
      <c r="J19" s="17"/>
      <c r="K19" s="17"/>
      <c r="L19" s="17"/>
      <c r="M19" s="17"/>
      <c r="N19" s="10"/>
      <c r="O19" s="10"/>
      <c r="P19" s="10"/>
      <c r="Q19" s="10"/>
      <c r="R19" s="10"/>
      <c r="S19" s="10"/>
      <c r="T19" s="10"/>
      <c r="U19" s="10"/>
      <c r="V19" s="10"/>
      <c r="W19" s="10"/>
      <c r="X19" s="10"/>
      <c r="Y19" s="10"/>
      <c r="Z19" s="10"/>
      <c r="AA19" s="10"/>
      <c r="AB19" s="10"/>
    </row>
    <row r="20" spans="1:28">
      <c r="A20" s="17"/>
      <c r="B20" s="17"/>
      <c r="C20" s="17"/>
      <c r="D20" s="17"/>
      <c r="E20" s="17"/>
      <c r="F20" s="17"/>
      <c r="G20" s="17"/>
      <c r="H20" s="17"/>
      <c r="I20" s="17"/>
      <c r="J20" s="17"/>
      <c r="K20" s="17"/>
      <c r="L20" s="17"/>
      <c r="M20" s="17"/>
      <c r="N20" s="10"/>
      <c r="O20" s="10"/>
      <c r="P20" s="10"/>
      <c r="Q20" s="10"/>
      <c r="R20" s="10"/>
      <c r="S20" s="10"/>
      <c r="T20" s="10"/>
      <c r="U20" s="10"/>
      <c r="V20" s="10"/>
      <c r="W20" s="10"/>
      <c r="X20" s="10"/>
      <c r="Y20" s="10"/>
      <c r="Z20" s="10"/>
      <c r="AA20" s="10"/>
      <c r="AB20" s="10"/>
    </row>
    <row r="21" spans="1:28" s="21" customFormat="1" ht="14.25">
      <c r="A21" s="19" t="s">
        <v>323</v>
      </c>
      <c r="B21" s="19" t="s">
        <v>324</v>
      </c>
      <c r="C21" s="19" t="s">
        <v>325</v>
      </c>
      <c r="D21" s="20" t="s">
        <v>326</v>
      </c>
      <c r="E21" s="19" t="s">
        <v>324</v>
      </c>
      <c r="F21" s="19" t="s">
        <v>325</v>
      </c>
      <c r="G21" s="20" t="s">
        <v>327</v>
      </c>
      <c r="H21" s="19" t="s">
        <v>324</v>
      </c>
      <c r="I21" s="19" t="s">
        <v>325</v>
      </c>
      <c r="J21" s="19" t="s">
        <v>328</v>
      </c>
      <c r="K21" s="19" t="s">
        <v>324</v>
      </c>
      <c r="L21" s="19" t="s">
        <v>325</v>
      </c>
      <c r="M21" s="19" t="s">
        <v>329</v>
      </c>
      <c r="N21" s="19" t="s">
        <v>324</v>
      </c>
      <c r="O21" s="19" t="s">
        <v>325</v>
      </c>
      <c r="P21" s="18"/>
      <c r="Q21" s="18"/>
      <c r="R21" s="18"/>
      <c r="S21" s="18"/>
      <c r="T21" s="18"/>
      <c r="U21" s="18"/>
      <c r="V21" s="18"/>
      <c r="W21" s="18"/>
      <c r="X21" s="18"/>
      <c r="Y21" s="18"/>
      <c r="Z21" s="18"/>
      <c r="AA21" s="18"/>
      <c r="AB21" s="18"/>
    </row>
    <row r="22" spans="1:28" ht="30">
      <c r="A22" s="22" t="s">
        <v>330</v>
      </c>
      <c r="B22" s="23">
        <f>COUNTIF('Product-Requirement'!$J:$J,'Summary-Product-Requirement'!A22)</f>
        <v>14</v>
      </c>
      <c r="C22" s="23">
        <f>COUNTIF('Unique Requirements'!$H:$H,'Summary-Product-Requirement'!A22)</f>
        <v>3</v>
      </c>
      <c r="D22" s="22" t="s">
        <v>331</v>
      </c>
      <c r="E22" s="23">
        <f>COUNTIF('Product-Requirement'!$J:$J,'Summary-Product-Requirement'!D22)</f>
        <v>769</v>
      </c>
      <c r="F22" s="23">
        <f>COUNTIF('Unique Requirements'!$H:$H,'Summary-Product-Requirement'!D22)</f>
        <v>78</v>
      </c>
      <c r="G22" s="22" t="s">
        <v>332</v>
      </c>
      <c r="H22" s="23">
        <f>COUNTIF('Product-Requirement'!$J:$J,'Summary-Product-Requirement'!G22)</f>
        <v>5</v>
      </c>
      <c r="I22" s="23">
        <f>COUNTIF('Unique Requirements'!$H:$H,'Summary-Product-Requirement'!G22)</f>
        <v>1</v>
      </c>
      <c r="J22" s="22" t="s">
        <v>333</v>
      </c>
      <c r="K22" s="23">
        <f>COUNTIF('Product-Requirement'!$J:$J,'Summary-Product-Requirement'!J22)</f>
        <v>0</v>
      </c>
      <c r="L22" s="23">
        <f>COUNTIF('Unique Requirements'!$H:$H,'Summary-Product-Requirement'!J22)</f>
        <v>0</v>
      </c>
      <c r="M22" s="22" t="s">
        <v>334</v>
      </c>
      <c r="N22" s="23">
        <f>COUNTIF('Product-Requirement'!$J:$J,'Summary-Product-Requirement'!M22)</f>
        <v>0</v>
      </c>
      <c r="O22" s="23">
        <f>COUNTIF('Unique Requirements'!$H:$H,'Summary-Product-Requirement'!M22)</f>
        <v>0</v>
      </c>
      <c r="P22" s="10"/>
      <c r="Q22" s="11"/>
      <c r="R22" s="11"/>
      <c r="S22" s="11"/>
      <c r="T22" s="11"/>
      <c r="U22" s="11"/>
      <c r="V22" s="11"/>
      <c r="W22" s="11"/>
      <c r="X22" s="10"/>
      <c r="Y22" s="10"/>
      <c r="Z22" s="10"/>
      <c r="AA22" s="10"/>
      <c r="AB22" s="10"/>
    </row>
    <row r="23" spans="1:28" ht="30">
      <c r="A23" s="22" t="s">
        <v>335</v>
      </c>
      <c r="B23" s="23">
        <f>COUNTIF('Product-Requirement'!$J:$J,'Summary-Product-Requirement'!A23)</f>
        <v>0</v>
      </c>
      <c r="C23" s="23">
        <f>COUNTIF('Unique Requirements'!$H:$H,'Summary-Product-Requirement'!A23)</f>
        <v>0</v>
      </c>
      <c r="D23" s="22" t="s">
        <v>336</v>
      </c>
      <c r="E23" s="23">
        <f>COUNTIF('Product-Requirement'!$J:$J,'Summary-Product-Requirement'!D23)</f>
        <v>0</v>
      </c>
      <c r="F23" s="23">
        <f>COUNTIF('Unique Requirements'!$H:$H,'Summary-Product-Requirement'!D23)</f>
        <v>0</v>
      </c>
      <c r="G23" s="22" t="s">
        <v>337</v>
      </c>
      <c r="H23" s="23">
        <f>COUNTIF('Product-Requirement'!$J:$J,'Summary-Product-Requirement'!G23)</f>
        <v>88</v>
      </c>
      <c r="I23" s="23">
        <f>COUNTIF('Unique Requirements'!$H:$H,'Summary-Product-Requirement'!G23)</f>
        <v>11</v>
      </c>
      <c r="J23" s="22" t="s">
        <v>338</v>
      </c>
      <c r="K23" s="23">
        <f>COUNTIF('Product-Requirement'!$J:$J,'Summary-Product-Requirement'!J23)</f>
        <v>0</v>
      </c>
      <c r="L23" s="23">
        <f>COUNTIF('Unique Requirements'!$H:$H,'Summary-Product-Requirement'!J23)</f>
        <v>0</v>
      </c>
      <c r="M23" s="22" t="s">
        <v>339</v>
      </c>
      <c r="N23" s="23">
        <f>COUNTIF('Product-Requirement'!$J:$J,'Summary-Product-Requirement'!M23)</f>
        <v>0</v>
      </c>
      <c r="O23" s="23">
        <f>COUNTIF('Unique Requirements'!$H:$H,'Summary-Product-Requirement'!M23)</f>
        <v>0</v>
      </c>
      <c r="P23" s="10"/>
      <c r="Q23" s="11"/>
      <c r="R23" s="11"/>
      <c r="S23" s="11"/>
      <c r="T23" s="11"/>
      <c r="U23" s="11"/>
      <c r="V23" s="11"/>
      <c r="W23" s="11"/>
      <c r="X23" s="10"/>
      <c r="Y23" s="10"/>
      <c r="Z23" s="10"/>
      <c r="AA23" s="10"/>
      <c r="AB23" s="10"/>
    </row>
    <row r="24" spans="1:28">
      <c r="A24" s="22" t="s">
        <v>340</v>
      </c>
      <c r="B24" s="23">
        <f>COUNTIF('Product-Requirement'!$J:$J,'Summary-Product-Requirement'!A24)</f>
        <v>0</v>
      </c>
      <c r="C24" s="23">
        <f>COUNTIF('Unique Requirements'!$H:$H,'Summary-Product-Requirement'!A24)</f>
        <v>0</v>
      </c>
      <c r="D24" s="22" t="s">
        <v>341</v>
      </c>
      <c r="E24" s="23">
        <f>COUNTIF('Product-Requirement'!$J:$J,'Summary-Product-Requirement'!D24)</f>
        <v>338</v>
      </c>
      <c r="F24" s="23">
        <f>COUNTIF('Unique Requirements'!$H:$H,'Summary-Product-Requirement'!D24)</f>
        <v>36</v>
      </c>
      <c r="G24" s="22" t="s">
        <v>342</v>
      </c>
      <c r="H24" s="23">
        <f>COUNTIF('Product-Requirement'!$J:$J,'Summary-Product-Requirement'!G24)</f>
        <v>18</v>
      </c>
      <c r="I24" s="23">
        <f>COUNTIF('Unique Requirements'!$H:$H,'Summary-Product-Requirement'!G24)</f>
        <v>1</v>
      </c>
      <c r="J24" s="22" t="s">
        <v>343</v>
      </c>
      <c r="K24" s="23">
        <f>COUNTIF('Product-Requirement'!$J:$J,'Summary-Product-Requirement'!J24)</f>
        <v>0</v>
      </c>
      <c r="L24" s="23">
        <f>COUNTIF('Unique Requirements'!$H:$H,'Summary-Product-Requirement'!J24)</f>
        <v>0</v>
      </c>
      <c r="M24" s="22" t="s">
        <v>344</v>
      </c>
      <c r="N24" s="23">
        <f>COUNTIF('Product-Requirement'!$J:$J,'Summary-Product-Requirement'!M24)</f>
        <v>0</v>
      </c>
      <c r="O24" s="23">
        <f>COUNTIF('Unique Requirements'!$H:$H,'Summary-Product-Requirement'!M24)</f>
        <v>0</v>
      </c>
      <c r="P24" s="10"/>
      <c r="Q24" s="11"/>
      <c r="R24" s="11"/>
      <c r="S24" s="11"/>
      <c r="T24" s="11"/>
      <c r="U24" s="11"/>
      <c r="V24" s="11"/>
      <c r="W24" s="11"/>
      <c r="X24" s="10"/>
      <c r="Y24" s="10"/>
      <c r="Z24" s="10"/>
      <c r="AA24" s="10"/>
      <c r="AB24" s="10"/>
    </row>
    <row r="25" spans="1:28" ht="30">
      <c r="A25" s="22" t="s">
        <v>345</v>
      </c>
      <c r="B25" s="23">
        <f>COUNTIF('Product-Requirement'!$J:$J,'Summary-Product-Requirement'!A25)</f>
        <v>0</v>
      </c>
      <c r="C25" s="23">
        <f>COUNTIF('Unique Requirements'!$H:$H,'Summary-Product-Requirement'!A25)</f>
        <v>0</v>
      </c>
      <c r="D25" s="22" t="s">
        <v>346</v>
      </c>
      <c r="E25" s="23">
        <f>COUNTIF('Product-Requirement'!$J:$J,'Summary-Product-Requirement'!D25)</f>
        <v>318</v>
      </c>
      <c r="F25" s="23">
        <f>COUNTIF('Unique Requirements'!$H:$H,'Summary-Product-Requirement'!D25)</f>
        <v>38</v>
      </c>
      <c r="G25" s="24"/>
      <c r="H25" s="25"/>
      <c r="I25" s="26"/>
      <c r="J25" s="22" t="s">
        <v>347</v>
      </c>
      <c r="K25" s="23">
        <f>COUNTIF('Product-Requirement'!$J:$J,'Summary-Product-Requirement'!J25)</f>
        <v>0</v>
      </c>
      <c r="L25" s="23">
        <f>COUNTIF('Unique Requirements'!$H:$H,'Summary-Product-Requirement'!J25)</f>
        <v>0</v>
      </c>
      <c r="M25" s="27"/>
      <c r="N25" s="25"/>
      <c r="O25" s="25"/>
      <c r="P25" s="10"/>
      <c r="Q25" s="11"/>
      <c r="R25" s="11"/>
      <c r="S25" s="11"/>
      <c r="T25" s="11"/>
      <c r="U25" s="11"/>
      <c r="V25" s="11"/>
      <c r="W25" s="11"/>
      <c r="X25" s="10"/>
      <c r="Y25" s="10"/>
      <c r="Z25" s="10"/>
      <c r="AA25" s="10"/>
      <c r="AB25" s="10"/>
    </row>
    <row r="26" spans="1:28">
      <c r="A26" s="22" t="s">
        <v>348</v>
      </c>
      <c r="B26" s="23">
        <f>COUNTIF('Product-Requirement'!$J:$J,'Summary-Product-Requirement'!A26)</f>
        <v>0</v>
      </c>
      <c r="C26" s="23">
        <f>COUNTIF('Unique Requirements'!$H:$H,'Summary-Product-Requirement'!A26)</f>
        <v>0</v>
      </c>
      <c r="D26" s="22" t="s">
        <v>349</v>
      </c>
      <c r="E26" s="23">
        <f>COUNTIF('Product-Requirement'!$J:$J,'Summary-Product-Requirement'!D26)</f>
        <v>62</v>
      </c>
      <c r="F26" s="23">
        <f>COUNTIF('Unique Requirements'!$H:$H,'Summary-Product-Requirement'!D26)</f>
        <v>8</v>
      </c>
      <c r="G26" s="24"/>
      <c r="H26" s="25"/>
      <c r="I26" s="26"/>
      <c r="J26" s="22" t="s">
        <v>350</v>
      </c>
      <c r="K26" s="23">
        <f>COUNTIF('Product-Requirement'!$J:$J,'Summary-Product-Requirement'!J26)</f>
        <v>0</v>
      </c>
      <c r="L26" s="23">
        <f>COUNTIF('Unique Requirements'!$H:$H,'Summary-Product-Requirement'!J26)</f>
        <v>0</v>
      </c>
      <c r="M26" s="27"/>
      <c r="N26" s="25"/>
      <c r="O26" s="25"/>
      <c r="P26" s="10"/>
      <c r="Q26" s="11"/>
      <c r="R26" s="11"/>
      <c r="S26" s="11"/>
      <c r="T26" s="11"/>
      <c r="U26" s="11"/>
      <c r="V26" s="11"/>
      <c r="W26" s="11"/>
      <c r="X26" s="10"/>
      <c r="Y26" s="10"/>
      <c r="Z26" s="10"/>
      <c r="AA26" s="10"/>
      <c r="AB26" s="10"/>
    </row>
    <row r="27" spans="1:28">
      <c r="A27" s="22" t="s">
        <v>351</v>
      </c>
      <c r="B27" s="23">
        <f>COUNTIF('Product-Requirement'!$J:$J,'Summary-Product-Requirement'!A27)</f>
        <v>0</v>
      </c>
      <c r="C27" s="23">
        <f>COUNTIF('Unique Requirements'!$H:$H,'Summary-Product-Requirement'!A27)</f>
        <v>0</v>
      </c>
      <c r="D27" s="28" t="s">
        <v>352</v>
      </c>
      <c r="E27" s="23">
        <f>COUNTIF('Product-Requirement'!$J:$J,'Summary-Product-Requirement'!D27)</f>
        <v>410</v>
      </c>
      <c r="F27" s="23">
        <f>COUNTIF('Unique Requirements'!$H:$H,'Summary-Product-Requirement'!D27)</f>
        <v>41</v>
      </c>
      <c r="G27" s="24"/>
      <c r="H27" s="25"/>
      <c r="I27" s="26"/>
      <c r="J27" s="22"/>
      <c r="K27" s="23"/>
      <c r="L27" s="23"/>
      <c r="M27" s="27"/>
      <c r="N27" s="25"/>
      <c r="O27" s="25"/>
      <c r="P27" s="10"/>
      <c r="Q27" s="11"/>
      <c r="R27" s="11"/>
      <c r="S27" s="11"/>
      <c r="T27" s="11"/>
      <c r="U27" s="11"/>
      <c r="V27" s="11"/>
      <c r="W27" s="11"/>
      <c r="X27" s="10"/>
      <c r="Y27" s="10"/>
      <c r="Z27" s="10"/>
      <c r="AA27" s="10"/>
      <c r="AB27" s="10"/>
    </row>
    <row r="28" spans="1:28">
      <c r="A28" s="29" t="s">
        <v>317</v>
      </c>
      <c r="B28" s="30">
        <f>SUM(B22:B27)</f>
        <v>14</v>
      </c>
      <c r="C28" s="30">
        <f>SUM(C22:C27)</f>
        <v>3</v>
      </c>
      <c r="D28" s="29" t="s">
        <v>317</v>
      </c>
      <c r="E28" s="30">
        <f>SUM(E22:E27)</f>
        <v>1897</v>
      </c>
      <c r="F28" s="30">
        <f>SUM(F22:F27)</f>
        <v>201</v>
      </c>
      <c r="G28" s="29" t="s">
        <v>317</v>
      </c>
      <c r="H28" s="31">
        <f>SUM(H22:H27)</f>
        <v>111</v>
      </c>
      <c r="I28" s="32">
        <f>SUM(I22:I27)</f>
        <v>13</v>
      </c>
      <c r="J28" s="29" t="s">
        <v>317</v>
      </c>
      <c r="K28" s="30">
        <f>SUM(K22:K27)</f>
        <v>0</v>
      </c>
      <c r="L28" s="30">
        <f>SUM(L22:L27)</f>
        <v>0</v>
      </c>
      <c r="M28" s="29" t="s">
        <v>317</v>
      </c>
      <c r="N28" s="30">
        <f>SUM(N22:N27)</f>
        <v>0</v>
      </c>
      <c r="O28" s="30">
        <f>SUM(O22:O27)</f>
        <v>0</v>
      </c>
      <c r="P28" s="10"/>
      <c r="Q28" s="11"/>
      <c r="R28" s="11"/>
      <c r="S28" s="11"/>
      <c r="T28" s="11"/>
      <c r="U28" s="11"/>
      <c r="V28" s="11"/>
      <c r="W28" s="11"/>
      <c r="X28" s="10"/>
      <c r="Y28" s="10"/>
      <c r="Z28" s="10"/>
      <c r="AA28" s="10"/>
      <c r="AB28" s="10"/>
    </row>
    <row r="29" spans="1:28">
      <c r="A29" s="33"/>
      <c r="B29" s="33"/>
      <c r="C29" s="18"/>
      <c r="D29" s="18"/>
      <c r="E29" s="18"/>
      <c r="F29" s="18"/>
      <c r="G29" s="18"/>
      <c r="H29" s="18"/>
      <c r="I29" s="18"/>
      <c r="J29" s="18"/>
      <c r="K29" s="18"/>
      <c r="L29" s="18"/>
      <c r="M29" s="18"/>
      <c r="N29" s="34"/>
      <c r="O29" s="10"/>
      <c r="P29" s="10"/>
      <c r="Q29" s="11"/>
      <c r="R29" s="11"/>
      <c r="S29" s="11"/>
      <c r="T29" s="11"/>
      <c r="U29" s="11"/>
      <c r="V29" s="11"/>
      <c r="W29" s="11"/>
      <c r="X29" s="10"/>
      <c r="Y29" s="10"/>
      <c r="Z29" s="10"/>
      <c r="AA29" s="10"/>
    </row>
    <row r="30" spans="1:28">
      <c r="A30" s="33"/>
      <c r="B30" s="33"/>
      <c r="C30" s="18"/>
      <c r="D30" s="18"/>
      <c r="E30" s="18"/>
      <c r="F30" s="18"/>
      <c r="G30" s="18"/>
      <c r="H30" s="18"/>
      <c r="I30" s="18"/>
      <c r="J30" s="18"/>
      <c r="K30" s="18"/>
      <c r="L30" s="18"/>
      <c r="M30" s="18"/>
      <c r="N30" s="34"/>
      <c r="O30" s="10"/>
      <c r="P30" s="10"/>
      <c r="Q30" s="11"/>
      <c r="R30" s="11"/>
      <c r="S30" s="11"/>
      <c r="T30" s="11"/>
      <c r="U30" s="11"/>
      <c r="V30" s="11"/>
      <c r="W30" s="11"/>
      <c r="X30" s="10"/>
      <c r="Y30" s="10"/>
      <c r="Z30" s="10"/>
      <c r="AA30" s="10"/>
    </row>
    <row r="31" spans="1:28">
      <c r="A31" s="33"/>
      <c r="B31" s="33"/>
      <c r="C31" s="18"/>
      <c r="D31" s="18"/>
      <c r="E31" s="18"/>
      <c r="F31" s="18"/>
      <c r="G31" s="18"/>
      <c r="H31" s="18"/>
      <c r="I31" s="18"/>
      <c r="J31" s="18"/>
      <c r="K31" s="18"/>
      <c r="L31" s="18"/>
      <c r="M31" s="18"/>
      <c r="N31" s="34"/>
      <c r="O31" s="10"/>
      <c r="P31" s="10"/>
      <c r="Q31" s="11"/>
      <c r="R31" s="11"/>
      <c r="S31" s="11"/>
      <c r="T31" s="11"/>
      <c r="U31" s="11"/>
      <c r="V31" s="11"/>
      <c r="W31" s="11"/>
      <c r="X31" s="10"/>
      <c r="Y31" s="10"/>
      <c r="Z31" s="10"/>
      <c r="AA31" s="10"/>
    </row>
    <row r="32" spans="1:28">
      <c r="A32" s="33"/>
      <c r="B32" s="33"/>
      <c r="C32" s="18"/>
      <c r="D32" s="18"/>
      <c r="E32" s="18"/>
      <c r="F32" s="18"/>
      <c r="G32" s="18"/>
      <c r="H32" s="18"/>
      <c r="I32" s="18"/>
      <c r="J32" s="18"/>
      <c r="K32" s="18"/>
      <c r="L32" s="18"/>
      <c r="M32" s="18"/>
      <c r="N32" s="34"/>
      <c r="O32" s="10"/>
      <c r="P32" s="10"/>
      <c r="Q32" s="11"/>
      <c r="R32" s="11"/>
      <c r="S32" s="11"/>
      <c r="T32" s="11"/>
      <c r="U32" s="11"/>
      <c r="V32" s="11"/>
      <c r="W32" s="11"/>
      <c r="X32" s="10"/>
      <c r="Y32" s="10"/>
      <c r="Z32" s="10"/>
      <c r="AA32" s="10"/>
    </row>
    <row r="33" spans="1:28">
      <c r="A33" s="33"/>
      <c r="B33" s="33"/>
      <c r="C33" s="18"/>
      <c r="D33" s="18"/>
      <c r="E33" s="18"/>
      <c r="F33" s="18"/>
      <c r="G33" s="18"/>
      <c r="H33" s="18"/>
      <c r="I33" s="18"/>
      <c r="J33" s="18"/>
      <c r="K33" s="18"/>
      <c r="L33" s="18"/>
      <c r="M33" s="18"/>
      <c r="N33" s="34"/>
      <c r="O33" s="10"/>
      <c r="P33" s="10"/>
      <c r="Q33" s="11"/>
      <c r="R33" s="11"/>
      <c r="S33" s="11"/>
      <c r="T33" s="11"/>
      <c r="U33" s="11"/>
      <c r="V33" s="11"/>
      <c r="W33" s="11"/>
      <c r="X33" s="10"/>
      <c r="Y33" s="10"/>
      <c r="Z33" s="10"/>
      <c r="AA33" s="10"/>
    </row>
    <row r="34" spans="1:28">
      <c r="A34" s="33"/>
      <c r="B34" s="33"/>
      <c r="C34" s="18"/>
      <c r="D34" s="18"/>
      <c r="E34" s="18"/>
      <c r="F34" s="18"/>
      <c r="G34" s="18"/>
      <c r="H34" s="18"/>
      <c r="I34" s="18"/>
      <c r="J34" s="18"/>
      <c r="K34" s="18"/>
      <c r="L34" s="18"/>
      <c r="M34" s="18"/>
      <c r="N34" s="34"/>
      <c r="O34" s="10"/>
      <c r="P34" s="10"/>
      <c r="Q34" s="11"/>
      <c r="R34" s="11"/>
      <c r="S34" s="11"/>
      <c r="T34" s="11"/>
      <c r="U34" s="11"/>
      <c r="V34" s="11"/>
      <c r="W34" s="11"/>
      <c r="X34" s="10"/>
      <c r="Y34" s="10"/>
      <c r="Z34" s="10"/>
      <c r="AA34" s="10"/>
    </row>
    <row r="35" spans="1:28">
      <c r="A35" s="33"/>
      <c r="B35" s="33"/>
      <c r="C35" s="18"/>
      <c r="D35" s="18"/>
      <c r="E35" s="18"/>
      <c r="F35" s="18"/>
      <c r="G35" s="18"/>
      <c r="H35" s="18"/>
      <c r="I35" s="18"/>
      <c r="J35" s="18"/>
      <c r="K35" s="18"/>
      <c r="L35" s="18"/>
      <c r="M35" s="18"/>
      <c r="N35" s="34"/>
      <c r="O35" s="10"/>
      <c r="P35" s="10"/>
      <c r="Q35" s="11"/>
      <c r="R35" s="11"/>
      <c r="S35" s="11"/>
      <c r="T35" s="11"/>
      <c r="U35" s="11"/>
      <c r="V35" s="11"/>
      <c r="W35" s="11"/>
      <c r="X35" s="10"/>
      <c r="Y35" s="10"/>
      <c r="Z35" s="10"/>
      <c r="AA35" s="10"/>
    </row>
    <row r="36" spans="1:28">
      <c r="A36" s="33"/>
      <c r="B36" s="33"/>
      <c r="C36" s="18"/>
      <c r="D36" s="18"/>
      <c r="E36" s="18"/>
      <c r="F36" s="18"/>
      <c r="G36" s="18"/>
      <c r="H36" s="18"/>
      <c r="I36" s="18"/>
      <c r="J36" s="18"/>
      <c r="K36" s="18"/>
      <c r="L36" s="18"/>
      <c r="M36" s="18"/>
      <c r="N36" s="34"/>
      <c r="O36" s="10"/>
      <c r="P36" s="10"/>
      <c r="Q36" s="10"/>
      <c r="R36" s="10"/>
      <c r="S36" s="10"/>
      <c r="T36" s="10"/>
      <c r="U36" s="10"/>
      <c r="V36" s="10"/>
      <c r="W36" s="10"/>
      <c r="X36" s="10"/>
      <c r="Y36" s="10"/>
      <c r="Z36" s="10"/>
      <c r="AA36" s="10"/>
    </row>
    <row r="37" spans="1:28">
      <c r="A37" s="35"/>
      <c r="B37" s="35"/>
      <c r="C37" s="21"/>
      <c r="D37" s="21"/>
      <c r="E37" s="21"/>
      <c r="F37" s="21"/>
      <c r="G37" s="21"/>
      <c r="H37" s="21"/>
      <c r="I37" s="21"/>
      <c r="J37" s="21"/>
      <c r="K37" s="21"/>
      <c r="L37" s="21"/>
      <c r="M37" s="21"/>
      <c r="N37" s="36"/>
      <c r="O37" s="10"/>
      <c r="P37" s="10"/>
      <c r="Q37" s="10"/>
      <c r="R37" s="10"/>
      <c r="S37" s="10"/>
      <c r="T37" s="10"/>
      <c r="U37" s="10"/>
      <c r="V37" s="10"/>
      <c r="W37" s="10"/>
      <c r="X37" s="10"/>
      <c r="Y37" s="10"/>
      <c r="Z37" s="10"/>
      <c r="AA37" s="10"/>
    </row>
    <row r="38" spans="1:28">
      <c r="A38" s="21"/>
      <c r="B38" s="21"/>
      <c r="C38" s="21"/>
      <c r="D38" s="21"/>
      <c r="E38" s="21"/>
      <c r="F38" s="21"/>
      <c r="G38" s="21"/>
      <c r="H38" s="21"/>
      <c r="I38" s="21"/>
      <c r="J38" s="21"/>
      <c r="K38" s="21"/>
      <c r="L38" s="21"/>
      <c r="M38" s="21"/>
      <c r="N38" s="21"/>
      <c r="O38" s="10"/>
      <c r="P38" s="10"/>
      <c r="Q38" s="10"/>
      <c r="R38" s="10"/>
      <c r="S38" s="10"/>
      <c r="T38" s="10"/>
      <c r="U38" s="10"/>
      <c r="V38" s="10"/>
      <c r="W38" s="10"/>
      <c r="X38" s="10"/>
      <c r="Y38" s="10"/>
      <c r="Z38" s="10"/>
      <c r="AA38" s="10"/>
    </row>
    <row r="39" spans="1:28">
      <c r="O39" s="10"/>
      <c r="P39" s="10"/>
      <c r="Q39" s="10"/>
      <c r="R39" s="10"/>
      <c r="S39" s="10"/>
      <c r="T39" s="10"/>
      <c r="U39" s="10"/>
      <c r="V39" s="10"/>
      <c r="W39" s="10"/>
      <c r="X39" s="10"/>
      <c r="Y39" s="10"/>
      <c r="Z39" s="10"/>
      <c r="AA39" s="10"/>
      <c r="AB39" s="10"/>
    </row>
    <row r="40" spans="1:28">
      <c r="O40" s="10"/>
      <c r="P40" s="10"/>
      <c r="Q40" s="10"/>
      <c r="R40" s="10"/>
      <c r="S40" s="10"/>
      <c r="T40" s="10"/>
      <c r="U40" s="10"/>
      <c r="V40" s="10"/>
      <c r="W40" s="10"/>
      <c r="X40" s="10"/>
      <c r="Y40" s="10"/>
      <c r="Z40" s="10"/>
      <c r="AA40" s="10"/>
      <c r="AB40" s="10"/>
    </row>
  </sheetData>
  <mergeCells count="1">
    <mergeCell ref="A1:AA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R44"/>
  <sheetViews>
    <sheetView zoomScale="80" zoomScaleNormal="80" workbookViewId="0">
      <pane xSplit="7" ySplit="5" topLeftCell="H36" activePane="bottomRight" state="frozen"/>
      <selection pane="bottomRight" activeCell="E44" sqref="E44"/>
      <selection pane="bottomLeft" activeCell="G1" sqref="G1:I1048576"/>
      <selection pane="topRight" activeCell="G1" sqref="G1:I1048576"/>
    </sheetView>
  </sheetViews>
  <sheetFormatPr defaultRowHeight="15"/>
  <cols>
    <col min="1" max="1" width="9.7109375" style="8" bestFit="1" customWidth="1"/>
    <col min="2" max="2" width="12.7109375" style="8" bestFit="1" customWidth="1"/>
    <col min="3" max="3" width="15.42578125" style="8" customWidth="1"/>
    <col min="4" max="4" width="20.28515625" style="8" customWidth="1"/>
    <col min="5" max="5" width="96.28515625" style="8" customWidth="1"/>
    <col min="6" max="6" width="19.7109375" style="36" customWidth="1"/>
    <col min="7" max="7" width="24" style="36" customWidth="1"/>
    <col min="8" max="8" width="12.85546875" style="36" customWidth="1"/>
    <col min="9" max="9" width="17.7109375" style="36" customWidth="1"/>
    <col min="10" max="10" width="15.5703125" style="36" customWidth="1"/>
    <col min="11" max="11" width="14.5703125" style="8" customWidth="1"/>
    <col min="12" max="14" width="9.140625" style="8"/>
    <col min="15" max="15" width="17" style="8" customWidth="1"/>
    <col min="16" max="16" width="15.28515625" style="8" customWidth="1"/>
    <col min="17" max="17" width="14.85546875" style="8" customWidth="1"/>
    <col min="18" max="18" width="16.5703125" style="8" customWidth="1"/>
    <col min="19" max="16384" width="9.140625" style="8"/>
  </cols>
  <sheetData>
    <row r="1" spans="1:18" ht="65.25" customHeight="1">
      <c r="B1" s="232" t="s">
        <v>353</v>
      </c>
      <c r="C1" s="232"/>
      <c r="D1" s="232"/>
      <c r="E1" s="232"/>
      <c r="F1" s="232"/>
      <c r="G1" s="232"/>
      <c r="H1" s="46"/>
      <c r="I1" s="46"/>
      <c r="J1" s="46"/>
    </row>
    <row r="2" spans="1:18" ht="45" customHeight="1">
      <c r="B2" s="230"/>
      <c r="C2" s="230"/>
      <c r="D2" s="230"/>
      <c r="E2" s="230"/>
      <c r="F2" s="230"/>
      <c r="G2" s="46"/>
      <c r="H2" s="46"/>
      <c r="I2" s="46"/>
      <c r="J2" s="46"/>
    </row>
    <row r="3" spans="1:18" ht="37.5" customHeight="1">
      <c r="E3" s="47"/>
      <c r="F3" s="21"/>
      <c r="G3" s="46"/>
      <c r="H3" s="46"/>
      <c r="I3" s="231" t="s">
        <v>354</v>
      </c>
      <c r="J3" s="231"/>
      <c r="K3" s="231"/>
    </row>
    <row r="4" spans="1:18" ht="33" customHeight="1">
      <c r="E4" s="228" t="s">
        <v>355</v>
      </c>
      <c r="F4" s="228"/>
      <c r="G4" s="48">
        <f>SUM(G6:G44)</f>
        <v>2022</v>
      </c>
      <c r="I4" s="229" t="s">
        <v>356</v>
      </c>
      <c r="J4" s="229"/>
      <c r="K4" s="229"/>
    </row>
    <row r="5" spans="1:18" s="102" customFormat="1" ht="51" customHeight="1">
      <c r="A5" s="49" t="s">
        <v>0</v>
      </c>
      <c r="B5" s="49" t="s">
        <v>357</v>
      </c>
      <c r="C5" s="49" t="s">
        <v>358</v>
      </c>
      <c r="D5" s="49" t="s">
        <v>359</v>
      </c>
      <c r="E5" s="49" t="s">
        <v>360</v>
      </c>
      <c r="F5" s="49" t="s">
        <v>361</v>
      </c>
      <c r="G5" s="50" t="s">
        <v>362</v>
      </c>
      <c r="H5" s="50" t="s">
        <v>363</v>
      </c>
      <c r="I5" s="50" t="s">
        <v>364</v>
      </c>
      <c r="J5" s="50" t="s">
        <v>365</v>
      </c>
      <c r="K5" s="100" t="s">
        <v>366</v>
      </c>
      <c r="L5" s="100" t="s">
        <v>367</v>
      </c>
      <c r="M5" s="100" t="s">
        <v>368</v>
      </c>
      <c r="N5" s="100" t="s">
        <v>369</v>
      </c>
      <c r="O5" s="100" t="s">
        <v>370</v>
      </c>
      <c r="P5" s="100" t="s">
        <v>371</v>
      </c>
      <c r="Q5" s="100" t="s">
        <v>372</v>
      </c>
      <c r="R5" s="101" t="s">
        <v>373</v>
      </c>
    </row>
    <row r="6" spans="1:18" ht="15.75">
      <c r="A6" s="103">
        <v>1</v>
      </c>
      <c r="B6" s="104" t="s">
        <v>374</v>
      </c>
      <c r="C6" s="104" t="s">
        <v>375</v>
      </c>
      <c r="D6" s="105" t="s">
        <v>376</v>
      </c>
      <c r="E6" s="105" t="s">
        <v>377</v>
      </c>
      <c r="F6" s="128" t="s">
        <v>378</v>
      </c>
      <c r="G6" s="111">
        <f>IF(COUNTIF('Product-Requirement'!B:B,'MLSR List'!B6&amp;"*")=0,"",COUNTIF('Product-Requirement'!B:B,'MLSR List'!B6&amp;"*"))</f>
        <v>26</v>
      </c>
      <c r="H6" s="106"/>
      <c r="I6" s="107" t="s">
        <v>378</v>
      </c>
      <c r="J6" s="107" t="s">
        <v>378</v>
      </c>
      <c r="K6" s="108" t="s">
        <v>378</v>
      </c>
      <c r="L6" s="108" t="s">
        <v>379</v>
      </c>
      <c r="M6" s="108" t="s">
        <v>379</v>
      </c>
      <c r="N6" s="108" t="s">
        <v>379</v>
      </c>
      <c r="O6" s="108" t="s">
        <v>379</v>
      </c>
      <c r="P6" s="108" t="s">
        <v>379</v>
      </c>
      <c r="Q6" s="108" t="s">
        <v>378</v>
      </c>
      <c r="R6" s="108" t="s">
        <v>379</v>
      </c>
    </row>
    <row r="7" spans="1:18" ht="26.25">
      <c r="A7" s="103">
        <v>2</v>
      </c>
      <c r="B7" s="104" t="s">
        <v>380</v>
      </c>
      <c r="C7" s="104" t="s">
        <v>375</v>
      </c>
      <c r="D7" s="105" t="s">
        <v>381</v>
      </c>
      <c r="E7" s="105" t="s">
        <v>382</v>
      </c>
      <c r="F7" s="128" t="s">
        <v>378</v>
      </c>
      <c r="G7" s="111">
        <f>IF(COUNTIF('Product-Requirement'!B:B,'MLSR List'!B7&amp;"*")=0,"",COUNTIF('Product-Requirement'!B:B,'MLSR List'!B7&amp;"*"))</f>
        <v>15</v>
      </c>
      <c r="H7" s="109"/>
      <c r="I7" s="107" t="s">
        <v>378</v>
      </c>
      <c r="J7" s="108" t="s">
        <v>378</v>
      </c>
      <c r="K7" s="108" t="s">
        <v>378</v>
      </c>
      <c r="L7" s="108" t="s">
        <v>379</v>
      </c>
      <c r="M7" s="108" t="s">
        <v>379</v>
      </c>
      <c r="N7" s="108" t="s">
        <v>379</v>
      </c>
      <c r="O7" s="108" t="s">
        <v>379</v>
      </c>
      <c r="P7" s="108" t="s">
        <v>379</v>
      </c>
      <c r="Q7" s="108" t="s">
        <v>379</v>
      </c>
      <c r="R7" s="108" t="s">
        <v>379</v>
      </c>
    </row>
    <row r="8" spans="1:18" ht="15.75">
      <c r="A8" s="103">
        <v>3</v>
      </c>
      <c r="B8" s="104" t="s">
        <v>383</v>
      </c>
      <c r="C8" s="104" t="s">
        <v>384</v>
      </c>
      <c r="D8" s="105" t="s">
        <v>385</v>
      </c>
      <c r="E8" s="110" t="s">
        <v>386</v>
      </c>
      <c r="F8" s="128" t="s">
        <v>378</v>
      </c>
      <c r="G8" s="111">
        <f>IF(COUNTIF('Product-Requirement'!B:B,'MLSR List'!B8&amp;"*")=0,"",COUNTIF('Product-Requirement'!B:B,'MLSR List'!B8&amp;"*"))</f>
        <v>21</v>
      </c>
      <c r="H8" s="109"/>
      <c r="I8" s="107" t="s">
        <v>379</v>
      </c>
      <c r="J8" s="108" t="s">
        <v>378</v>
      </c>
      <c r="K8" s="107" t="s">
        <v>379</v>
      </c>
      <c r="L8" s="107" t="s">
        <v>379</v>
      </c>
      <c r="M8" s="107" t="s">
        <v>379</v>
      </c>
      <c r="N8" s="107" t="s">
        <v>379</v>
      </c>
      <c r="O8" s="107" t="s">
        <v>379</v>
      </c>
      <c r="P8" s="107" t="s">
        <v>379</v>
      </c>
      <c r="Q8" s="107" t="s">
        <v>379</v>
      </c>
      <c r="R8" s="107" t="s">
        <v>379</v>
      </c>
    </row>
    <row r="9" spans="1:18" ht="15.75">
      <c r="A9" s="103">
        <v>4</v>
      </c>
      <c r="B9" s="104" t="s">
        <v>387</v>
      </c>
      <c r="C9" s="104" t="s">
        <v>384</v>
      </c>
      <c r="D9" s="105" t="s">
        <v>388</v>
      </c>
      <c r="E9" s="105" t="s">
        <v>389</v>
      </c>
      <c r="F9" s="128" t="s">
        <v>378</v>
      </c>
      <c r="G9" s="111">
        <f>IF(COUNTIF('Product-Requirement'!B:B,'MLSR List'!B9&amp;"*")=0,"",COUNTIF('Product-Requirement'!B:B,'MLSR List'!B9&amp;"*"))</f>
        <v>33</v>
      </c>
      <c r="H9" s="109"/>
      <c r="I9" s="107" t="s">
        <v>378</v>
      </c>
      <c r="J9" s="107" t="s">
        <v>378</v>
      </c>
      <c r="K9" s="108" t="s">
        <v>378</v>
      </c>
      <c r="L9" s="108" t="s">
        <v>378</v>
      </c>
      <c r="M9" s="108" t="s">
        <v>378</v>
      </c>
      <c r="N9" s="108" t="s">
        <v>378</v>
      </c>
      <c r="O9" s="107" t="s">
        <v>378</v>
      </c>
      <c r="P9" s="107" t="s">
        <v>378</v>
      </c>
      <c r="Q9" s="107" t="s">
        <v>378</v>
      </c>
      <c r="R9" s="107" t="s">
        <v>378</v>
      </c>
    </row>
    <row r="10" spans="1:18" ht="26.25">
      <c r="A10" s="103">
        <v>5</v>
      </c>
      <c r="B10" s="104" t="s">
        <v>390</v>
      </c>
      <c r="C10" s="104" t="s">
        <v>384</v>
      </c>
      <c r="D10" s="105" t="s">
        <v>391</v>
      </c>
      <c r="E10" s="110" t="s">
        <v>392</v>
      </c>
      <c r="F10" s="128" t="s">
        <v>378</v>
      </c>
      <c r="G10" s="111">
        <f>IF(COUNTIF('Product-Requirement'!B:B,'MLSR List'!B10&amp;"*")=0,"",COUNTIF('Product-Requirement'!B:B,'MLSR List'!B10&amp;"*"))</f>
        <v>39</v>
      </c>
      <c r="H10" s="109"/>
      <c r="I10" s="107" t="s">
        <v>378</v>
      </c>
      <c r="J10" s="108" t="s">
        <v>378</v>
      </c>
      <c r="K10" s="108" t="s">
        <v>378</v>
      </c>
      <c r="L10" s="108" t="s">
        <v>378</v>
      </c>
      <c r="M10" s="108" t="s">
        <v>378</v>
      </c>
      <c r="N10" s="108" t="s">
        <v>378</v>
      </c>
      <c r="O10" s="107" t="s">
        <v>378</v>
      </c>
      <c r="P10" s="107" t="s">
        <v>378</v>
      </c>
      <c r="Q10" s="107" t="s">
        <v>378</v>
      </c>
      <c r="R10" s="107" t="s">
        <v>378</v>
      </c>
    </row>
    <row r="11" spans="1:18" ht="26.25">
      <c r="A11" s="103">
        <v>6</v>
      </c>
      <c r="B11" s="104" t="s">
        <v>393</v>
      </c>
      <c r="C11" s="104" t="s">
        <v>206</v>
      </c>
      <c r="D11" s="105" t="s">
        <v>394</v>
      </c>
      <c r="E11" s="105" t="s">
        <v>395</v>
      </c>
      <c r="F11" s="128" t="s">
        <v>378</v>
      </c>
      <c r="G11" s="111">
        <f>IF(COUNTIF('Product-Requirement'!B:B,'MLSR List'!B11&amp;"*")=0,"",COUNTIF('Product-Requirement'!B:B,'MLSR List'!B11&amp;"*"))</f>
        <v>552</v>
      </c>
      <c r="H11" s="109"/>
      <c r="I11" s="108" t="s">
        <v>378</v>
      </c>
      <c r="J11" s="108" t="s">
        <v>378</v>
      </c>
      <c r="K11" s="108" t="s">
        <v>378</v>
      </c>
      <c r="L11" s="108" t="s">
        <v>379</v>
      </c>
      <c r="M11" s="108" t="s">
        <v>379</v>
      </c>
      <c r="N11" s="108" t="s">
        <v>379</v>
      </c>
      <c r="O11" s="108" t="s">
        <v>379</v>
      </c>
      <c r="P11" s="108" t="s">
        <v>379</v>
      </c>
      <c r="Q11" s="108" t="s">
        <v>379</v>
      </c>
      <c r="R11" s="108" t="s">
        <v>379</v>
      </c>
    </row>
    <row r="12" spans="1:18" ht="15.75">
      <c r="A12" s="103">
        <v>7</v>
      </c>
      <c r="B12" s="104" t="s">
        <v>396</v>
      </c>
      <c r="C12" s="104" t="s">
        <v>206</v>
      </c>
      <c r="D12" s="105" t="s">
        <v>397</v>
      </c>
      <c r="E12" s="105" t="s">
        <v>398</v>
      </c>
      <c r="F12" s="128" t="s">
        <v>378</v>
      </c>
      <c r="G12" s="111">
        <f>IF(COUNTIF('Product-Requirement'!B:B,'MLSR List'!B12&amp;"*")=0,"",COUNTIF('Product-Requirement'!B:B,'MLSR List'!B12&amp;"*"))</f>
        <v>81</v>
      </c>
      <c r="H12" s="109"/>
      <c r="I12" s="107" t="s">
        <v>378</v>
      </c>
      <c r="J12" s="108" t="s">
        <v>378</v>
      </c>
      <c r="K12" s="108" t="s">
        <v>378</v>
      </c>
      <c r="L12" s="107" t="s">
        <v>379</v>
      </c>
      <c r="M12" s="107" t="s">
        <v>379</v>
      </c>
      <c r="N12" s="107" t="s">
        <v>379</v>
      </c>
      <c r="O12" s="107" t="s">
        <v>379</v>
      </c>
      <c r="P12" s="107" t="s">
        <v>379</v>
      </c>
      <c r="Q12" s="107" t="s">
        <v>379</v>
      </c>
      <c r="R12" s="107" t="s">
        <v>379</v>
      </c>
    </row>
    <row r="13" spans="1:18" ht="15.75">
      <c r="A13" s="103">
        <v>8</v>
      </c>
      <c r="B13" s="104" t="s">
        <v>399</v>
      </c>
      <c r="C13" s="104" t="s">
        <v>384</v>
      </c>
      <c r="D13" s="105" t="s">
        <v>400</v>
      </c>
      <c r="E13" s="105" t="s">
        <v>401</v>
      </c>
      <c r="F13" s="128" t="s">
        <v>378</v>
      </c>
      <c r="G13" s="111">
        <f>IF(COUNTIF('Product-Requirement'!B:B,'MLSR List'!B13&amp;"*")=0,"",COUNTIF('Product-Requirement'!B:B,'MLSR List'!B13&amp;"*"))</f>
        <v>33</v>
      </c>
      <c r="H13" s="109"/>
      <c r="I13" s="107" t="s">
        <v>378</v>
      </c>
      <c r="J13" s="107" t="s">
        <v>378</v>
      </c>
      <c r="K13" s="108" t="s">
        <v>378</v>
      </c>
      <c r="L13" s="108" t="s">
        <v>378</v>
      </c>
      <c r="M13" s="108" t="s">
        <v>378</v>
      </c>
      <c r="N13" s="108" t="s">
        <v>378</v>
      </c>
      <c r="O13" s="107" t="s">
        <v>378</v>
      </c>
      <c r="P13" s="107" t="s">
        <v>378</v>
      </c>
      <c r="Q13" s="107" t="s">
        <v>378</v>
      </c>
      <c r="R13" s="107" t="s">
        <v>378</v>
      </c>
    </row>
    <row r="14" spans="1:18" ht="15.75">
      <c r="A14" s="103">
        <v>9</v>
      </c>
      <c r="B14" s="104" t="s">
        <v>402</v>
      </c>
      <c r="C14" s="104" t="s">
        <v>403</v>
      </c>
      <c r="D14" s="105" t="s">
        <v>404</v>
      </c>
      <c r="E14" s="105" t="s">
        <v>405</v>
      </c>
      <c r="F14" s="128" t="s">
        <v>378</v>
      </c>
      <c r="G14" s="111">
        <f>IF(COUNTIF('Product-Requirement'!B:B,'MLSR List'!B14&amp;"*")=0,"",COUNTIF('Product-Requirement'!B:B,'MLSR List'!B14&amp;"*"))</f>
        <v>67</v>
      </c>
      <c r="H14" s="109"/>
      <c r="I14" s="107" t="s">
        <v>379</v>
      </c>
      <c r="J14" s="107" t="s">
        <v>379</v>
      </c>
      <c r="K14" s="107" t="s">
        <v>379</v>
      </c>
      <c r="L14" s="107" t="s">
        <v>379</v>
      </c>
      <c r="M14" s="107" t="s">
        <v>379</v>
      </c>
      <c r="N14" s="107" t="s">
        <v>378</v>
      </c>
      <c r="O14" s="107" t="s">
        <v>379</v>
      </c>
      <c r="P14" s="107" t="s">
        <v>379</v>
      </c>
      <c r="Q14" s="107" t="s">
        <v>379</v>
      </c>
      <c r="R14" s="107" t="s">
        <v>379</v>
      </c>
    </row>
    <row r="15" spans="1:18" ht="15.75">
      <c r="A15" s="103">
        <v>10</v>
      </c>
      <c r="B15" s="104" t="s">
        <v>406</v>
      </c>
      <c r="C15" s="104" t="s">
        <v>384</v>
      </c>
      <c r="D15" s="105" t="s">
        <v>407</v>
      </c>
      <c r="E15" s="105" t="s">
        <v>408</v>
      </c>
      <c r="F15" s="128" t="s">
        <v>378</v>
      </c>
      <c r="G15" s="111">
        <f>IF(COUNTIF('Product-Requirement'!B:B,'MLSR List'!B15&amp;"*")=0,"",COUNTIF('Product-Requirement'!B:B,'MLSR List'!B15&amp;"*"))</f>
        <v>132</v>
      </c>
      <c r="H15" s="109"/>
      <c r="I15" s="107" t="s">
        <v>378</v>
      </c>
      <c r="J15" s="107" t="s">
        <v>378</v>
      </c>
      <c r="K15" s="108" t="s">
        <v>378</v>
      </c>
      <c r="L15" s="108" t="s">
        <v>378</v>
      </c>
      <c r="M15" s="108" t="s">
        <v>378</v>
      </c>
      <c r="N15" s="108" t="s">
        <v>378</v>
      </c>
      <c r="O15" s="107" t="s">
        <v>378</v>
      </c>
      <c r="P15" s="107" t="s">
        <v>378</v>
      </c>
      <c r="Q15" s="107" t="s">
        <v>378</v>
      </c>
      <c r="R15" s="107" t="s">
        <v>378</v>
      </c>
    </row>
    <row r="16" spans="1:18" ht="15.75">
      <c r="A16" s="103">
        <v>11</v>
      </c>
      <c r="B16" s="104" t="s">
        <v>409</v>
      </c>
      <c r="C16" s="104" t="s">
        <v>403</v>
      </c>
      <c r="D16" s="105" t="s">
        <v>410</v>
      </c>
      <c r="E16" s="105" t="s">
        <v>411</v>
      </c>
      <c r="F16" s="128" t="s">
        <v>378</v>
      </c>
      <c r="G16" s="111">
        <f>IF(COUNTIF('Product-Requirement'!B:B,'MLSR List'!B16&amp;"*")=0,"",COUNTIF('Product-Requirement'!B:B,'MLSR List'!B16&amp;"*"))</f>
        <v>107</v>
      </c>
      <c r="H16" s="109"/>
      <c r="I16" s="107" t="s">
        <v>378</v>
      </c>
      <c r="J16" s="107" t="s">
        <v>379</v>
      </c>
      <c r="K16" s="107" t="s">
        <v>379</v>
      </c>
      <c r="L16" s="107" t="s">
        <v>379</v>
      </c>
      <c r="M16" s="107" t="s">
        <v>379</v>
      </c>
      <c r="N16" s="107" t="s">
        <v>379</v>
      </c>
      <c r="O16" s="107" t="s">
        <v>379</v>
      </c>
      <c r="P16" s="107" t="s">
        <v>379</v>
      </c>
      <c r="Q16" s="107" t="s">
        <v>379</v>
      </c>
      <c r="R16" s="107" t="s">
        <v>379</v>
      </c>
    </row>
    <row r="17" spans="1:18" ht="26.25">
      <c r="A17" s="103">
        <v>12</v>
      </c>
      <c r="B17" s="104" t="s">
        <v>412</v>
      </c>
      <c r="C17" s="104" t="s">
        <v>384</v>
      </c>
      <c r="D17" s="105" t="s">
        <v>413</v>
      </c>
      <c r="E17" s="105" t="s">
        <v>414</v>
      </c>
      <c r="F17" s="128" t="s">
        <v>378</v>
      </c>
      <c r="G17" s="111">
        <f>IF(COUNTIF('Product-Requirement'!B:B,'MLSR List'!B17&amp;"*")=0,"",COUNTIF('Product-Requirement'!B:B,'MLSR List'!B17&amp;"*"))</f>
        <v>10</v>
      </c>
      <c r="H17" s="109"/>
      <c r="I17" s="107" t="s">
        <v>378</v>
      </c>
      <c r="J17" s="108" t="s">
        <v>379</v>
      </c>
      <c r="K17" s="108" t="s">
        <v>378</v>
      </c>
      <c r="L17" s="108" t="s">
        <v>379</v>
      </c>
      <c r="M17" s="108" t="s">
        <v>379</v>
      </c>
      <c r="N17" s="108" t="s">
        <v>379</v>
      </c>
      <c r="O17" s="107" t="s">
        <v>378</v>
      </c>
      <c r="P17" s="107" t="s">
        <v>378</v>
      </c>
      <c r="Q17" s="107" t="s">
        <v>378</v>
      </c>
      <c r="R17" s="107" t="s">
        <v>378</v>
      </c>
    </row>
    <row r="18" spans="1:18" ht="39">
      <c r="A18" s="103">
        <v>13</v>
      </c>
      <c r="B18" s="104" t="s">
        <v>415</v>
      </c>
      <c r="C18" s="104" t="s">
        <v>384</v>
      </c>
      <c r="D18" s="105" t="s">
        <v>416</v>
      </c>
      <c r="E18" s="105" t="s">
        <v>417</v>
      </c>
      <c r="F18" s="128" t="s">
        <v>378</v>
      </c>
      <c r="G18" s="111">
        <f>IF(COUNTIF('Product-Requirement'!B:B,'MLSR List'!B18&amp;"*")=0,"",COUNTIF('Product-Requirement'!B:B,'MLSR List'!B18&amp;"*"))</f>
        <v>75</v>
      </c>
      <c r="H18" s="109"/>
      <c r="I18" s="107" t="s">
        <v>378</v>
      </c>
      <c r="J18" s="108" t="s">
        <v>379</v>
      </c>
      <c r="K18" s="108" t="s">
        <v>378</v>
      </c>
      <c r="L18" s="108" t="s">
        <v>379</v>
      </c>
      <c r="M18" s="108" t="s">
        <v>379</v>
      </c>
      <c r="N18" s="108" t="s">
        <v>379</v>
      </c>
      <c r="O18" s="107" t="s">
        <v>378</v>
      </c>
      <c r="P18" s="107" t="s">
        <v>378</v>
      </c>
      <c r="Q18" s="107" t="s">
        <v>378</v>
      </c>
      <c r="R18" s="107" t="s">
        <v>378</v>
      </c>
    </row>
    <row r="19" spans="1:18" ht="26.25">
      <c r="A19" s="103">
        <v>14</v>
      </c>
      <c r="B19" s="104" t="s">
        <v>418</v>
      </c>
      <c r="C19" s="104" t="s">
        <v>384</v>
      </c>
      <c r="D19" s="105" t="s">
        <v>419</v>
      </c>
      <c r="E19" s="105" t="s">
        <v>420</v>
      </c>
      <c r="F19" s="128" t="s">
        <v>378</v>
      </c>
      <c r="G19" s="111">
        <f>IF(COUNTIF('Product-Requirement'!B:B,'MLSR List'!B19&amp;"*")=0,"",COUNTIF('Product-Requirement'!B:B,'MLSR List'!B19&amp;"*"))</f>
        <v>43</v>
      </c>
      <c r="H19" s="109"/>
      <c r="I19" s="107" t="s">
        <v>378</v>
      </c>
      <c r="J19" s="108" t="s">
        <v>379</v>
      </c>
      <c r="K19" s="108" t="s">
        <v>378</v>
      </c>
      <c r="L19" s="108" t="s">
        <v>379</v>
      </c>
      <c r="M19" s="108" t="s">
        <v>379</v>
      </c>
      <c r="N19" s="108" t="s">
        <v>379</v>
      </c>
      <c r="O19" s="107" t="s">
        <v>378</v>
      </c>
      <c r="P19" s="107" t="s">
        <v>378</v>
      </c>
      <c r="Q19" s="107" t="s">
        <v>378</v>
      </c>
      <c r="R19" s="107" t="s">
        <v>378</v>
      </c>
    </row>
    <row r="20" spans="1:18" ht="15.75">
      <c r="A20" s="103">
        <v>15</v>
      </c>
      <c r="B20" s="104" t="s">
        <v>421</v>
      </c>
      <c r="C20" s="104" t="s">
        <v>384</v>
      </c>
      <c r="D20" s="105" t="s">
        <v>422</v>
      </c>
      <c r="E20" s="105" t="s">
        <v>423</v>
      </c>
      <c r="F20" s="128" t="s">
        <v>378</v>
      </c>
      <c r="G20" s="111">
        <f>IF(COUNTIF('Product-Requirement'!B:B,'MLSR List'!B20&amp;"*")=0,"",COUNTIF('Product-Requirement'!B:B,'MLSR List'!B20&amp;"*"))</f>
        <v>1</v>
      </c>
      <c r="H20" s="109"/>
      <c r="I20" s="107" t="s">
        <v>378</v>
      </c>
      <c r="J20" s="107" t="s">
        <v>378</v>
      </c>
      <c r="K20" s="108" t="s">
        <v>378</v>
      </c>
      <c r="L20" s="108" t="s">
        <v>378</v>
      </c>
      <c r="M20" s="108" t="s">
        <v>378</v>
      </c>
      <c r="N20" s="108" t="s">
        <v>378</v>
      </c>
      <c r="O20" s="107" t="s">
        <v>378</v>
      </c>
      <c r="P20" s="107" t="s">
        <v>378</v>
      </c>
      <c r="Q20" s="107" t="s">
        <v>378</v>
      </c>
      <c r="R20" s="107" t="s">
        <v>378</v>
      </c>
    </row>
    <row r="21" spans="1:18" ht="15.75">
      <c r="A21" s="103">
        <v>16</v>
      </c>
      <c r="B21" s="104" t="s">
        <v>424</v>
      </c>
      <c r="C21" s="104" t="s">
        <v>384</v>
      </c>
      <c r="D21" s="105" t="s">
        <v>425</v>
      </c>
      <c r="E21" s="105" t="s">
        <v>426</v>
      </c>
      <c r="F21" s="128" t="s">
        <v>378</v>
      </c>
      <c r="G21" s="111">
        <f>IF(COUNTIF('Product-Requirement'!B:B,'MLSR List'!B21&amp;"*")=0,"",COUNTIF('Product-Requirement'!B:B,'MLSR List'!B21&amp;"*"))</f>
        <v>32</v>
      </c>
      <c r="H21" s="109"/>
      <c r="I21" s="107" t="s">
        <v>378</v>
      </c>
      <c r="J21" s="108" t="s">
        <v>379</v>
      </c>
      <c r="K21" s="108" t="s">
        <v>378</v>
      </c>
      <c r="L21" s="108" t="s">
        <v>379</v>
      </c>
      <c r="M21" s="108" t="s">
        <v>379</v>
      </c>
      <c r="N21" s="108" t="s">
        <v>379</v>
      </c>
      <c r="O21" s="107" t="s">
        <v>378</v>
      </c>
      <c r="P21" s="107" t="s">
        <v>378</v>
      </c>
      <c r="Q21" s="107" t="s">
        <v>378</v>
      </c>
      <c r="R21" s="107" t="s">
        <v>378</v>
      </c>
    </row>
    <row r="22" spans="1:18" ht="15.75">
      <c r="A22" s="103">
        <v>17</v>
      </c>
      <c r="B22" s="104" t="s">
        <v>427</v>
      </c>
      <c r="C22" s="104" t="s">
        <v>403</v>
      </c>
      <c r="D22" s="105" t="s">
        <v>428</v>
      </c>
      <c r="E22" s="105" t="s">
        <v>429</v>
      </c>
      <c r="F22" s="128" t="s">
        <v>378</v>
      </c>
      <c r="G22" s="111">
        <f>IF(COUNTIF('Product-Requirement'!B:B,'MLSR List'!B22&amp;"*")=0,"",COUNTIF('Product-Requirement'!B:B,'MLSR List'!B22&amp;"*"))</f>
        <v>44</v>
      </c>
      <c r="H22" s="109"/>
      <c r="I22" s="107" t="s">
        <v>379</v>
      </c>
      <c r="J22" s="107" t="s">
        <v>379</v>
      </c>
      <c r="K22" s="107" t="s">
        <v>379</v>
      </c>
      <c r="L22" s="107" t="s">
        <v>379</v>
      </c>
      <c r="M22" s="107" t="s">
        <v>379</v>
      </c>
      <c r="N22" s="107" t="s">
        <v>379</v>
      </c>
      <c r="O22" s="107" t="s">
        <v>379</v>
      </c>
      <c r="P22" s="107" t="s">
        <v>378</v>
      </c>
      <c r="Q22" s="107" t="s">
        <v>379</v>
      </c>
      <c r="R22" s="107" t="s">
        <v>379</v>
      </c>
    </row>
    <row r="23" spans="1:18" ht="15.75">
      <c r="A23" s="103">
        <v>18</v>
      </c>
      <c r="B23" s="104" t="s">
        <v>430</v>
      </c>
      <c r="C23" s="104" t="s">
        <v>403</v>
      </c>
      <c r="D23" s="105" t="s">
        <v>431</v>
      </c>
      <c r="E23" s="105" t="s">
        <v>432</v>
      </c>
      <c r="F23" s="128" t="s">
        <v>378</v>
      </c>
      <c r="G23" s="111">
        <f>IF(COUNTIF('Product-Requirement'!B:B,'MLSR List'!B23&amp;"*")=0,"",COUNTIF('Product-Requirement'!B:B,'MLSR List'!B23&amp;"*"))</f>
        <v>13</v>
      </c>
      <c r="H23" s="109"/>
      <c r="I23" s="107" t="s">
        <v>379</v>
      </c>
      <c r="J23" s="107" t="s">
        <v>379</v>
      </c>
      <c r="K23" s="107" t="s">
        <v>378</v>
      </c>
      <c r="L23" s="107" t="s">
        <v>379</v>
      </c>
      <c r="M23" s="107" t="s">
        <v>379</v>
      </c>
      <c r="N23" s="107" t="s">
        <v>379</v>
      </c>
      <c r="O23" s="107" t="s">
        <v>379</v>
      </c>
      <c r="P23" s="107" t="s">
        <v>379</v>
      </c>
      <c r="Q23" s="107" t="s">
        <v>379</v>
      </c>
      <c r="R23" s="107" t="s">
        <v>379</v>
      </c>
    </row>
    <row r="24" spans="1:18" ht="15.75">
      <c r="A24" s="103">
        <v>19</v>
      </c>
      <c r="B24" s="104" t="s">
        <v>433</v>
      </c>
      <c r="C24" s="104" t="s">
        <v>434</v>
      </c>
      <c r="D24" s="105" t="s">
        <v>435</v>
      </c>
      <c r="E24" s="105" t="s">
        <v>436</v>
      </c>
      <c r="F24" s="128" t="s">
        <v>378</v>
      </c>
      <c r="G24" s="111">
        <f>IF(COUNTIF('Product-Requirement'!B:B,'MLSR List'!B24&amp;"*")=0,"",COUNTIF('Product-Requirement'!B:B,'MLSR List'!B24&amp;"*"))</f>
        <v>5</v>
      </c>
      <c r="H24" s="109"/>
      <c r="I24" s="107" t="s">
        <v>379</v>
      </c>
      <c r="J24" s="108" t="s">
        <v>378</v>
      </c>
      <c r="K24" s="107" t="s">
        <v>379</v>
      </c>
      <c r="L24" s="107" t="s">
        <v>379</v>
      </c>
      <c r="M24" s="107" t="s">
        <v>379</v>
      </c>
      <c r="N24" s="107" t="s">
        <v>379</v>
      </c>
      <c r="O24" s="107" t="s">
        <v>379</v>
      </c>
      <c r="P24" s="107" t="s">
        <v>379</v>
      </c>
      <c r="Q24" s="107" t="s">
        <v>379</v>
      </c>
      <c r="R24" s="107" t="s">
        <v>379</v>
      </c>
    </row>
    <row r="25" spans="1:18" ht="15.75">
      <c r="A25" s="103">
        <v>20</v>
      </c>
      <c r="B25" s="104" t="s">
        <v>437</v>
      </c>
      <c r="C25" s="104" t="s">
        <v>434</v>
      </c>
      <c r="D25" s="105" t="s">
        <v>438</v>
      </c>
      <c r="E25" s="105" t="s">
        <v>439</v>
      </c>
      <c r="F25" s="128" t="s">
        <v>378</v>
      </c>
      <c r="G25" s="111">
        <f>IF(COUNTIF('Product-Requirement'!B:B,'MLSR List'!B25&amp;"*")=0,"",COUNTIF('Product-Requirement'!B:B,'MLSR List'!B25&amp;"*"))</f>
        <v>4</v>
      </c>
      <c r="H25" s="109"/>
      <c r="I25" s="107" t="s">
        <v>378</v>
      </c>
      <c r="J25" s="108" t="s">
        <v>379</v>
      </c>
      <c r="K25" s="107" t="s">
        <v>379</v>
      </c>
      <c r="L25" s="107" t="s">
        <v>379</v>
      </c>
      <c r="M25" s="107" t="s">
        <v>379</v>
      </c>
      <c r="N25" s="107" t="s">
        <v>379</v>
      </c>
      <c r="O25" s="107" t="s">
        <v>379</v>
      </c>
      <c r="P25" s="107" t="s">
        <v>379</v>
      </c>
      <c r="Q25" s="107" t="s">
        <v>379</v>
      </c>
      <c r="R25" s="107" t="s">
        <v>379</v>
      </c>
    </row>
    <row r="26" spans="1:18" ht="15.75">
      <c r="A26" s="103">
        <v>21</v>
      </c>
      <c r="B26" s="104" t="s">
        <v>440</v>
      </c>
      <c r="C26" s="104" t="s">
        <v>434</v>
      </c>
      <c r="D26" s="105" t="s">
        <v>441</v>
      </c>
      <c r="E26" s="105" t="s">
        <v>442</v>
      </c>
      <c r="F26" s="128" t="s">
        <v>378</v>
      </c>
      <c r="G26" s="111">
        <f>IF(COUNTIF('Product-Requirement'!B:B,'MLSR List'!B26&amp;"*")=0,"",COUNTIF('Product-Requirement'!B:B,'MLSR List'!B26&amp;"*"))</f>
        <v>35</v>
      </c>
      <c r="H26" s="109"/>
      <c r="I26" s="107" t="s">
        <v>378</v>
      </c>
      <c r="J26" s="107" t="s">
        <v>379</v>
      </c>
      <c r="K26" s="107" t="s">
        <v>379</v>
      </c>
      <c r="L26" s="107" t="s">
        <v>379</v>
      </c>
      <c r="M26" s="107" t="s">
        <v>379</v>
      </c>
      <c r="N26" s="107" t="s">
        <v>379</v>
      </c>
      <c r="O26" s="107" t="s">
        <v>379</v>
      </c>
      <c r="P26" s="107" t="s">
        <v>379</v>
      </c>
      <c r="Q26" s="107" t="s">
        <v>379</v>
      </c>
      <c r="R26" s="107" t="s">
        <v>379</v>
      </c>
    </row>
    <row r="27" spans="1:18" ht="15.75">
      <c r="A27" s="103">
        <v>22</v>
      </c>
      <c r="B27" s="104" t="s">
        <v>443</v>
      </c>
      <c r="C27" s="104" t="s">
        <v>434</v>
      </c>
      <c r="D27" s="105" t="s">
        <v>441</v>
      </c>
      <c r="E27" s="105" t="s">
        <v>444</v>
      </c>
      <c r="F27" s="128" t="s">
        <v>378</v>
      </c>
      <c r="G27" s="111">
        <f>IF(COUNTIF('Product-Requirement'!B:B,'MLSR List'!B27&amp;"*")=0,"",COUNTIF('Product-Requirement'!B:B,'MLSR List'!B27&amp;"*"))</f>
        <v>2</v>
      </c>
      <c r="H27" s="109"/>
      <c r="I27" s="107" t="s">
        <v>378</v>
      </c>
      <c r="J27" s="107" t="s">
        <v>379</v>
      </c>
      <c r="K27" s="107" t="s">
        <v>379</v>
      </c>
      <c r="L27" s="107" t="s">
        <v>379</v>
      </c>
      <c r="M27" s="107" t="s">
        <v>379</v>
      </c>
      <c r="N27" s="107" t="s">
        <v>379</v>
      </c>
      <c r="O27" s="107" t="s">
        <v>379</v>
      </c>
      <c r="P27" s="107" t="s">
        <v>379</v>
      </c>
      <c r="Q27" s="107" t="s">
        <v>379</v>
      </c>
      <c r="R27" s="107" t="s">
        <v>379</v>
      </c>
    </row>
    <row r="28" spans="1:18" ht="15.75">
      <c r="A28" s="103">
        <v>23</v>
      </c>
      <c r="B28" s="104" t="s">
        <v>445</v>
      </c>
      <c r="C28" s="104" t="s">
        <v>434</v>
      </c>
      <c r="D28" s="105" t="s">
        <v>446</v>
      </c>
      <c r="E28" s="105" t="s">
        <v>447</v>
      </c>
      <c r="F28" s="128" t="s">
        <v>378</v>
      </c>
      <c r="G28" s="111">
        <f>IF(COUNTIF('Product-Requirement'!B:B,'MLSR List'!B28&amp;"*")=0,"",COUNTIF('Product-Requirement'!B:B,'MLSR List'!B28&amp;"*"))</f>
        <v>2</v>
      </c>
      <c r="H28" s="109"/>
      <c r="I28" s="107" t="s">
        <v>378</v>
      </c>
      <c r="J28" s="107" t="s">
        <v>379</v>
      </c>
      <c r="K28" s="107" t="s">
        <v>379</v>
      </c>
      <c r="L28" s="107" t="s">
        <v>379</v>
      </c>
      <c r="M28" s="107" t="s">
        <v>379</v>
      </c>
      <c r="N28" s="107" t="s">
        <v>379</v>
      </c>
      <c r="O28" s="107" t="s">
        <v>379</v>
      </c>
      <c r="P28" s="107" t="s">
        <v>379</v>
      </c>
      <c r="Q28" s="107" t="s">
        <v>379</v>
      </c>
      <c r="R28" s="107" t="s">
        <v>379</v>
      </c>
    </row>
    <row r="29" spans="1:18" ht="15.75">
      <c r="A29" s="103">
        <v>24</v>
      </c>
      <c r="B29" s="104" t="s">
        <v>448</v>
      </c>
      <c r="C29" s="104" t="s">
        <v>403</v>
      </c>
      <c r="D29" s="105" t="s">
        <v>449</v>
      </c>
      <c r="E29" s="105" t="s">
        <v>450</v>
      </c>
      <c r="F29" s="128" t="s">
        <v>378</v>
      </c>
      <c r="G29" s="111">
        <f>IF(COUNTIF('Product-Requirement'!B:B,'MLSR List'!B29&amp;"*")=0,"",COUNTIF('Product-Requirement'!B:B,'MLSR List'!B29&amp;"*"))</f>
        <v>42</v>
      </c>
      <c r="H29" s="109"/>
      <c r="I29" s="107" t="s">
        <v>379</v>
      </c>
      <c r="J29" s="107" t="s">
        <v>379</v>
      </c>
      <c r="K29" s="107" t="s">
        <v>379</v>
      </c>
      <c r="L29" s="107" t="s">
        <v>379</v>
      </c>
      <c r="M29" s="107" t="s">
        <v>379</v>
      </c>
      <c r="N29" s="107" t="s">
        <v>379</v>
      </c>
      <c r="O29" s="107" t="s">
        <v>379</v>
      </c>
      <c r="P29" s="107" t="s">
        <v>379</v>
      </c>
      <c r="Q29" s="107" t="s">
        <v>378</v>
      </c>
      <c r="R29" s="107" t="s">
        <v>379</v>
      </c>
    </row>
    <row r="30" spans="1:18" ht="15.75">
      <c r="A30" s="103">
        <v>25</v>
      </c>
      <c r="B30" s="104" t="s">
        <v>451</v>
      </c>
      <c r="C30" s="104" t="s">
        <v>403</v>
      </c>
      <c r="D30" s="105" t="s">
        <v>452</v>
      </c>
      <c r="E30" s="105" t="s">
        <v>453</v>
      </c>
      <c r="F30" s="128" t="s">
        <v>378</v>
      </c>
      <c r="G30" s="111">
        <f>IF(COUNTIF('Product-Requirement'!B:B,'MLSR List'!B30&amp;"*")=0,"",COUNTIF('Product-Requirement'!B:B,'MLSR List'!B30&amp;"*"))</f>
        <v>15</v>
      </c>
      <c r="H30" s="109"/>
      <c r="I30" s="107" t="s">
        <v>378</v>
      </c>
      <c r="J30" s="107" t="s">
        <v>378</v>
      </c>
      <c r="K30" s="107" t="s">
        <v>378</v>
      </c>
      <c r="L30" s="107" t="s">
        <v>378</v>
      </c>
      <c r="M30" s="107" t="s">
        <v>378</v>
      </c>
      <c r="N30" s="107" t="s">
        <v>378</v>
      </c>
      <c r="O30" s="107" t="s">
        <v>378</v>
      </c>
      <c r="P30" s="107" t="s">
        <v>378</v>
      </c>
      <c r="Q30" s="107" t="s">
        <v>378</v>
      </c>
      <c r="R30" s="107" t="s">
        <v>378</v>
      </c>
    </row>
    <row r="31" spans="1:18" ht="15.75">
      <c r="A31" s="103">
        <v>26</v>
      </c>
      <c r="B31" s="104" t="s">
        <v>454</v>
      </c>
      <c r="C31" s="104" t="s">
        <v>403</v>
      </c>
      <c r="D31" s="105" t="s">
        <v>455</v>
      </c>
      <c r="E31" s="105" t="s">
        <v>456</v>
      </c>
      <c r="F31" s="128" t="s">
        <v>378</v>
      </c>
      <c r="G31" s="111">
        <f>IF(COUNTIF('Product-Requirement'!B:B,'MLSR List'!B31&amp;"*")=0,"",COUNTIF('Product-Requirement'!B:B,'MLSR List'!B31&amp;"*"))</f>
        <v>11</v>
      </c>
      <c r="H31" s="109"/>
      <c r="I31" s="107" t="s">
        <v>379</v>
      </c>
      <c r="J31" s="107" t="s">
        <v>379</v>
      </c>
      <c r="K31" s="107" t="s">
        <v>379</v>
      </c>
      <c r="L31" s="107" t="s">
        <v>379</v>
      </c>
      <c r="M31" s="107" t="s">
        <v>379</v>
      </c>
      <c r="N31" s="107" t="s">
        <v>379</v>
      </c>
      <c r="O31" s="107" t="s">
        <v>378</v>
      </c>
      <c r="P31" s="107" t="s">
        <v>378</v>
      </c>
      <c r="Q31" s="107" t="s">
        <v>378</v>
      </c>
      <c r="R31" s="107" t="s">
        <v>378</v>
      </c>
    </row>
    <row r="32" spans="1:18" ht="15.75">
      <c r="A32" s="103">
        <v>27</v>
      </c>
      <c r="B32" s="104" t="s">
        <v>457</v>
      </c>
      <c r="C32" s="104" t="s">
        <v>206</v>
      </c>
      <c r="D32" s="104" t="s">
        <v>458</v>
      </c>
      <c r="E32" s="105" t="s">
        <v>459</v>
      </c>
      <c r="F32" s="128" t="s">
        <v>378</v>
      </c>
      <c r="G32" s="111">
        <f>IF(COUNTIF('Product-Requirement'!B:B,'MLSR List'!B32&amp;"*")=0,"",COUNTIF('Product-Requirement'!B:B,'MLSR List'!B32&amp;"*"))</f>
        <v>10</v>
      </c>
      <c r="H32" s="109"/>
      <c r="I32" s="107" t="s">
        <v>378</v>
      </c>
      <c r="J32" s="107" t="s">
        <v>379</v>
      </c>
      <c r="K32" s="107" t="s">
        <v>379</v>
      </c>
      <c r="L32" s="107" t="s">
        <v>379</v>
      </c>
      <c r="M32" s="107" t="s">
        <v>379</v>
      </c>
      <c r="N32" s="107" t="s">
        <v>379</v>
      </c>
      <c r="O32" s="107" t="s">
        <v>379</v>
      </c>
      <c r="P32" s="107" t="s">
        <v>379</v>
      </c>
      <c r="Q32" s="107" t="s">
        <v>379</v>
      </c>
      <c r="R32" s="107" t="s">
        <v>379</v>
      </c>
    </row>
    <row r="33" spans="1:18" s="192" customFormat="1" ht="15.75">
      <c r="A33" s="103">
        <v>28</v>
      </c>
      <c r="B33" s="189" t="s">
        <v>460</v>
      </c>
      <c r="C33" s="189" t="s">
        <v>206</v>
      </c>
      <c r="D33" s="190" t="s">
        <v>461</v>
      </c>
      <c r="E33" s="190" t="s">
        <v>462</v>
      </c>
      <c r="F33" s="128" t="s">
        <v>379</v>
      </c>
      <c r="G33" s="111">
        <v>0</v>
      </c>
      <c r="H33" s="191"/>
      <c r="I33" s="129" t="s">
        <v>378</v>
      </c>
      <c r="J33" s="129" t="s">
        <v>379</v>
      </c>
      <c r="K33" s="129" t="s">
        <v>379</v>
      </c>
      <c r="L33" s="129" t="s">
        <v>379</v>
      </c>
      <c r="M33" s="129" t="s">
        <v>379</v>
      </c>
      <c r="N33" s="129" t="s">
        <v>379</v>
      </c>
      <c r="O33" s="129" t="s">
        <v>379</v>
      </c>
      <c r="P33" s="129" t="s">
        <v>379</v>
      </c>
      <c r="Q33" s="129" t="s">
        <v>379</v>
      </c>
      <c r="R33" s="129" t="s">
        <v>379</v>
      </c>
    </row>
    <row r="34" spans="1:18" ht="15.75">
      <c r="A34" s="103">
        <v>29</v>
      </c>
      <c r="B34" s="104" t="s">
        <v>463</v>
      </c>
      <c r="C34" s="104" t="s">
        <v>403</v>
      </c>
      <c r="D34" s="105" t="s">
        <v>464</v>
      </c>
      <c r="E34" s="105" t="s">
        <v>465</v>
      </c>
      <c r="F34" s="128" t="s">
        <v>378</v>
      </c>
      <c r="G34" s="111">
        <f>IF(COUNTIF('Product-Requirement'!B:B,'MLSR List'!B34&amp;"*")=0,"",COUNTIF('Product-Requirement'!B:B,'MLSR List'!B34&amp;"*"))</f>
        <v>10</v>
      </c>
      <c r="H34" s="109"/>
      <c r="I34" s="107" t="s">
        <v>379</v>
      </c>
      <c r="J34" s="107" t="s">
        <v>379</v>
      </c>
      <c r="K34" s="107" t="s">
        <v>379</v>
      </c>
      <c r="L34" s="107" t="s">
        <v>379</v>
      </c>
      <c r="M34" s="107" t="s">
        <v>379</v>
      </c>
      <c r="N34" s="107" t="s">
        <v>379</v>
      </c>
      <c r="O34" s="107" t="s">
        <v>378</v>
      </c>
      <c r="P34" s="107" t="s">
        <v>378</v>
      </c>
      <c r="Q34" s="107" t="s">
        <v>378</v>
      </c>
      <c r="R34" s="107" t="s">
        <v>378</v>
      </c>
    </row>
    <row r="35" spans="1:18" ht="15.75">
      <c r="A35" s="103">
        <v>30</v>
      </c>
      <c r="B35" s="104" t="s">
        <v>466</v>
      </c>
      <c r="C35" s="104" t="s">
        <v>403</v>
      </c>
      <c r="D35" s="105" t="s">
        <v>467</v>
      </c>
      <c r="E35" s="105" t="s">
        <v>468</v>
      </c>
      <c r="F35" s="128" t="s">
        <v>378</v>
      </c>
      <c r="G35" s="111">
        <f>IF(COUNTIF('Product-Requirement'!B:B,'MLSR List'!B35&amp;"*")=0,"",COUNTIF('Product-Requirement'!B:B,'MLSR List'!B35&amp;"*"))</f>
        <v>7</v>
      </c>
      <c r="H35" s="109"/>
      <c r="I35" s="107" t="s">
        <v>379</v>
      </c>
      <c r="J35" s="107" t="s">
        <v>379</v>
      </c>
      <c r="K35" s="107" t="s">
        <v>379</v>
      </c>
      <c r="L35" s="107" t="s">
        <v>379</v>
      </c>
      <c r="M35" s="107" t="s">
        <v>379</v>
      </c>
      <c r="N35" s="107" t="s">
        <v>379</v>
      </c>
      <c r="O35" s="107" t="s">
        <v>378</v>
      </c>
      <c r="P35" s="107" t="s">
        <v>378</v>
      </c>
      <c r="Q35" s="107" t="s">
        <v>378</v>
      </c>
      <c r="R35" s="107" t="s">
        <v>378</v>
      </c>
    </row>
    <row r="36" spans="1:18" ht="15.75">
      <c r="A36" s="103">
        <v>31</v>
      </c>
      <c r="B36" s="104" t="s">
        <v>469</v>
      </c>
      <c r="C36" s="104" t="s">
        <v>206</v>
      </c>
      <c r="D36" s="105" t="s">
        <v>470</v>
      </c>
      <c r="E36" s="105" t="s">
        <v>471</v>
      </c>
      <c r="F36" s="128" t="s">
        <v>378</v>
      </c>
      <c r="G36" s="111">
        <f>IF(COUNTIF('Product-Requirement'!B:B,'MLSR List'!B36&amp;"*")=0,"",COUNTIF('Product-Requirement'!B:B,'MLSR List'!B36&amp;"*"))</f>
        <v>74</v>
      </c>
      <c r="H36" s="109"/>
      <c r="I36" s="108" t="s">
        <v>379</v>
      </c>
      <c r="J36" s="108" t="s">
        <v>379</v>
      </c>
      <c r="K36" s="108" t="s">
        <v>379</v>
      </c>
      <c r="L36" s="108" t="s">
        <v>379</v>
      </c>
      <c r="M36" s="108" t="s">
        <v>379</v>
      </c>
      <c r="N36" s="108" t="s">
        <v>379</v>
      </c>
      <c r="O36" s="108" t="s">
        <v>379</v>
      </c>
      <c r="P36" s="108" t="s">
        <v>379</v>
      </c>
      <c r="Q36" s="108" t="s">
        <v>379</v>
      </c>
      <c r="R36" s="108" t="s">
        <v>379</v>
      </c>
    </row>
    <row r="37" spans="1:18" ht="15.75">
      <c r="A37" s="103">
        <v>32</v>
      </c>
      <c r="B37" s="104" t="s">
        <v>472</v>
      </c>
      <c r="C37" s="104" t="s">
        <v>206</v>
      </c>
      <c r="D37" s="105" t="s">
        <v>473</v>
      </c>
      <c r="E37" s="105" t="s">
        <v>474</v>
      </c>
      <c r="F37" s="128" t="s">
        <v>378</v>
      </c>
      <c r="G37" s="111">
        <f>IF(COUNTIF('Product-Requirement'!B:B,'MLSR List'!B37&amp;"*")=0,"",COUNTIF('Product-Requirement'!B:B,'MLSR List'!B37&amp;"*"))</f>
        <v>116</v>
      </c>
      <c r="H37" s="109"/>
      <c r="I37" s="108" t="s">
        <v>379</v>
      </c>
      <c r="J37" s="108" t="s">
        <v>379</v>
      </c>
      <c r="K37" s="108" t="s">
        <v>379</v>
      </c>
      <c r="L37" s="108" t="s">
        <v>379</v>
      </c>
      <c r="M37" s="108" t="s">
        <v>379</v>
      </c>
      <c r="N37" s="108" t="s">
        <v>379</v>
      </c>
      <c r="O37" s="108" t="s">
        <v>379</v>
      </c>
      <c r="P37" s="108" t="s">
        <v>379</v>
      </c>
      <c r="Q37" s="108" t="s">
        <v>379</v>
      </c>
      <c r="R37" s="108" t="s">
        <v>379</v>
      </c>
    </row>
    <row r="38" spans="1:18" ht="15.75">
      <c r="A38" s="103">
        <v>33</v>
      </c>
      <c r="B38" s="104" t="s">
        <v>475</v>
      </c>
      <c r="C38" s="104" t="s">
        <v>206</v>
      </c>
      <c r="D38" s="105" t="s">
        <v>476</v>
      </c>
      <c r="E38" s="105" t="s">
        <v>477</v>
      </c>
      <c r="F38" s="128" t="s">
        <v>378</v>
      </c>
      <c r="G38" s="111">
        <f>IF(COUNTIF('Product-Requirement'!B:B,'MLSR List'!B38&amp;"*")=0,"",COUNTIF('Product-Requirement'!B:B,'MLSR List'!B38&amp;"*"))</f>
        <v>39</v>
      </c>
      <c r="H38" s="109"/>
      <c r="I38" s="108" t="s">
        <v>379</v>
      </c>
      <c r="J38" s="108" t="s">
        <v>379</v>
      </c>
      <c r="K38" s="108" t="s">
        <v>379</v>
      </c>
      <c r="L38" s="108" t="s">
        <v>379</v>
      </c>
      <c r="M38" s="108" t="s">
        <v>379</v>
      </c>
      <c r="N38" s="108" t="s">
        <v>379</v>
      </c>
      <c r="O38" s="108" t="s">
        <v>379</v>
      </c>
      <c r="P38" s="108" t="s">
        <v>379</v>
      </c>
      <c r="Q38" s="108" t="s">
        <v>379</v>
      </c>
      <c r="R38" s="108" t="s">
        <v>379</v>
      </c>
    </row>
    <row r="39" spans="1:18" ht="15.75">
      <c r="A39" s="103">
        <v>34</v>
      </c>
      <c r="B39" s="104" t="s">
        <v>478</v>
      </c>
      <c r="C39" s="104" t="s">
        <v>206</v>
      </c>
      <c r="D39" s="105" t="s">
        <v>479</v>
      </c>
      <c r="E39" s="105" t="s">
        <v>480</v>
      </c>
      <c r="F39" s="128" t="s">
        <v>378</v>
      </c>
      <c r="G39" s="111">
        <f>IF(COUNTIF('Product-Requirement'!B:B,'MLSR List'!B39&amp;"*")=0,"",COUNTIF('Product-Requirement'!B:B,'MLSR List'!B39&amp;"*"))</f>
        <v>54</v>
      </c>
      <c r="H39" s="109"/>
      <c r="I39" s="108" t="s">
        <v>379</v>
      </c>
      <c r="J39" s="108" t="s">
        <v>379</v>
      </c>
      <c r="K39" s="108" t="s">
        <v>379</v>
      </c>
      <c r="L39" s="108" t="s">
        <v>379</v>
      </c>
      <c r="M39" s="108" t="s">
        <v>379</v>
      </c>
      <c r="N39" s="108" t="s">
        <v>379</v>
      </c>
      <c r="O39" s="108" t="s">
        <v>379</v>
      </c>
      <c r="P39" s="108" t="s">
        <v>379</v>
      </c>
      <c r="Q39" s="108" t="s">
        <v>379</v>
      </c>
      <c r="R39" s="108" t="s">
        <v>379</v>
      </c>
    </row>
    <row r="40" spans="1:18" ht="15.75">
      <c r="A40" s="103">
        <v>35</v>
      </c>
      <c r="B40" s="104" t="s">
        <v>481</v>
      </c>
      <c r="C40" s="104" t="s">
        <v>226</v>
      </c>
      <c r="D40" s="105" t="s">
        <v>482</v>
      </c>
      <c r="E40" s="105" t="s">
        <v>483</v>
      </c>
      <c r="F40" s="128" t="s">
        <v>378</v>
      </c>
      <c r="G40" s="111">
        <f>IF(COUNTIF('Product-Requirement'!B:B,'MLSR List'!B40&amp;"*")=0,"",COUNTIF('Product-Requirement'!B:B,'MLSR List'!B40&amp;"*"))</f>
        <v>106</v>
      </c>
      <c r="H40" s="109"/>
      <c r="I40" s="108" t="s">
        <v>378</v>
      </c>
      <c r="J40" s="108" t="s">
        <v>378</v>
      </c>
      <c r="K40" s="108" t="s">
        <v>378</v>
      </c>
      <c r="L40" s="108" t="s">
        <v>378</v>
      </c>
      <c r="M40" s="108" t="s">
        <v>378</v>
      </c>
      <c r="N40" s="108" t="s">
        <v>378</v>
      </c>
      <c r="O40" s="108" t="s">
        <v>378</v>
      </c>
      <c r="P40" s="108" t="s">
        <v>378</v>
      </c>
      <c r="Q40" s="108" t="s">
        <v>378</v>
      </c>
      <c r="R40" s="108" t="s">
        <v>378</v>
      </c>
    </row>
    <row r="41" spans="1:18" ht="15.75">
      <c r="A41" s="103">
        <v>36</v>
      </c>
      <c r="B41" s="104" t="s">
        <v>484</v>
      </c>
      <c r="C41" s="104" t="s">
        <v>403</v>
      </c>
      <c r="D41" s="105" t="s">
        <v>485</v>
      </c>
      <c r="E41" s="105" t="s">
        <v>486</v>
      </c>
      <c r="F41" s="128" t="s">
        <v>378</v>
      </c>
      <c r="G41" s="111">
        <f>IF(COUNTIF('Product-Requirement'!B:B,'MLSR List'!B41&amp;"*")=0,"",COUNTIF('Product-Requirement'!B:B,'MLSR List'!B41&amp;"*"))</f>
        <v>28</v>
      </c>
      <c r="H41" s="109"/>
      <c r="I41" s="108" t="s">
        <v>379</v>
      </c>
      <c r="J41" s="108" t="s">
        <v>379</v>
      </c>
      <c r="K41" s="108" t="s">
        <v>379</v>
      </c>
      <c r="L41" s="108" t="s">
        <v>379</v>
      </c>
      <c r="M41" s="108" t="s">
        <v>379</v>
      </c>
      <c r="N41" s="108" t="s">
        <v>379</v>
      </c>
      <c r="O41" s="108" t="s">
        <v>379</v>
      </c>
      <c r="P41" s="108" t="s">
        <v>379</v>
      </c>
      <c r="Q41" s="108" t="s">
        <v>379</v>
      </c>
      <c r="R41" s="108" t="s">
        <v>379</v>
      </c>
    </row>
    <row r="42" spans="1:18" ht="15.75">
      <c r="A42" s="103">
        <v>37</v>
      </c>
      <c r="B42" s="104" t="s">
        <v>487</v>
      </c>
      <c r="C42" s="104" t="s">
        <v>218</v>
      </c>
      <c r="D42" s="105" t="s">
        <v>488</v>
      </c>
      <c r="E42" s="105" t="s">
        <v>489</v>
      </c>
      <c r="F42" s="128" t="s">
        <v>378</v>
      </c>
      <c r="G42" s="111">
        <f>IF(COUNTIF('Product-Requirement'!B:B,'MLSR List'!B42&amp;"*")=0,"",COUNTIF('Product-Requirement'!B:B,'MLSR List'!B42&amp;"*"))</f>
        <v>49</v>
      </c>
      <c r="H42" s="109"/>
      <c r="I42" s="108" t="s">
        <v>379</v>
      </c>
      <c r="J42" s="108" t="s">
        <v>379</v>
      </c>
      <c r="K42" s="108" t="s">
        <v>379</v>
      </c>
      <c r="L42" s="108" t="s">
        <v>379</v>
      </c>
      <c r="M42" s="108" t="s">
        <v>379</v>
      </c>
      <c r="N42" s="108" t="s">
        <v>379</v>
      </c>
      <c r="O42" s="108" t="s">
        <v>379</v>
      </c>
      <c r="P42" s="108" t="s">
        <v>379</v>
      </c>
      <c r="Q42" s="108" t="s">
        <v>379</v>
      </c>
      <c r="R42" s="108" t="s">
        <v>379</v>
      </c>
    </row>
    <row r="43" spans="1:18" ht="15.75">
      <c r="A43" s="103">
        <v>38</v>
      </c>
      <c r="B43" s="104" t="s">
        <v>490</v>
      </c>
      <c r="C43" s="104" t="s">
        <v>206</v>
      </c>
      <c r="D43" s="105" t="s">
        <v>491</v>
      </c>
      <c r="E43" s="105" t="s">
        <v>492</v>
      </c>
      <c r="F43" s="128" t="s">
        <v>378</v>
      </c>
      <c r="G43" s="111">
        <f>IF(COUNTIF('Product-Requirement'!B:B,'MLSR List'!B43&amp;"*")=0,"",COUNTIF('Product-Requirement'!B:B,'MLSR List'!B43&amp;"*"))</f>
        <v>58</v>
      </c>
      <c r="H43" s="109"/>
      <c r="I43" s="108" t="s">
        <v>379</v>
      </c>
      <c r="J43" s="108" t="s">
        <v>379</v>
      </c>
      <c r="K43" s="108" t="s">
        <v>379</v>
      </c>
      <c r="L43" s="108" t="s">
        <v>379</v>
      </c>
      <c r="M43" s="108" t="s">
        <v>379</v>
      </c>
      <c r="N43" s="108" t="s">
        <v>379</v>
      </c>
      <c r="O43" s="108" t="s">
        <v>379</v>
      </c>
      <c r="P43" s="108" t="s">
        <v>379</v>
      </c>
      <c r="Q43" s="108" t="s">
        <v>379</v>
      </c>
      <c r="R43" s="108" t="s">
        <v>379</v>
      </c>
    </row>
    <row r="44" spans="1:18" ht="15.75">
      <c r="A44" s="103">
        <v>39</v>
      </c>
      <c r="B44" s="104" t="s">
        <v>493</v>
      </c>
      <c r="C44" s="104" t="s">
        <v>206</v>
      </c>
      <c r="D44" s="105" t="s">
        <v>494</v>
      </c>
      <c r="E44" s="105" t="s">
        <v>495</v>
      </c>
      <c r="F44" s="128" t="s">
        <v>378</v>
      </c>
      <c r="G44" s="111">
        <f>IF(COUNTIF('Product-Requirement'!B:B,'MLSR List'!B44&amp;"*")=0,"",COUNTIF('Product-Requirement'!B:B,'MLSR List'!B44&amp;"*"))</f>
        <v>31</v>
      </c>
      <c r="H44" s="109"/>
      <c r="I44" s="108" t="s">
        <v>379</v>
      </c>
      <c r="J44" s="108" t="s">
        <v>379</v>
      </c>
      <c r="K44" s="108" t="s">
        <v>379</v>
      </c>
      <c r="L44" s="108" t="s">
        <v>379</v>
      </c>
      <c r="M44" s="108" t="s">
        <v>379</v>
      </c>
      <c r="N44" s="108" t="s">
        <v>379</v>
      </c>
      <c r="O44" s="108" t="s">
        <v>379</v>
      </c>
      <c r="P44" s="108" t="s">
        <v>379</v>
      </c>
      <c r="Q44" s="108" t="s">
        <v>379</v>
      </c>
      <c r="R44" s="108" t="s">
        <v>379</v>
      </c>
    </row>
  </sheetData>
  <sheetProtection formatCells="0" formatColumns="0" formatRows="0" insertColumns="0" insertRows="0" insertHyperlinks="0" deleteColumns="0" deleteRows="0" selectLockedCells="1" sort="0" autoFilter="0" pivotTables="0"/>
  <mergeCells count="5">
    <mergeCell ref="E4:F4"/>
    <mergeCell ref="I4:K4"/>
    <mergeCell ref="B2:F2"/>
    <mergeCell ref="I3:K3"/>
    <mergeCell ref="B1:G1"/>
  </mergeCells>
  <conditionalFormatting sqref="F3 G4:I4 F5:J5 G6:H6 H7:H21 H32 F6:F32 F34:F44 H34:H44 F45:J1048576">
    <cfRule type="cellIs" dxfId="58" priority="187" operator="equal">
      <formula>"Yes"</formula>
    </cfRule>
  </conditionalFormatting>
  <conditionalFormatting sqref="K5:Q5 G7:G44">
    <cfRule type="cellIs" dxfId="57" priority="111" operator="equal">
      <formula>"Yes"</formula>
    </cfRule>
  </conditionalFormatting>
  <conditionalFormatting sqref="E34">
    <cfRule type="duplicateValues" dxfId="56" priority="87"/>
  </conditionalFormatting>
  <conditionalFormatting sqref="E35">
    <cfRule type="duplicateValues" dxfId="55" priority="86"/>
  </conditionalFormatting>
  <conditionalFormatting sqref="D9">
    <cfRule type="duplicateValues" dxfId="54" priority="85"/>
  </conditionalFormatting>
  <conditionalFormatting sqref="D10">
    <cfRule type="duplicateValues" dxfId="53" priority="84"/>
  </conditionalFormatting>
  <conditionalFormatting sqref="D13:D16">
    <cfRule type="duplicateValues" dxfId="52" priority="83"/>
  </conditionalFormatting>
  <conditionalFormatting sqref="D17:D20">
    <cfRule type="duplicateValues" dxfId="51" priority="82"/>
  </conditionalFormatting>
  <conditionalFormatting sqref="F6:F32 F34:F44">
    <cfRule type="cellIs" dxfId="50" priority="71" operator="equal">
      <formula>"No"</formula>
    </cfRule>
  </conditionalFormatting>
  <conditionalFormatting sqref="I14:R14 I26:R32">
    <cfRule type="cellIs" dxfId="49" priority="55" operator="equal">
      <formula>"Yes"</formula>
    </cfRule>
    <cfRule type="cellIs" dxfId="48" priority="56" operator="equal">
      <formula>"No"</formula>
    </cfRule>
  </conditionalFormatting>
  <conditionalFormatting sqref="I6:R13">
    <cfRule type="cellIs" dxfId="47" priority="49" operator="equal">
      <formula>"Yes"</formula>
    </cfRule>
    <cfRule type="cellIs" dxfId="46" priority="50" operator="notEqual">
      <formula>"Yes"</formula>
    </cfRule>
  </conditionalFormatting>
  <conditionalFormatting sqref="I15:R25">
    <cfRule type="cellIs" dxfId="45" priority="47" operator="equal">
      <formula>"Yes"</formula>
    </cfRule>
    <cfRule type="cellIs" dxfId="44" priority="48" operator="equal">
      <formula>"No"</formula>
    </cfRule>
  </conditionalFormatting>
  <conditionalFormatting sqref="I34:R35">
    <cfRule type="cellIs" dxfId="43" priority="43" operator="equal">
      <formula>"Yes"</formula>
    </cfRule>
    <cfRule type="cellIs" dxfId="42" priority="44" operator="equal">
      <formula>"No"</formula>
    </cfRule>
  </conditionalFormatting>
  <conditionalFormatting sqref="I36:R36">
    <cfRule type="cellIs" dxfId="41" priority="41" operator="equal">
      <formula>"Yes"</formula>
    </cfRule>
    <cfRule type="cellIs" dxfId="40" priority="42" operator="equal">
      <formula>"No"</formula>
    </cfRule>
  </conditionalFormatting>
  <conditionalFormatting sqref="I40:R40">
    <cfRule type="cellIs" dxfId="39" priority="21" operator="equal">
      <formula>"Yes"</formula>
    </cfRule>
    <cfRule type="cellIs" dxfId="38" priority="22" operator="equal">
      <formula>"No"</formula>
    </cfRule>
  </conditionalFormatting>
  <conditionalFormatting sqref="E6">
    <cfRule type="duplicateValues" dxfId="37" priority="554"/>
  </conditionalFormatting>
  <conditionalFormatting sqref="E7:E10">
    <cfRule type="duplicateValues" dxfId="36" priority="560"/>
  </conditionalFormatting>
  <conditionalFormatting sqref="D7:E21 H7:H21">
    <cfRule type="duplicateValues" dxfId="35" priority="563"/>
  </conditionalFormatting>
  <conditionalFormatting sqref="I37:R37">
    <cfRule type="cellIs" dxfId="34" priority="19" operator="equal">
      <formula>"Yes"</formula>
    </cfRule>
    <cfRule type="cellIs" dxfId="33" priority="20" operator="equal">
      <formula>"No"</formula>
    </cfRule>
  </conditionalFormatting>
  <conditionalFormatting sqref="I38:R38">
    <cfRule type="cellIs" dxfId="32" priority="17" operator="equal">
      <formula>"Yes"</formula>
    </cfRule>
    <cfRule type="cellIs" dxfId="31" priority="18" operator="equal">
      <formula>"No"</formula>
    </cfRule>
  </conditionalFormatting>
  <conditionalFormatting sqref="I39:R39">
    <cfRule type="cellIs" dxfId="30" priority="15" operator="equal">
      <formula>"Yes"</formula>
    </cfRule>
    <cfRule type="cellIs" dxfId="29" priority="16" operator="equal">
      <formula>"No"</formula>
    </cfRule>
  </conditionalFormatting>
  <conditionalFormatting sqref="I41:R41">
    <cfRule type="cellIs" dxfId="28" priority="13" operator="equal">
      <formula>"Yes"</formula>
    </cfRule>
    <cfRule type="cellIs" dxfId="27" priority="14" operator="equal">
      <formula>"No"</formula>
    </cfRule>
  </conditionalFormatting>
  <conditionalFormatting sqref="I42:R42">
    <cfRule type="cellIs" dxfId="26" priority="11" operator="equal">
      <formula>"Yes"</formula>
    </cfRule>
    <cfRule type="cellIs" dxfId="25" priority="12" operator="equal">
      <formula>"No"</formula>
    </cfRule>
  </conditionalFormatting>
  <conditionalFormatting sqref="I43:R43">
    <cfRule type="cellIs" dxfId="24" priority="9" operator="equal">
      <formula>"Yes"</formula>
    </cfRule>
    <cfRule type="cellIs" dxfId="23" priority="10" operator="equal">
      <formula>"No"</formula>
    </cfRule>
  </conditionalFormatting>
  <conditionalFormatting sqref="I44:R44">
    <cfRule type="cellIs" dxfId="22" priority="7" operator="equal">
      <formula>"Yes"</formula>
    </cfRule>
    <cfRule type="cellIs" dxfId="21" priority="8" operator="equal">
      <formula>"No"</formula>
    </cfRule>
  </conditionalFormatting>
  <conditionalFormatting sqref="E32 E11:E21">
    <cfRule type="duplicateValues" dxfId="20" priority="575"/>
  </conditionalFormatting>
  <conditionalFormatting sqref="I33:R33">
    <cfRule type="cellIs" dxfId="19" priority="5" operator="notEqual">
      <formula>"Yes"</formula>
    </cfRule>
    <cfRule type="cellIs" dxfId="18" priority="6" operator="equal">
      <formula>"Yes"</formula>
    </cfRule>
  </conditionalFormatting>
  <conditionalFormatting sqref="F33">
    <cfRule type="cellIs" dxfId="17" priority="2" operator="equal">
      <formula>"Yes"</formula>
    </cfRule>
  </conditionalFormatting>
  <conditionalFormatting sqref="F33">
    <cfRule type="cellIs" dxfId="16" priority="1" operator="equal">
      <formula>"No"</formula>
    </cfRule>
  </conditionalFormatting>
  <conditionalFormatting sqref="D32:E32 H32 H34:H44 D34:E44">
    <cfRule type="duplicateValues" dxfId="15" priority="578"/>
  </conditionalFormatting>
  <dataValidations count="1">
    <dataValidation type="list" allowBlank="1" showInputMessage="1" showErrorMessage="1" sqref="F6:F44" xr:uid="{00000000-0002-0000-0500-000000000000}">
      <formula1>"Yes,No,N/A"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AssignStandards">
                <anchor moveWithCells="1">
                  <from>
                    <xdr:col>1</xdr:col>
                    <xdr:colOff>485775</xdr:colOff>
                    <xdr:row>1</xdr:row>
                    <xdr:rowOff>95250</xdr:rowOff>
                  </from>
                  <to>
                    <xdr:col>3</xdr:col>
                    <xdr:colOff>1266825</xdr:colOff>
                    <xdr:row>1</xdr:row>
                    <xdr:rowOff>447675</xdr:rowOff>
                  </to>
                </anchor>
              </controlPr>
            </control>
          </mc:Choice>
        </mc:AlternateContent>
        <mc:AlternateContent xmlns:mc="http://schemas.openxmlformats.org/markup-compatibility/2006">
          <mc:Choice Requires="x14">
            <control shapeId="3075" r:id="rId5" name="Button 3">
              <controlPr defaultSize="0" print="0" autoFill="0" autoPict="0" macro="[0]!AssignApplicableCountry">
                <anchor moveWithCells="1">
                  <from>
                    <xdr:col>4</xdr:col>
                    <xdr:colOff>266700</xdr:colOff>
                    <xdr:row>1</xdr:row>
                    <xdr:rowOff>95250</xdr:rowOff>
                  </from>
                  <to>
                    <xdr:col>4</xdr:col>
                    <xdr:colOff>2933700</xdr:colOff>
                    <xdr:row>1</xdr:row>
                    <xdr:rowOff>457200</xdr:rowOff>
                  </to>
                </anchor>
              </controlPr>
            </control>
          </mc:Choice>
        </mc:AlternateContent>
        <mc:AlternateContent xmlns:mc="http://schemas.openxmlformats.org/markup-compatibility/2006">
          <mc:Choice Requires="x14">
            <control shapeId="3100" r:id="rId6" name="Button 28">
              <controlPr defaultSize="0" print="0" autoFill="0" autoPict="0" macro="[0]!AssignReferenceId">
                <anchor moveWithCells="1">
                  <from>
                    <xdr:col>4</xdr:col>
                    <xdr:colOff>3352800</xdr:colOff>
                    <xdr:row>1</xdr:row>
                    <xdr:rowOff>104775</xdr:rowOff>
                  </from>
                  <to>
                    <xdr:col>4</xdr:col>
                    <xdr:colOff>6248400</xdr:colOff>
                    <xdr:row>1</xdr:row>
                    <xdr:rowOff>466725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'Macro New'!$B$16:$B$23</xm:f>
          </x14:formula1>
          <xm:sqref>C6:C32 C34:C44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M2024"/>
  <sheetViews>
    <sheetView showGridLines="0" zoomScale="90" zoomScaleNormal="90" zoomScalePageLayoutView="55" workbookViewId="0">
      <pane ySplit="2" topLeftCell="A3" activePane="bottomLeft" state="frozen"/>
      <selection pane="bottomLeft" activeCell="E5" sqref="E5"/>
      <selection activeCell="A2" sqref="A2"/>
    </sheetView>
  </sheetViews>
  <sheetFormatPr defaultRowHeight="15"/>
  <cols>
    <col min="1" max="1" width="10.7109375" style="135" bestFit="1" customWidth="1"/>
    <col min="2" max="2" width="21" style="135" customWidth="1"/>
    <col min="3" max="3" width="22" style="135" customWidth="1"/>
    <col min="4" max="4" width="27.42578125" style="112" customWidth="1"/>
    <col min="5" max="5" width="72.7109375" style="119" customWidth="1"/>
    <col min="6" max="6" width="23.7109375" style="119" customWidth="1"/>
    <col min="7" max="7" width="26.42578125" style="119" customWidth="1"/>
    <col min="8" max="8" width="23.28515625" style="119" customWidth="1"/>
    <col min="9" max="9" width="20.7109375" style="112" customWidth="1"/>
    <col min="10" max="10" width="30.42578125" style="112" customWidth="1"/>
    <col min="11" max="11" width="50" style="135" customWidth="1"/>
    <col min="12" max="12" width="21.28515625" style="135" customWidth="1"/>
    <col min="13" max="13" width="21" style="135" customWidth="1"/>
    <col min="14" max="14" width="5" style="83" customWidth="1"/>
    <col min="15" max="16384" width="9.140625" style="83"/>
  </cols>
  <sheetData>
    <row r="1" spans="1:13" ht="28.5" customHeight="1">
      <c r="B1" s="237" t="s">
        <v>496</v>
      </c>
      <c r="C1" s="237"/>
      <c r="D1" s="237"/>
      <c r="E1" s="85"/>
      <c r="F1" s="85"/>
      <c r="G1" s="236" t="s">
        <v>497</v>
      </c>
      <c r="H1" s="236"/>
      <c r="I1" s="233" t="s">
        <v>498</v>
      </c>
      <c r="J1" s="234"/>
      <c r="K1" s="235"/>
    </row>
    <row r="2" spans="1:13" s="112" customFormat="1" ht="28.5">
      <c r="A2" s="51" t="s">
        <v>48</v>
      </c>
      <c r="B2" s="51" t="s">
        <v>499</v>
      </c>
      <c r="C2" s="51" t="s">
        <v>500</v>
      </c>
      <c r="D2" s="51" t="s">
        <v>55</v>
      </c>
      <c r="E2" s="51" t="s">
        <v>57</v>
      </c>
      <c r="F2" s="51" t="s">
        <v>59</v>
      </c>
      <c r="G2" s="51" t="s">
        <v>61</v>
      </c>
      <c r="H2" s="51" t="s">
        <v>63</v>
      </c>
      <c r="I2" s="51" t="s">
        <v>65</v>
      </c>
      <c r="J2" s="51" t="s">
        <v>67</v>
      </c>
      <c r="K2" s="51" t="s">
        <v>69</v>
      </c>
      <c r="L2" s="51" t="s">
        <v>71</v>
      </c>
      <c r="M2" s="51" t="s">
        <v>73</v>
      </c>
    </row>
    <row r="3" spans="1:13" s="114" customFormat="1" ht="38.25">
      <c r="A3" s="136">
        <v>1</v>
      </c>
      <c r="B3" s="129" t="s">
        <v>501</v>
      </c>
      <c r="C3" s="129" t="s">
        <v>502</v>
      </c>
      <c r="D3" s="137" t="s">
        <v>503</v>
      </c>
      <c r="E3" s="84" t="s">
        <v>504</v>
      </c>
      <c r="F3" s="113"/>
      <c r="G3" s="113"/>
      <c r="H3" s="186" t="s">
        <v>505</v>
      </c>
      <c r="I3" s="125" t="s">
        <v>326</v>
      </c>
      <c r="J3" s="125" t="s">
        <v>331</v>
      </c>
      <c r="K3" s="125" t="s">
        <v>506</v>
      </c>
      <c r="L3" s="138" t="s">
        <v>507</v>
      </c>
      <c r="M3" s="138" t="s">
        <v>508</v>
      </c>
    </row>
    <row r="4" spans="1:13" s="114" customFormat="1" ht="38.25">
      <c r="A4" s="136">
        <v>2</v>
      </c>
      <c r="B4" s="129" t="s">
        <v>509</v>
      </c>
      <c r="C4" s="129" t="s">
        <v>502</v>
      </c>
      <c r="D4" s="137" t="s">
        <v>503</v>
      </c>
      <c r="E4" s="84" t="s">
        <v>510</v>
      </c>
      <c r="F4" s="113"/>
      <c r="G4" s="113"/>
      <c r="H4" s="186" t="s">
        <v>511</v>
      </c>
      <c r="I4" s="125" t="s">
        <v>326</v>
      </c>
      <c r="J4" s="125" t="s">
        <v>331</v>
      </c>
      <c r="K4" s="125" t="s">
        <v>512</v>
      </c>
      <c r="L4" s="125" t="s">
        <v>507</v>
      </c>
      <c r="M4" s="125" t="s">
        <v>508</v>
      </c>
    </row>
    <row r="5" spans="1:13" s="114" customFormat="1" ht="38.25">
      <c r="A5" s="136">
        <v>3</v>
      </c>
      <c r="B5" s="129" t="s">
        <v>513</v>
      </c>
      <c r="C5" s="129" t="s">
        <v>502</v>
      </c>
      <c r="D5" s="137" t="s">
        <v>503</v>
      </c>
      <c r="E5" s="84" t="s">
        <v>514</v>
      </c>
      <c r="F5" s="113"/>
      <c r="G5" s="113"/>
      <c r="H5" s="186" t="s">
        <v>515</v>
      </c>
      <c r="I5" s="125" t="s">
        <v>326</v>
      </c>
      <c r="J5" s="125" t="s">
        <v>331</v>
      </c>
      <c r="K5" s="125" t="s">
        <v>512</v>
      </c>
      <c r="L5" s="138" t="s">
        <v>507</v>
      </c>
      <c r="M5" s="138" t="s">
        <v>508</v>
      </c>
    </row>
    <row r="6" spans="1:13" s="114" customFormat="1" ht="38.25">
      <c r="A6" s="136">
        <v>4</v>
      </c>
      <c r="B6" s="129" t="s">
        <v>516</v>
      </c>
      <c r="C6" s="129" t="s">
        <v>502</v>
      </c>
      <c r="D6" s="137" t="s">
        <v>503</v>
      </c>
      <c r="E6" s="84" t="s">
        <v>517</v>
      </c>
      <c r="F6" s="113"/>
      <c r="G6" s="115"/>
      <c r="H6" s="186" t="s">
        <v>518</v>
      </c>
      <c r="I6" s="125" t="s">
        <v>326</v>
      </c>
      <c r="J6" s="125" t="s">
        <v>331</v>
      </c>
      <c r="K6" s="125" t="s">
        <v>506</v>
      </c>
      <c r="L6" s="138" t="s">
        <v>507</v>
      </c>
      <c r="M6" s="138" t="s">
        <v>508</v>
      </c>
    </row>
    <row r="7" spans="1:13" s="114" customFormat="1" ht="38.25">
      <c r="A7" s="136">
        <v>5</v>
      </c>
      <c r="B7" s="129" t="s">
        <v>519</v>
      </c>
      <c r="C7" s="129" t="s">
        <v>502</v>
      </c>
      <c r="D7" s="137" t="s">
        <v>503</v>
      </c>
      <c r="E7" s="84" t="s">
        <v>520</v>
      </c>
      <c r="F7" s="113"/>
      <c r="G7" s="115"/>
      <c r="H7" s="186" t="s">
        <v>518</v>
      </c>
      <c r="I7" s="125" t="s">
        <v>326</v>
      </c>
      <c r="J7" s="125" t="s">
        <v>331</v>
      </c>
      <c r="K7" s="125" t="s">
        <v>506</v>
      </c>
      <c r="L7" s="138" t="s">
        <v>507</v>
      </c>
      <c r="M7" s="138" t="s">
        <v>508</v>
      </c>
    </row>
    <row r="8" spans="1:13" s="114" customFormat="1" ht="38.25">
      <c r="A8" s="136">
        <v>6</v>
      </c>
      <c r="B8" s="129" t="s">
        <v>518</v>
      </c>
      <c r="C8" s="129" t="s">
        <v>502</v>
      </c>
      <c r="D8" s="137" t="s">
        <v>503</v>
      </c>
      <c r="E8" s="84" t="s">
        <v>521</v>
      </c>
      <c r="F8" s="113"/>
      <c r="G8" s="115"/>
      <c r="H8" s="186" t="s">
        <v>522</v>
      </c>
      <c r="I8" s="125" t="s">
        <v>326</v>
      </c>
      <c r="J8" s="125" t="s">
        <v>331</v>
      </c>
      <c r="K8" s="125" t="s">
        <v>506</v>
      </c>
      <c r="L8" s="138" t="s">
        <v>507</v>
      </c>
      <c r="M8" s="138" t="s">
        <v>508</v>
      </c>
    </row>
    <row r="9" spans="1:13" s="114" customFormat="1" ht="25.5">
      <c r="A9" s="136">
        <v>7</v>
      </c>
      <c r="B9" s="129" t="s">
        <v>523</v>
      </c>
      <c r="C9" s="129" t="s">
        <v>502</v>
      </c>
      <c r="D9" s="137" t="s">
        <v>503</v>
      </c>
      <c r="E9" s="84" t="s">
        <v>524</v>
      </c>
      <c r="F9" s="113"/>
      <c r="G9" s="131"/>
      <c r="H9" s="186" t="s">
        <v>525</v>
      </c>
      <c r="I9" s="125" t="s">
        <v>326</v>
      </c>
      <c r="J9" s="125" t="s">
        <v>352</v>
      </c>
      <c r="K9" s="125" t="s">
        <v>526</v>
      </c>
      <c r="L9" s="138" t="s">
        <v>507</v>
      </c>
      <c r="M9" s="138" t="s">
        <v>508</v>
      </c>
    </row>
    <row r="10" spans="1:13" s="114" customFormat="1" ht="51">
      <c r="A10" s="136">
        <v>8</v>
      </c>
      <c r="B10" s="129" t="s">
        <v>527</v>
      </c>
      <c r="C10" s="129" t="s">
        <v>502</v>
      </c>
      <c r="D10" s="137" t="s">
        <v>503</v>
      </c>
      <c r="E10" s="84" t="s">
        <v>528</v>
      </c>
      <c r="F10" s="113"/>
      <c r="G10" s="131"/>
      <c r="H10" s="186" t="s">
        <v>529</v>
      </c>
      <c r="I10" s="125" t="s">
        <v>326</v>
      </c>
      <c r="J10" s="125" t="s">
        <v>331</v>
      </c>
      <c r="K10" s="125" t="s">
        <v>530</v>
      </c>
      <c r="L10" s="138" t="s">
        <v>507</v>
      </c>
      <c r="M10" s="138" t="s">
        <v>508</v>
      </c>
    </row>
    <row r="11" spans="1:13" s="114" customFormat="1" ht="38.25">
      <c r="A11" s="136">
        <v>9</v>
      </c>
      <c r="B11" s="129" t="s">
        <v>531</v>
      </c>
      <c r="C11" s="129" t="s">
        <v>502</v>
      </c>
      <c r="D11" s="137" t="s">
        <v>503</v>
      </c>
      <c r="E11" s="84" t="s">
        <v>532</v>
      </c>
      <c r="F11" s="113"/>
      <c r="G11" s="131"/>
      <c r="H11" s="186" t="s">
        <v>509</v>
      </c>
      <c r="I11" s="125" t="s">
        <v>326</v>
      </c>
      <c r="J11" s="125" t="s">
        <v>331</v>
      </c>
      <c r="K11" s="125" t="s">
        <v>512</v>
      </c>
      <c r="L11" s="138" t="s">
        <v>507</v>
      </c>
      <c r="M11" s="138" t="s">
        <v>508</v>
      </c>
    </row>
    <row r="12" spans="1:13" s="114" customFormat="1" ht="38.25">
      <c r="A12" s="136">
        <v>10</v>
      </c>
      <c r="B12" s="129" t="s">
        <v>533</v>
      </c>
      <c r="C12" s="129" t="s">
        <v>502</v>
      </c>
      <c r="D12" s="137" t="s">
        <v>503</v>
      </c>
      <c r="E12" s="84" t="s">
        <v>534</v>
      </c>
      <c r="F12" s="113"/>
      <c r="G12" s="131"/>
      <c r="H12" s="186" t="s">
        <v>535</v>
      </c>
      <c r="I12" s="125" t="s">
        <v>326</v>
      </c>
      <c r="J12" s="125" t="s">
        <v>331</v>
      </c>
      <c r="K12" s="125" t="s">
        <v>512</v>
      </c>
      <c r="L12" s="138" t="s">
        <v>507</v>
      </c>
      <c r="M12" s="138" t="s">
        <v>508</v>
      </c>
    </row>
    <row r="13" spans="1:13" s="114" customFormat="1" ht="38.25">
      <c r="A13" s="136">
        <v>11</v>
      </c>
      <c r="B13" s="129" t="s">
        <v>536</v>
      </c>
      <c r="C13" s="129" t="s">
        <v>537</v>
      </c>
      <c r="D13" s="137" t="s">
        <v>503</v>
      </c>
      <c r="E13" s="84" t="s">
        <v>538</v>
      </c>
      <c r="F13" s="113"/>
      <c r="G13" s="131"/>
      <c r="H13" s="186" t="s">
        <v>535</v>
      </c>
      <c r="I13" s="125" t="s">
        <v>326</v>
      </c>
      <c r="J13" s="125" t="s">
        <v>331</v>
      </c>
      <c r="K13" s="125" t="s">
        <v>512</v>
      </c>
      <c r="L13" s="138" t="s">
        <v>507</v>
      </c>
      <c r="M13" s="138" t="s">
        <v>508</v>
      </c>
    </row>
    <row r="14" spans="1:13" s="114" customFormat="1" ht="38.25">
      <c r="A14" s="136">
        <v>12</v>
      </c>
      <c r="B14" s="129" t="s">
        <v>539</v>
      </c>
      <c r="C14" s="129" t="s">
        <v>502</v>
      </c>
      <c r="D14" s="137" t="s">
        <v>503</v>
      </c>
      <c r="E14" s="84" t="s">
        <v>540</v>
      </c>
      <c r="F14" s="113"/>
      <c r="G14" s="131"/>
      <c r="H14" s="186" t="s">
        <v>501</v>
      </c>
      <c r="I14" s="125" t="s">
        <v>326</v>
      </c>
      <c r="J14" s="125" t="s">
        <v>331</v>
      </c>
      <c r="K14" s="125" t="s">
        <v>506</v>
      </c>
      <c r="L14" s="138" t="s">
        <v>507</v>
      </c>
      <c r="M14" s="138" t="s">
        <v>508</v>
      </c>
    </row>
    <row r="15" spans="1:13" s="114" customFormat="1" ht="38.25">
      <c r="A15" s="136">
        <v>13</v>
      </c>
      <c r="B15" s="129" t="s">
        <v>541</v>
      </c>
      <c r="C15" s="129" t="s">
        <v>502</v>
      </c>
      <c r="D15" s="137" t="s">
        <v>503</v>
      </c>
      <c r="E15" s="84" t="s">
        <v>542</v>
      </c>
      <c r="F15" s="84"/>
      <c r="G15" s="131"/>
      <c r="H15" s="186" t="s">
        <v>543</v>
      </c>
      <c r="I15" s="125" t="s">
        <v>326</v>
      </c>
      <c r="J15" s="125" t="s">
        <v>331</v>
      </c>
      <c r="K15" s="125" t="s">
        <v>512</v>
      </c>
      <c r="L15" s="138" t="s">
        <v>507</v>
      </c>
      <c r="M15" s="138" t="s">
        <v>508</v>
      </c>
    </row>
    <row r="16" spans="1:13" s="114" customFormat="1" ht="38.25">
      <c r="A16" s="136">
        <v>14</v>
      </c>
      <c r="B16" s="129" t="s">
        <v>544</v>
      </c>
      <c r="C16" s="129" t="s">
        <v>502</v>
      </c>
      <c r="D16" s="137" t="s">
        <v>503</v>
      </c>
      <c r="E16" s="84" t="s">
        <v>545</v>
      </c>
      <c r="F16" s="113"/>
      <c r="G16" s="131"/>
      <c r="H16" s="186" t="s">
        <v>518</v>
      </c>
      <c r="I16" s="125" t="s">
        <v>326</v>
      </c>
      <c r="J16" s="125" t="s">
        <v>331</v>
      </c>
      <c r="K16" s="125" t="s">
        <v>506</v>
      </c>
      <c r="L16" s="138" t="s">
        <v>507</v>
      </c>
      <c r="M16" s="138" t="s">
        <v>508</v>
      </c>
    </row>
    <row r="17" spans="1:13" s="114" customFormat="1" ht="38.25">
      <c r="A17" s="136">
        <v>15</v>
      </c>
      <c r="B17" s="129" t="s">
        <v>546</v>
      </c>
      <c r="C17" s="129" t="s">
        <v>502</v>
      </c>
      <c r="D17" s="137" t="s">
        <v>503</v>
      </c>
      <c r="E17" s="84" t="s">
        <v>547</v>
      </c>
      <c r="F17" s="113"/>
      <c r="G17" s="131"/>
      <c r="H17" s="186" t="s">
        <v>543</v>
      </c>
      <c r="I17" s="125" t="s">
        <v>326</v>
      </c>
      <c r="J17" s="125" t="s">
        <v>331</v>
      </c>
      <c r="K17" s="125" t="s">
        <v>512</v>
      </c>
      <c r="L17" s="138" t="s">
        <v>507</v>
      </c>
      <c r="M17" s="138" t="s">
        <v>508</v>
      </c>
    </row>
    <row r="18" spans="1:13" s="114" customFormat="1" ht="38.25">
      <c r="A18" s="136">
        <v>16</v>
      </c>
      <c r="B18" s="129" t="s">
        <v>548</v>
      </c>
      <c r="C18" s="129" t="s">
        <v>502</v>
      </c>
      <c r="D18" s="137" t="s">
        <v>503</v>
      </c>
      <c r="E18" s="84" t="s">
        <v>549</v>
      </c>
      <c r="F18" s="113"/>
      <c r="G18" s="131"/>
      <c r="H18" s="186" t="s">
        <v>501</v>
      </c>
      <c r="I18" s="125" t="s">
        <v>326</v>
      </c>
      <c r="J18" s="125" t="s">
        <v>331</v>
      </c>
      <c r="K18" s="125" t="s">
        <v>506</v>
      </c>
      <c r="L18" s="138" t="s">
        <v>507</v>
      </c>
      <c r="M18" s="138" t="s">
        <v>508</v>
      </c>
    </row>
    <row r="19" spans="1:13" s="114" customFormat="1" ht="38.25">
      <c r="A19" s="136">
        <v>17</v>
      </c>
      <c r="B19" s="129" t="s">
        <v>550</v>
      </c>
      <c r="C19" s="129" t="s">
        <v>502</v>
      </c>
      <c r="D19" s="137" t="s">
        <v>503</v>
      </c>
      <c r="E19" s="84" t="s">
        <v>551</v>
      </c>
      <c r="F19" s="113"/>
      <c r="G19" s="131"/>
      <c r="H19" s="186" t="s">
        <v>518</v>
      </c>
      <c r="I19" s="125" t="s">
        <v>326</v>
      </c>
      <c r="J19" s="125" t="s">
        <v>331</v>
      </c>
      <c r="K19" s="125" t="s">
        <v>506</v>
      </c>
      <c r="L19" s="138" t="s">
        <v>507</v>
      </c>
      <c r="M19" s="138" t="s">
        <v>508</v>
      </c>
    </row>
    <row r="20" spans="1:13" s="114" customFormat="1" ht="38.25">
      <c r="A20" s="136">
        <v>18</v>
      </c>
      <c r="B20" s="129" t="s">
        <v>552</v>
      </c>
      <c r="C20" s="129" t="s">
        <v>537</v>
      </c>
      <c r="D20" s="137" t="s">
        <v>553</v>
      </c>
      <c r="E20" s="84" t="s">
        <v>554</v>
      </c>
      <c r="F20" s="113"/>
      <c r="G20" s="131"/>
      <c r="H20" s="186" t="s">
        <v>513</v>
      </c>
      <c r="I20" s="125" t="s">
        <v>326</v>
      </c>
      <c r="J20" s="125" t="s">
        <v>331</v>
      </c>
      <c r="K20" s="125" t="s">
        <v>512</v>
      </c>
      <c r="L20" s="138" t="s">
        <v>507</v>
      </c>
      <c r="M20" s="138" t="s">
        <v>508</v>
      </c>
    </row>
    <row r="21" spans="1:13" s="114" customFormat="1" ht="38.25">
      <c r="A21" s="136">
        <v>19</v>
      </c>
      <c r="B21" s="129" t="s">
        <v>555</v>
      </c>
      <c r="C21" s="129" t="s">
        <v>537</v>
      </c>
      <c r="D21" s="137" t="s">
        <v>553</v>
      </c>
      <c r="E21" s="84" t="s">
        <v>556</v>
      </c>
      <c r="F21" s="113"/>
      <c r="G21" s="131"/>
      <c r="H21" s="186" t="s">
        <v>557</v>
      </c>
      <c r="I21" s="125" t="s">
        <v>326</v>
      </c>
      <c r="J21" s="125" t="s">
        <v>331</v>
      </c>
      <c r="K21" s="125" t="s">
        <v>512</v>
      </c>
      <c r="L21" s="138" t="s">
        <v>507</v>
      </c>
      <c r="M21" s="138" t="s">
        <v>508</v>
      </c>
    </row>
    <row r="22" spans="1:13" s="114" customFormat="1" ht="38.25">
      <c r="A22" s="136">
        <v>20</v>
      </c>
      <c r="B22" s="129" t="s">
        <v>558</v>
      </c>
      <c r="C22" s="129" t="s">
        <v>537</v>
      </c>
      <c r="D22" s="137" t="s">
        <v>553</v>
      </c>
      <c r="E22" s="84" t="s">
        <v>559</v>
      </c>
      <c r="F22" s="113"/>
      <c r="G22" s="131"/>
      <c r="H22" s="186" t="s">
        <v>560</v>
      </c>
      <c r="I22" s="125" t="s">
        <v>326</v>
      </c>
      <c r="J22" s="125" t="s">
        <v>352</v>
      </c>
      <c r="K22" s="125" t="s">
        <v>561</v>
      </c>
      <c r="L22" s="138" t="s">
        <v>507</v>
      </c>
      <c r="M22" s="138" t="s">
        <v>508</v>
      </c>
    </row>
    <row r="23" spans="1:13" s="114" customFormat="1" ht="38.25">
      <c r="A23" s="136">
        <v>21</v>
      </c>
      <c r="B23" s="129" t="s">
        <v>562</v>
      </c>
      <c r="C23" s="129" t="s">
        <v>537</v>
      </c>
      <c r="D23" s="137" t="s">
        <v>553</v>
      </c>
      <c r="E23" s="84" t="s">
        <v>563</v>
      </c>
      <c r="F23" s="113"/>
      <c r="G23" s="131"/>
      <c r="H23" s="186" t="s">
        <v>509</v>
      </c>
      <c r="I23" s="125" t="s">
        <v>326</v>
      </c>
      <c r="J23" s="125" t="s">
        <v>331</v>
      </c>
      <c r="K23" s="125" t="s">
        <v>512</v>
      </c>
      <c r="L23" s="138" t="s">
        <v>507</v>
      </c>
      <c r="M23" s="138" t="s">
        <v>508</v>
      </c>
    </row>
    <row r="24" spans="1:13" s="114" customFormat="1" ht="38.25">
      <c r="A24" s="136">
        <v>22</v>
      </c>
      <c r="B24" s="129" t="s">
        <v>564</v>
      </c>
      <c r="C24" s="129" t="s">
        <v>537</v>
      </c>
      <c r="D24" s="137" t="s">
        <v>553</v>
      </c>
      <c r="E24" s="84" t="s">
        <v>565</v>
      </c>
      <c r="F24" s="113"/>
      <c r="G24" s="131"/>
      <c r="H24" s="186" t="s">
        <v>566</v>
      </c>
      <c r="I24" s="125" t="s">
        <v>326</v>
      </c>
      <c r="J24" s="125" t="s">
        <v>331</v>
      </c>
      <c r="K24" s="125" t="s">
        <v>512</v>
      </c>
      <c r="L24" s="138" t="s">
        <v>507</v>
      </c>
      <c r="M24" s="138" t="s">
        <v>508</v>
      </c>
    </row>
    <row r="25" spans="1:13" s="114" customFormat="1" ht="38.25">
      <c r="A25" s="136">
        <v>23</v>
      </c>
      <c r="B25" s="129" t="s">
        <v>567</v>
      </c>
      <c r="C25" s="129" t="s">
        <v>537</v>
      </c>
      <c r="D25" s="137" t="s">
        <v>553</v>
      </c>
      <c r="E25" s="84" t="s">
        <v>568</v>
      </c>
      <c r="F25" s="113"/>
      <c r="G25" s="131"/>
      <c r="H25" s="186" t="s">
        <v>569</v>
      </c>
      <c r="I25" s="125" t="s">
        <v>326</v>
      </c>
      <c r="J25" s="125" t="s">
        <v>341</v>
      </c>
      <c r="K25" s="125" t="s">
        <v>570</v>
      </c>
      <c r="L25" s="138" t="s">
        <v>507</v>
      </c>
      <c r="M25" s="138" t="s">
        <v>508</v>
      </c>
    </row>
    <row r="26" spans="1:13" s="114" customFormat="1" ht="38.25">
      <c r="A26" s="136">
        <v>24</v>
      </c>
      <c r="B26" s="129" t="s">
        <v>571</v>
      </c>
      <c r="C26" s="129" t="s">
        <v>537</v>
      </c>
      <c r="D26" s="137" t="s">
        <v>553</v>
      </c>
      <c r="E26" s="84" t="s">
        <v>572</v>
      </c>
      <c r="F26" s="113"/>
      <c r="G26" s="131"/>
      <c r="H26" s="186" t="s">
        <v>513</v>
      </c>
      <c r="I26" s="125" t="s">
        <v>326</v>
      </c>
      <c r="J26" s="125" t="s">
        <v>331</v>
      </c>
      <c r="K26" s="125" t="s">
        <v>512</v>
      </c>
      <c r="L26" s="138" t="s">
        <v>507</v>
      </c>
      <c r="M26" s="138" t="s">
        <v>508</v>
      </c>
    </row>
    <row r="27" spans="1:13" s="114" customFormat="1" ht="38.25">
      <c r="A27" s="136">
        <v>25</v>
      </c>
      <c r="B27" s="129" t="s">
        <v>573</v>
      </c>
      <c r="C27" s="129" t="s">
        <v>574</v>
      </c>
      <c r="D27" s="137" t="s">
        <v>575</v>
      </c>
      <c r="E27" s="84" t="s">
        <v>576</v>
      </c>
      <c r="F27" s="113"/>
      <c r="G27" s="131"/>
      <c r="H27" s="186" t="s">
        <v>513</v>
      </c>
      <c r="I27" s="125" t="s">
        <v>326</v>
      </c>
      <c r="J27" s="125" t="s">
        <v>331</v>
      </c>
      <c r="K27" s="125" t="s">
        <v>512</v>
      </c>
      <c r="L27" s="138" t="s">
        <v>507</v>
      </c>
      <c r="M27" s="138" t="s">
        <v>508</v>
      </c>
    </row>
    <row r="28" spans="1:13" s="114" customFormat="1" ht="38.25">
      <c r="A28" s="136">
        <v>26</v>
      </c>
      <c r="B28" s="129" t="s">
        <v>577</v>
      </c>
      <c r="C28" s="129" t="s">
        <v>574</v>
      </c>
      <c r="D28" s="137" t="s">
        <v>575</v>
      </c>
      <c r="E28" s="84" t="s">
        <v>578</v>
      </c>
      <c r="F28" s="113"/>
      <c r="G28" s="131"/>
      <c r="H28" s="186" t="s">
        <v>579</v>
      </c>
      <c r="I28" s="125" t="s">
        <v>326</v>
      </c>
      <c r="J28" s="125" t="s">
        <v>341</v>
      </c>
      <c r="K28" s="125" t="s">
        <v>580</v>
      </c>
      <c r="L28" s="138" t="s">
        <v>507</v>
      </c>
      <c r="M28" s="138" t="s">
        <v>508</v>
      </c>
    </row>
    <row r="29" spans="1:13" s="114" customFormat="1" ht="25.5">
      <c r="A29" s="136">
        <v>27</v>
      </c>
      <c r="B29" s="129" t="s">
        <v>581</v>
      </c>
      <c r="C29" s="129" t="s">
        <v>574</v>
      </c>
      <c r="D29" s="137" t="s">
        <v>575</v>
      </c>
      <c r="E29" s="84" t="s">
        <v>582</v>
      </c>
      <c r="F29" s="113"/>
      <c r="G29" s="131"/>
      <c r="H29" s="186" t="s">
        <v>567</v>
      </c>
      <c r="I29" s="125" t="s">
        <v>326</v>
      </c>
      <c r="J29" s="125" t="s">
        <v>341</v>
      </c>
      <c r="K29" s="125" t="s">
        <v>570</v>
      </c>
      <c r="L29" s="138" t="s">
        <v>507</v>
      </c>
      <c r="M29" s="138" t="s">
        <v>508</v>
      </c>
    </row>
    <row r="30" spans="1:13" s="114" customFormat="1" ht="38.25">
      <c r="A30" s="136">
        <v>28</v>
      </c>
      <c r="B30" s="129" t="s">
        <v>583</v>
      </c>
      <c r="C30" s="129" t="s">
        <v>574</v>
      </c>
      <c r="D30" s="137" t="s">
        <v>575</v>
      </c>
      <c r="E30" s="84" t="s">
        <v>584</v>
      </c>
      <c r="F30" s="113"/>
      <c r="G30" s="131"/>
      <c r="H30" s="186" t="s">
        <v>585</v>
      </c>
      <c r="I30" s="125" t="s">
        <v>326</v>
      </c>
      <c r="J30" s="125" t="s">
        <v>341</v>
      </c>
      <c r="K30" s="125" t="s">
        <v>570</v>
      </c>
      <c r="L30" s="138" t="s">
        <v>507</v>
      </c>
      <c r="M30" s="138" t="s">
        <v>508</v>
      </c>
    </row>
    <row r="31" spans="1:13" s="114" customFormat="1" ht="25.5">
      <c r="A31" s="136">
        <v>29</v>
      </c>
      <c r="B31" s="129" t="s">
        <v>586</v>
      </c>
      <c r="C31" s="129" t="s">
        <v>574</v>
      </c>
      <c r="D31" s="137" t="s">
        <v>575</v>
      </c>
      <c r="E31" s="84" t="s">
        <v>587</v>
      </c>
      <c r="F31" s="113"/>
      <c r="G31" s="131"/>
      <c r="H31" s="186" t="s">
        <v>583</v>
      </c>
      <c r="I31" s="125" t="s">
        <v>326</v>
      </c>
      <c r="J31" s="125" t="s">
        <v>341</v>
      </c>
      <c r="K31" s="125" t="s">
        <v>570</v>
      </c>
      <c r="L31" s="138" t="s">
        <v>507</v>
      </c>
      <c r="M31" s="138" t="s">
        <v>508</v>
      </c>
    </row>
    <row r="32" spans="1:13" s="114" customFormat="1" ht="25.5">
      <c r="A32" s="136">
        <v>30</v>
      </c>
      <c r="B32" s="129" t="s">
        <v>588</v>
      </c>
      <c r="C32" s="129" t="s">
        <v>574</v>
      </c>
      <c r="D32" s="137" t="s">
        <v>575</v>
      </c>
      <c r="E32" s="84" t="s">
        <v>589</v>
      </c>
      <c r="F32" s="113"/>
      <c r="G32" s="131"/>
      <c r="H32" s="186" t="s">
        <v>583</v>
      </c>
      <c r="I32" s="125" t="s">
        <v>326</v>
      </c>
      <c r="J32" s="125" t="s">
        <v>341</v>
      </c>
      <c r="K32" s="125" t="s">
        <v>570</v>
      </c>
      <c r="L32" s="138" t="s">
        <v>507</v>
      </c>
      <c r="M32" s="138" t="s">
        <v>508</v>
      </c>
    </row>
    <row r="33" spans="1:13" s="114" customFormat="1" ht="38.25">
      <c r="A33" s="136">
        <v>31</v>
      </c>
      <c r="B33" s="129" t="s">
        <v>590</v>
      </c>
      <c r="C33" s="129" t="s">
        <v>574</v>
      </c>
      <c r="D33" s="137" t="s">
        <v>575</v>
      </c>
      <c r="E33" s="84" t="s">
        <v>591</v>
      </c>
      <c r="F33" s="113"/>
      <c r="G33" s="131"/>
      <c r="H33" s="186" t="s">
        <v>535</v>
      </c>
      <c r="I33" s="125" t="s">
        <v>326</v>
      </c>
      <c r="J33" s="125" t="s">
        <v>331</v>
      </c>
      <c r="K33" s="125" t="s">
        <v>512</v>
      </c>
      <c r="L33" s="138" t="s">
        <v>507</v>
      </c>
      <c r="M33" s="138" t="s">
        <v>508</v>
      </c>
    </row>
    <row r="34" spans="1:13" s="114" customFormat="1" ht="38.25">
      <c r="A34" s="136">
        <v>32</v>
      </c>
      <c r="B34" s="129" t="s">
        <v>592</v>
      </c>
      <c r="C34" s="129" t="s">
        <v>574</v>
      </c>
      <c r="D34" s="137" t="s">
        <v>575</v>
      </c>
      <c r="E34" s="84" t="s">
        <v>593</v>
      </c>
      <c r="F34" s="113"/>
      <c r="G34" s="131"/>
      <c r="H34" s="186" t="s">
        <v>535</v>
      </c>
      <c r="I34" s="125" t="s">
        <v>326</v>
      </c>
      <c r="J34" s="125" t="s">
        <v>331</v>
      </c>
      <c r="K34" s="125" t="s">
        <v>512</v>
      </c>
      <c r="L34" s="138" t="s">
        <v>507</v>
      </c>
      <c r="M34" s="138" t="s">
        <v>508</v>
      </c>
    </row>
    <row r="35" spans="1:13" s="114" customFormat="1" ht="25.5">
      <c r="A35" s="136">
        <v>33</v>
      </c>
      <c r="B35" s="129" t="s">
        <v>594</v>
      </c>
      <c r="C35" s="129" t="s">
        <v>574</v>
      </c>
      <c r="D35" s="137" t="s">
        <v>575</v>
      </c>
      <c r="E35" s="84" t="s">
        <v>595</v>
      </c>
      <c r="F35" s="113"/>
      <c r="G35" s="131"/>
      <c r="H35" s="186" t="s">
        <v>596</v>
      </c>
      <c r="I35" s="125" t="s">
        <v>326</v>
      </c>
      <c r="J35" s="125" t="s">
        <v>352</v>
      </c>
      <c r="K35" s="125" t="s">
        <v>597</v>
      </c>
      <c r="L35" s="138" t="s">
        <v>507</v>
      </c>
      <c r="M35" s="138" t="s">
        <v>508</v>
      </c>
    </row>
    <row r="36" spans="1:13" s="114" customFormat="1" ht="38.25">
      <c r="A36" s="136">
        <v>34</v>
      </c>
      <c r="B36" s="129" t="s">
        <v>598</v>
      </c>
      <c r="C36" s="129" t="s">
        <v>574</v>
      </c>
      <c r="D36" s="137" t="s">
        <v>575</v>
      </c>
      <c r="E36" s="84" t="s">
        <v>599</v>
      </c>
      <c r="F36" s="113"/>
      <c r="G36" s="131"/>
      <c r="H36" s="186" t="s">
        <v>600</v>
      </c>
      <c r="I36" s="125" t="s">
        <v>326</v>
      </c>
      <c r="J36" s="125" t="s">
        <v>341</v>
      </c>
      <c r="K36" s="125" t="s">
        <v>601</v>
      </c>
      <c r="L36" s="138" t="s">
        <v>507</v>
      </c>
      <c r="M36" s="138" t="s">
        <v>508</v>
      </c>
    </row>
    <row r="37" spans="1:13" s="114" customFormat="1" ht="38.25">
      <c r="A37" s="136">
        <v>35</v>
      </c>
      <c r="B37" s="129" t="s">
        <v>602</v>
      </c>
      <c r="C37" s="129" t="s">
        <v>574</v>
      </c>
      <c r="D37" s="137" t="s">
        <v>575</v>
      </c>
      <c r="E37" s="84" t="s">
        <v>603</v>
      </c>
      <c r="F37" s="113"/>
      <c r="G37" s="131"/>
      <c r="H37" s="186" t="s">
        <v>600</v>
      </c>
      <c r="I37" s="125" t="s">
        <v>326</v>
      </c>
      <c r="J37" s="125" t="s">
        <v>341</v>
      </c>
      <c r="K37" s="125" t="s">
        <v>601</v>
      </c>
      <c r="L37" s="138" t="s">
        <v>507</v>
      </c>
      <c r="M37" s="138" t="s">
        <v>508</v>
      </c>
    </row>
    <row r="38" spans="1:13" s="114" customFormat="1" ht="38.25">
      <c r="A38" s="136">
        <v>36</v>
      </c>
      <c r="B38" s="129" t="s">
        <v>604</v>
      </c>
      <c r="C38" s="129" t="s">
        <v>574</v>
      </c>
      <c r="D38" s="137" t="s">
        <v>575</v>
      </c>
      <c r="E38" s="84" t="s">
        <v>605</v>
      </c>
      <c r="F38" s="113"/>
      <c r="G38" s="131"/>
      <c r="H38" s="186" t="s">
        <v>600</v>
      </c>
      <c r="I38" s="125" t="s">
        <v>326</v>
      </c>
      <c r="J38" s="125" t="s">
        <v>341</v>
      </c>
      <c r="K38" s="125" t="s">
        <v>601</v>
      </c>
      <c r="L38" s="138" t="s">
        <v>507</v>
      </c>
      <c r="M38" s="138" t="s">
        <v>508</v>
      </c>
    </row>
    <row r="39" spans="1:13" s="114" customFormat="1" ht="51">
      <c r="A39" s="136">
        <v>37</v>
      </c>
      <c r="B39" s="129" t="s">
        <v>606</v>
      </c>
      <c r="C39" s="129" t="s">
        <v>574</v>
      </c>
      <c r="D39" s="137" t="s">
        <v>575</v>
      </c>
      <c r="E39" s="84" t="s">
        <v>607</v>
      </c>
      <c r="F39" s="113"/>
      <c r="G39" s="131"/>
      <c r="H39" s="186" t="s">
        <v>608</v>
      </c>
      <c r="I39" s="125" t="s">
        <v>326</v>
      </c>
      <c r="J39" s="125" t="s">
        <v>331</v>
      </c>
      <c r="K39" s="125" t="s">
        <v>530</v>
      </c>
      <c r="L39" s="138" t="s">
        <v>507</v>
      </c>
      <c r="M39" s="138" t="s">
        <v>508</v>
      </c>
    </row>
    <row r="40" spans="1:13" s="114" customFormat="1" ht="38.25">
      <c r="A40" s="136">
        <v>38</v>
      </c>
      <c r="B40" s="129" t="s">
        <v>609</v>
      </c>
      <c r="C40" s="129" t="s">
        <v>574</v>
      </c>
      <c r="D40" s="137" t="s">
        <v>575</v>
      </c>
      <c r="E40" s="84" t="s">
        <v>610</v>
      </c>
      <c r="F40" s="113"/>
      <c r="G40" s="131"/>
      <c r="H40" s="186" t="s">
        <v>566</v>
      </c>
      <c r="I40" s="125" t="s">
        <v>326</v>
      </c>
      <c r="J40" s="125" t="s">
        <v>331</v>
      </c>
      <c r="K40" s="125" t="s">
        <v>512</v>
      </c>
      <c r="L40" s="138" t="s">
        <v>507</v>
      </c>
      <c r="M40" s="138" t="s">
        <v>508</v>
      </c>
    </row>
    <row r="41" spans="1:13" s="114" customFormat="1" ht="25.5">
      <c r="A41" s="136">
        <v>39</v>
      </c>
      <c r="B41" s="129" t="s">
        <v>611</v>
      </c>
      <c r="C41" s="129" t="s">
        <v>574</v>
      </c>
      <c r="D41" s="137" t="s">
        <v>575</v>
      </c>
      <c r="E41" s="84" t="s">
        <v>612</v>
      </c>
      <c r="F41" s="113"/>
      <c r="G41" s="131"/>
      <c r="H41" s="186" t="s">
        <v>600</v>
      </c>
      <c r="I41" s="125" t="s">
        <v>326</v>
      </c>
      <c r="J41" s="125" t="s">
        <v>341</v>
      </c>
      <c r="K41" s="125" t="s">
        <v>601</v>
      </c>
      <c r="L41" s="138" t="s">
        <v>507</v>
      </c>
      <c r="M41" s="138" t="s">
        <v>508</v>
      </c>
    </row>
    <row r="42" spans="1:13" s="114" customFormat="1" ht="25.5">
      <c r="A42" s="136">
        <v>40</v>
      </c>
      <c r="B42" s="129" t="s">
        <v>613</v>
      </c>
      <c r="C42" s="129" t="s">
        <v>574</v>
      </c>
      <c r="D42" s="137" t="s">
        <v>575</v>
      </c>
      <c r="E42" s="84" t="s">
        <v>614</v>
      </c>
      <c r="F42" s="113"/>
      <c r="G42" s="131"/>
      <c r="H42" s="186" t="s">
        <v>600</v>
      </c>
      <c r="I42" s="125" t="s">
        <v>326</v>
      </c>
      <c r="J42" s="125" t="s">
        <v>341</v>
      </c>
      <c r="K42" s="125" t="s">
        <v>601</v>
      </c>
      <c r="L42" s="138" t="s">
        <v>507</v>
      </c>
      <c r="M42" s="138" t="s">
        <v>508</v>
      </c>
    </row>
    <row r="43" spans="1:13" s="114" customFormat="1" ht="25.5">
      <c r="A43" s="136">
        <v>41</v>
      </c>
      <c r="B43" s="129" t="s">
        <v>615</v>
      </c>
      <c r="C43" s="129" t="s">
        <v>574</v>
      </c>
      <c r="D43" s="137" t="s">
        <v>575</v>
      </c>
      <c r="E43" s="84" t="s">
        <v>616</v>
      </c>
      <c r="F43" s="113"/>
      <c r="G43" s="131"/>
      <c r="H43" s="186" t="s">
        <v>617</v>
      </c>
      <c r="I43" s="125" t="s">
        <v>326</v>
      </c>
      <c r="J43" s="125" t="s">
        <v>331</v>
      </c>
      <c r="K43" s="125" t="s">
        <v>618</v>
      </c>
      <c r="L43" s="138" t="s">
        <v>507</v>
      </c>
      <c r="M43" s="138" t="s">
        <v>508</v>
      </c>
    </row>
    <row r="44" spans="1:13" s="114" customFormat="1" ht="38.25">
      <c r="A44" s="136">
        <v>42</v>
      </c>
      <c r="B44" s="129" t="s">
        <v>619</v>
      </c>
      <c r="C44" s="129" t="s">
        <v>620</v>
      </c>
      <c r="D44" s="137" t="s">
        <v>621</v>
      </c>
      <c r="E44" s="84" t="s">
        <v>622</v>
      </c>
      <c r="F44" s="113"/>
      <c r="G44" s="131"/>
      <c r="H44" s="186" t="s">
        <v>509</v>
      </c>
      <c r="I44" s="125" t="s">
        <v>326</v>
      </c>
      <c r="J44" s="125" t="s">
        <v>331</v>
      </c>
      <c r="K44" s="125" t="s">
        <v>512</v>
      </c>
      <c r="L44" s="138" t="s">
        <v>507</v>
      </c>
      <c r="M44" s="138" t="s">
        <v>508</v>
      </c>
    </row>
    <row r="45" spans="1:13" s="114" customFormat="1" ht="38.25">
      <c r="A45" s="136">
        <v>43</v>
      </c>
      <c r="B45" s="129" t="s">
        <v>623</v>
      </c>
      <c r="C45" s="129" t="s">
        <v>624</v>
      </c>
      <c r="D45" s="137" t="s">
        <v>625</v>
      </c>
      <c r="E45" s="84" t="s">
        <v>626</v>
      </c>
      <c r="F45" s="113"/>
      <c r="G45" s="131"/>
      <c r="H45" s="186" t="s">
        <v>509</v>
      </c>
      <c r="I45" s="125" t="s">
        <v>326</v>
      </c>
      <c r="J45" s="125" t="s">
        <v>331</v>
      </c>
      <c r="K45" s="125" t="s">
        <v>512</v>
      </c>
      <c r="L45" s="138" t="s">
        <v>507</v>
      </c>
      <c r="M45" s="138" t="s">
        <v>508</v>
      </c>
    </row>
    <row r="46" spans="1:13" s="114" customFormat="1" ht="38.25">
      <c r="A46" s="136">
        <v>44</v>
      </c>
      <c r="B46" s="129" t="s">
        <v>627</v>
      </c>
      <c r="C46" s="129" t="s">
        <v>624</v>
      </c>
      <c r="D46" s="137" t="s">
        <v>625</v>
      </c>
      <c r="E46" s="84" t="s">
        <v>628</v>
      </c>
      <c r="F46" s="113"/>
      <c r="G46" s="131"/>
      <c r="H46" s="186" t="s">
        <v>513</v>
      </c>
      <c r="I46" s="125" t="s">
        <v>326</v>
      </c>
      <c r="J46" s="125" t="s">
        <v>331</v>
      </c>
      <c r="K46" s="125" t="s">
        <v>512</v>
      </c>
      <c r="L46" s="138" t="s">
        <v>507</v>
      </c>
      <c r="M46" s="138" t="s">
        <v>508</v>
      </c>
    </row>
    <row r="47" spans="1:13" s="114" customFormat="1" ht="38.25">
      <c r="A47" s="136">
        <v>45</v>
      </c>
      <c r="B47" s="129" t="s">
        <v>629</v>
      </c>
      <c r="C47" s="129" t="s">
        <v>624</v>
      </c>
      <c r="D47" s="137" t="s">
        <v>625</v>
      </c>
      <c r="E47" s="84" t="s">
        <v>630</v>
      </c>
      <c r="F47" s="113"/>
      <c r="G47" s="131"/>
      <c r="H47" s="186" t="s">
        <v>535</v>
      </c>
      <c r="I47" s="125" t="s">
        <v>326</v>
      </c>
      <c r="J47" s="125" t="s">
        <v>331</v>
      </c>
      <c r="K47" s="125" t="s">
        <v>512</v>
      </c>
      <c r="L47" s="138" t="s">
        <v>507</v>
      </c>
      <c r="M47" s="138" t="s">
        <v>508</v>
      </c>
    </row>
    <row r="48" spans="1:13" s="114" customFormat="1" ht="38.25">
      <c r="A48" s="136">
        <v>46</v>
      </c>
      <c r="B48" s="129" t="s">
        <v>631</v>
      </c>
      <c r="C48" s="129" t="s">
        <v>624</v>
      </c>
      <c r="D48" s="137" t="s">
        <v>625</v>
      </c>
      <c r="E48" s="84" t="s">
        <v>632</v>
      </c>
      <c r="F48" s="113"/>
      <c r="G48" s="131"/>
      <c r="H48" s="186" t="s">
        <v>633</v>
      </c>
      <c r="I48" s="125" t="s">
        <v>326</v>
      </c>
      <c r="J48" s="125" t="s">
        <v>331</v>
      </c>
      <c r="K48" s="125" t="s">
        <v>512</v>
      </c>
      <c r="L48" s="138" t="s">
        <v>507</v>
      </c>
      <c r="M48" s="138" t="s">
        <v>508</v>
      </c>
    </row>
    <row r="49" spans="1:13" s="114" customFormat="1" ht="38.25">
      <c r="A49" s="136">
        <v>47</v>
      </c>
      <c r="B49" s="129" t="s">
        <v>634</v>
      </c>
      <c r="C49" s="129" t="s">
        <v>624</v>
      </c>
      <c r="D49" s="137" t="s">
        <v>625</v>
      </c>
      <c r="E49" s="84" t="s">
        <v>635</v>
      </c>
      <c r="F49" s="113"/>
      <c r="G49" s="131"/>
      <c r="H49" s="186" t="s">
        <v>509</v>
      </c>
      <c r="I49" s="125" t="s">
        <v>326</v>
      </c>
      <c r="J49" s="125" t="s">
        <v>331</v>
      </c>
      <c r="K49" s="125" t="s">
        <v>512</v>
      </c>
      <c r="L49" s="138" t="s">
        <v>507</v>
      </c>
      <c r="M49" s="138" t="s">
        <v>508</v>
      </c>
    </row>
    <row r="50" spans="1:13" s="114" customFormat="1" ht="38.25">
      <c r="A50" s="136">
        <v>48</v>
      </c>
      <c r="B50" s="129" t="s">
        <v>535</v>
      </c>
      <c r="C50" s="129" t="s">
        <v>624</v>
      </c>
      <c r="D50" s="137" t="s">
        <v>625</v>
      </c>
      <c r="E50" s="84" t="s">
        <v>636</v>
      </c>
      <c r="F50" s="113"/>
      <c r="G50" s="131"/>
      <c r="H50" s="186" t="s">
        <v>637</v>
      </c>
      <c r="I50" s="125" t="s">
        <v>326</v>
      </c>
      <c r="J50" s="125" t="s">
        <v>331</v>
      </c>
      <c r="K50" s="125" t="s">
        <v>512</v>
      </c>
      <c r="L50" s="138" t="s">
        <v>507</v>
      </c>
      <c r="M50" s="138" t="s">
        <v>508</v>
      </c>
    </row>
    <row r="51" spans="1:13" s="114" customFormat="1" ht="38.25">
      <c r="A51" s="136">
        <v>49</v>
      </c>
      <c r="B51" s="129" t="s">
        <v>638</v>
      </c>
      <c r="C51" s="129" t="s">
        <v>624</v>
      </c>
      <c r="D51" s="137" t="s">
        <v>625</v>
      </c>
      <c r="E51" s="84" t="s">
        <v>639</v>
      </c>
      <c r="F51" s="113"/>
      <c r="G51" s="131"/>
      <c r="H51" s="186" t="s">
        <v>633</v>
      </c>
      <c r="I51" s="125" t="s">
        <v>326</v>
      </c>
      <c r="J51" s="125" t="s">
        <v>331</v>
      </c>
      <c r="K51" s="125" t="s">
        <v>512</v>
      </c>
      <c r="L51" s="138" t="s">
        <v>507</v>
      </c>
      <c r="M51" s="138" t="s">
        <v>508</v>
      </c>
    </row>
    <row r="52" spans="1:13" s="114" customFormat="1" ht="38.25">
      <c r="A52" s="136">
        <v>50</v>
      </c>
      <c r="B52" s="129" t="s">
        <v>640</v>
      </c>
      <c r="C52" s="129" t="s">
        <v>624</v>
      </c>
      <c r="D52" s="137" t="s">
        <v>625</v>
      </c>
      <c r="E52" s="84" t="s">
        <v>641</v>
      </c>
      <c r="F52" s="113"/>
      <c r="G52" s="131"/>
      <c r="H52" s="186" t="s">
        <v>642</v>
      </c>
      <c r="I52" s="125" t="s">
        <v>326</v>
      </c>
      <c r="J52" s="125" t="s">
        <v>331</v>
      </c>
      <c r="K52" s="125" t="s">
        <v>512</v>
      </c>
      <c r="L52" s="138" t="s">
        <v>507</v>
      </c>
      <c r="M52" s="138" t="s">
        <v>508</v>
      </c>
    </row>
    <row r="53" spans="1:13" s="114" customFormat="1" ht="38.25">
      <c r="A53" s="136">
        <v>51</v>
      </c>
      <c r="B53" s="129" t="s">
        <v>643</v>
      </c>
      <c r="C53" s="129" t="s">
        <v>624</v>
      </c>
      <c r="D53" s="137" t="s">
        <v>625</v>
      </c>
      <c r="E53" s="84" t="s">
        <v>644</v>
      </c>
      <c r="F53" s="113"/>
      <c r="G53" s="131"/>
      <c r="H53" s="186" t="s">
        <v>633</v>
      </c>
      <c r="I53" s="125" t="s">
        <v>326</v>
      </c>
      <c r="J53" s="125" t="s">
        <v>331</v>
      </c>
      <c r="K53" s="125" t="s">
        <v>512</v>
      </c>
      <c r="L53" s="138" t="s">
        <v>507</v>
      </c>
      <c r="M53" s="138" t="s">
        <v>508</v>
      </c>
    </row>
    <row r="54" spans="1:13" s="114" customFormat="1" ht="25.5">
      <c r="A54" s="136">
        <v>52</v>
      </c>
      <c r="B54" s="129" t="s">
        <v>645</v>
      </c>
      <c r="C54" s="129" t="s">
        <v>624</v>
      </c>
      <c r="D54" s="137" t="s">
        <v>625</v>
      </c>
      <c r="E54" s="84" t="s">
        <v>646</v>
      </c>
      <c r="F54" s="113"/>
      <c r="G54" s="131"/>
      <c r="H54" s="186" t="s">
        <v>523</v>
      </c>
      <c r="I54" s="125" t="s">
        <v>326</v>
      </c>
      <c r="J54" s="125" t="s">
        <v>352</v>
      </c>
      <c r="K54" s="125" t="s">
        <v>526</v>
      </c>
      <c r="L54" s="138" t="s">
        <v>507</v>
      </c>
      <c r="M54" s="138" t="s">
        <v>508</v>
      </c>
    </row>
    <row r="55" spans="1:13" s="114" customFormat="1" ht="38.25">
      <c r="A55" s="136">
        <v>53</v>
      </c>
      <c r="B55" s="129" t="s">
        <v>633</v>
      </c>
      <c r="C55" s="129" t="s">
        <v>624</v>
      </c>
      <c r="D55" s="137" t="s">
        <v>625</v>
      </c>
      <c r="E55" s="84" t="s">
        <v>647</v>
      </c>
      <c r="F55" s="113"/>
      <c r="G55" s="131"/>
      <c r="H55" s="186" t="s">
        <v>648</v>
      </c>
      <c r="I55" s="125" t="s">
        <v>326</v>
      </c>
      <c r="J55" s="125" t="s">
        <v>331</v>
      </c>
      <c r="K55" s="125" t="s">
        <v>512</v>
      </c>
      <c r="L55" s="138" t="s">
        <v>507</v>
      </c>
      <c r="M55" s="138" t="s">
        <v>508</v>
      </c>
    </row>
    <row r="56" spans="1:13" s="114" customFormat="1" ht="38.25">
      <c r="A56" s="136">
        <v>54</v>
      </c>
      <c r="B56" s="129" t="s">
        <v>649</v>
      </c>
      <c r="C56" s="129" t="s">
        <v>650</v>
      </c>
      <c r="D56" s="137" t="s">
        <v>651</v>
      </c>
      <c r="E56" s="84" t="s">
        <v>652</v>
      </c>
      <c r="F56" s="113"/>
      <c r="G56" s="131"/>
      <c r="H56" s="186" t="s">
        <v>653</v>
      </c>
      <c r="I56" s="125" t="s">
        <v>326</v>
      </c>
      <c r="J56" s="125" t="s">
        <v>331</v>
      </c>
      <c r="K56" s="125" t="s">
        <v>506</v>
      </c>
      <c r="L56" s="138" t="s">
        <v>507</v>
      </c>
      <c r="M56" s="138" t="s">
        <v>508</v>
      </c>
    </row>
    <row r="57" spans="1:13" s="114" customFormat="1" ht="38.25">
      <c r="A57" s="136">
        <v>55</v>
      </c>
      <c r="B57" s="129" t="s">
        <v>653</v>
      </c>
      <c r="C57" s="129" t="s">
        <v>650</v>
      </c>
      <c r="D57" s="137" t="s">
        <v>651</v>
      </c>
      <c r="E57" s="84" t="s">
        <v>654</v>
      </c>
      <c r="F57" s="113"/>
      <c r="G57" s="131"/>
      <c r="H57" s="186" t="s">
        <v>655</v>
      </c>
      <c r="I57" s="125" t="s">
        <v>326</v>
      </c>
      <c r="J57" s="125" t="s">
        <v>331</v>
      </c>
      <c r="K57" s="125" t="s">
        <v>506</v>
      </c>
      <c r="L57" s="138" t="s">
        <v>507</v>
      </c>
      <c r="M57" s="138" t="s">
        <v>508</v>
      </c>
    </row>
    <row r="58" spans="1:13" s="114" customFormat="1" ht="25.5">
      <c r="A58" s="136">
        <v>56</v>
      </c>
      <c r="B58" s="129" t="s">
        <v>656</v>
      </c>
      <c r="C58" s="129" t="s">
        <v>650</v>
      </c>
      <c r="D58" s="137" t="s">
        <v>651</v>
      </c>
      <c r="E58" s="84" t="s">
        <v>657</v>
      </c>
      <c r="F58" s="113"/>
      <c r="G58" s="131"/>
      <c r="H58" s="186" t="s">
        <v>658</v>
      </c>
      <c r="I58" s="125" t="s">
        <v>326</v>
      </c>
      <c r="J58" s="125" t="s">
        <v>346</v>
      </c>
      <c r="K58" s="125" t="s">
        <v>659</v>
      </c>
      <c r="L58" s="138" t="s">
        <v>315</v>
      </c>
      <c r="M58" s="138" t="s">
        <v>508</v>
      </c>
    </row>
    <row r="59" spans="1:13" s="114" customFormat="1" ht="51">
      <c r="A59" s="136">
        <v>57</v>
      </c>
      <c r="B59" s="129" t="s">
        <v>660</v>
      </c>
      <c r="C59" s="129" t="s">
        <v>661</v>
      </c>
      <c r="D59" s="137" t="s">
        <v>662</v>
      </c>
      <c r="E59" s="84" t="s">
        <v>663</v>
      </c>
      <c r="F59" s="113"/>
      <c r="G59" s="131"/>
      <c r="H59" s="186" t="s">
        <v>664</v>
      </c>
      <c r="I59" s="125" t="s">
        <v>326</v>
      </c>
      <c r="J59" s="125" t="s">
        <v>331</v>
      </c>
      <c r="K59" s="125" t="s">
        <v>530</v>
      </c>
      <c r="L59" s="138" t="s">
        <v>507</v>
      </c>
      <c r="M59" s="138" t="s">
        <v>508</v>
      </c>
    </row>
    <row r="60" spans="1:13" s="114" customFormat="1" ht="51">
      <c r="A60" s="136">
        <v>58</v>
      </c>
      <c r="B60" s="129" t="s">
        <v>665</v>
      </c>
      <c r="C60" s="129" t="s">
        <v>661</v>
      </c>
      <c r="D60" s="137" t="s">
        <v>662</v>
      </c>
      <c r="E60" s="84" t="s">
        <v>666</v>
      </c>
      <c r="F60" s="113"/>
      <c r="G60" s="131"/>
      <c r="H60" s="186" t="s">
        <v>667</v>
      </c>
      <c r="I60" s="125" t="s">
        <v>326</v>
      </c>
      <c r="J60" s="125" t="s">
        <v>331</v>
      </c>
      <c r="K60" s="125" t="s">
        <v>530</v>
      </c>
      <c r="L60" s="138" t="s">
        <v>507</v>
      </c>
      <c r="M60" s="138" t="s">
        <v>508</v>
      </c>
    </row>
    <row r="61" spans="1:13" s="114" customFormat="1" ht="51">
      <c r="A61" s="136">
        <v>59</v>
      </c>
      <c r="B61" s="129" t="s">
        <v>668</v>
      </c>
      <c r="C61" s="129" t="s">
        <v>669</v>
      </c>
      <c r="D61" s="137" t="s">
        <v>670</v>
      </c>
      <c r="E61" s="84" t="s">
        <v>671</v>
      </c>
      <c r="F61" s="113"/>
      <c r="G61" s="131"/>
      <c r="H61" s="186" t="s">
        <v>667</v>
      </c>
      <c r="I61" s="125" t="s">
        <v>326</v>
      </c>
      <c r="J61" s="125" t="s">
        <v>331</v>
      </c>
      <c r="K61" s="125" t="s">
        <v>530</v>
      </c>
      <c r="L61" s="138" t="s">
        <v>507</v>
      </c>
      <c r="M61" s="138" t="s">
        <v>508</v>
      </c>
    </row>
    <row r="62" spans="1:13" s="114" customFormat="1" ht="51">
      <c r="A62" s="136">
        <v>60</v>
      </c>
      <c r="B62" s="129" t="s">
        <v>672</v>
      </c>
      <c r="C62" s="129" t="s">
        <v>669</v>
      </c>
      <c r="D62" s="137" t="s">
        <v>670</v>
      </c>
      <c r="E62" s="84" t="s">
        <v>673</v>
      </c>
      <c r="F62" s="113"/>
      <c r="G62" s="131"/>
      <c r="H62" s="186" t="s">
        <v>667</v>
      </c>
      <c r="I62" s="125" t="s">
        <v>326</v>
      </c>
      <c r="J62" s="125" t="s">
        <v>331</v>
      </c>
      <c r="K62" s="125" t="s">
        <v>530</v>
      </c>
      <c r="L62" s="138" t="s">
        <v>507</v>
      </c>
      <c r="M62" s="138" t="s">
        <v>508</v>
      </c>
    </row>
    <row r="63" spans="1:13" s="114" customFormat="1" ht="51">
      <c r="A63" s="136">
        <v>61</v>
      </c>
      <c r="B63" s="129" t="s">
        <v>674</v>
      </c>
      <c r="C63" s="129" t="s">
        <v>669</v>
      </c>
      <c r="D63" s="137" t="s">
        <v>670</v>
      </c>
      <c r="E63" s="84" t="s">
        <v>675</v>
      </c>
      <c r="F63" s="113"/>
      <c r="G63" s="131"/>
      <c r="H63" s="186" t="s">
        <v>667</v>
      </c>
      <c r="I63" s="125" t="s">
        <v>326</v>
      </c>
      <c r="J63" s="125" t="s">
        <v>331</v>
      </c>
      <c r="K63" s="125" t="s">
        <v>530</v>
      </c>
      <c r="L63" s="138" t="s">
        <v>507</v>
      </c>
      <c r="M63" s="138" t="s">
        <v>508</v>
      </c>
    </row>
    <row r="64" spans="1:13" s="114" customFormat="1" ht="38.25">
      <c r="A64" s="136">
        <v>62</v>
      </c>
      <c r="B64" s="129" t="s">
        <v>676</v>
      </c>
      <c r="C64" s="129" t="s">
        <v>669</v>
      </c>
      <c r="D64" s="137" t="s">
        <v>670</v>
      </c>
      <c r="E64" s="84" t="s">
        <v>677</v>
      </c>
      <c r="F64" s="113"/>
      <c r="G64" s="131"/>
      <c r="H64" s="186" t="s">
        <v>501</v>
      </c>
      <c r="I64" s="125" t="s">
        <v>326</v>
      </c>
      <c r="J64" s="125" t="s">
        <v>331</v>
      </c>
      <c r="K64" s="125" t="s">
        <v>506</v>
      </c>
      <c r="L64" s="138" t="s">
        <v>507</v>
      </c>
      <c r="M64" s="138" t="s">
        <v>508</v>
      </c>
    </row>
    <row r="65" spans="1:13" s="114" customFormat="1" ht="51">
      <c r="A65" s="136">
        <v>63</v>
      </c>
      <c r="B65" s="129" t="s">
        <v>667</v>
      </c>
      <c r="C65" s="129" t="s">
        <v>669</v>
      </c>
      <c r="D65" s="137" t="s">
        <v>670</v>
      </c>
      <c r="E65" s="84" t="s">
        <v>678</v>
      </c>
      <c r="F65" s="113"/>
      <c r="G65" s="131"/>
      <c r="H65" s="186" t="s">
        <v>679</v>
      </c>
      <c r="I65" s="125" t="s">
        <v>326</v>
      </c>
      <c r="J65" s="125" t="s">
        <v>331</v>
      </c>
      <c r="K65" s="125" t="s">
        <v>530</v>
      </c>
      <c r="L65" s="138" t="s">
        <v>507</v>
      </c>
      <c r="M65" s="138" t="s">
        <v>508</v>
      </c>
    </row>
    <row r="66" spans="1:13" s="114" customFormat="1" ht="51">
      <c r="A66" s="136">
        <v>64</v>
      </c>
      <c r="B66" s="129" t="s">
        <v>680</v>
      </c>
      <c r="C66" s="129" t="s">
        <v>681</v>
      </c>
      <c r="D66" s="137" t="s">
        <v>682</v>
      </c>
      <c r="E66" s="84" t="s">
        <v>683</v>
      </c>
      <c r="F66" s="113"/>
      <c r="G66" s="131"/>
      <c r="H66" s="186" t="s">
        <v>684</v>
      </c>
      <c r="I66" s="125" t="s">
        <v>326</v>
      </c>
      <c r="J66" s="125" t="s">
        <v>331</v>
      </c>
      <c r="K66" s="125" t="s">
        <v>530</v>
      </c>
      <c r="L66" s="138" t="s">
        <v>507</v>
      </c>
      <c r="M66" s="138" t="s">
        <v>508</v>
      </c>
    </row>
    <row r="67" spans="1:13" s="114" customFormat="1" ht="51">
      <c r="A67" s="136">
        <v>65</v>
      </c>
      <c r="B67" s="129" t="s">
        <v>685</v>
      </c>
      <c r="C67" s="129" t="s">
        <v>686</v>
      </c>
      <c r="D67" s="137" t="s">
        <v>687</v>
      </c>
      <c r="E67" s="84" t="s">
        <v>688</v>
      </c>
      <c r="F67" s="113"/>
      <c r="G67" s="131"/>
      <c r="H67" s="186" t="s">
        <v>689</v>
      </c>
      <c r="I67" s="125" t="s">
        <v>326</v>
      </c>
      <c r="J67" s="125" t="s">
        <v>331</v>
      </c>
      <c r="K67" s="125" t="s">
        <v>530</v>
      </c>
      <c r="L67" s="138" t="s">
        <v>507</v>
      </c>
      <c r="M67" s="138" t="s">
        <v>508</v>
      </c>
    </row>
    <row r="68" spans="1:13" s="114" customFormat="1" ht="51">
      <c r="A68" s="136">
        <v>66</v>
      </c>
      <c r="B68" s="129" t="s">
        <v>690</v>
      </c>
      <c r="C68" s="129" t="s">
        <v>691</v>
      </c>
      <c r="D68" s="137" t="s">
        <v>692</v>
      </c>
      <c r="E68" s="84" t="s">
        <v>693</v>
      </c>
      <c r="F68" s="113"/>
      <c r="G68" s="131"/>
      <c r="H68" s="186" t="s">
        <v>694</v>
      </c>
      <c r="I68" s="125" t="s">
        <v>326</v>
      </c>
      <c r="J68" s="125" t="s">
        <v>331</v>
      </c>
      <c r="K68" s="125" t="s">
        <v>530</v>
      </c>
      <c r="L68" s="138" t="s">
        <v>507</v>
      </c>
      <c r="M68" s="138" t="s">
        <v>508</v>
      </c>
    </row>
    <row r="69" spans="1:13" s="114" customFormat="1" ht="51">
      <c r="A69" s="136">
        <v>67</v>
      </c>
      <c r="B69" s="129" t="s">
        <v>695</v>
      </c>
      <c r="C69" s="129" t="s">
        <v>691</v>
      </c>
      <c r="D69" s="137" t="s">
        <v>692</v>
      </c>
      <c r="E69" s="84" t="s">
        <v>696</v>
      </c>
      <c r="F69" s="113"/>
      <c r="G69" s="131"/>
      <c r="H69" s="186" t="s">
        <v>690</v>
      </c>
      <c r="I69" s="125" t="s">
        <v>326</v>
      </c>
      <c r="J69" s="125" t="s">
        <v>331</v>
      </c>
      <c r="K69" s="125" t="s">
        <v>530</v>
      </c>
      <c r="L69" s="138" t="s">
        <v>507</v>
      </c>
      <c r="M69" s="138" t="s">
        <v>508</v>
      </c>
    </row>
    <row r="70" spans="1:13" s="114" customFormat="1" ht="51">
      <c r="A70" s="136">
        <v>68</v>
      </c>
      <c r="B70" s="129" t="s">
        <v>697</v>
      </c>
      <c r="C70" s="129" t="s">
        <v>691</v>
      </c>
      <c r="D70" s="137" t="s">
        <v>692</v>
      </c>
      <c r="E70" s="84" t="s">
        <v>698</v>
      </c>
      <c r="F70" s="113"/>
      <c r="G70" s="131"/>
      <c r="H70" s="186" t="s">
        <v>690</v>
      </c>
      <c r="I70" s="125" t="s">
        <v>326</v>
      </c>
      <c r="J70" s="125" t="s">
        <v>331</v>
      </c>
      <c r="K70" s="125" t="s">
        <v>530</v>
      </c>
      <c r="L70" s="138" t="s">
        <v>507</v>
      </c>
      <c r="M70" s="138" t="s">
        <v>508</v>
      </c>
    </row>
    <row r="71" spans="1:13" s="114" customFormat="1" ht="51">
      <c r="A71" s="136">
        <v>69</v>
      </c>
      <c r="B71" s="129" t="s">
        <v>699</v>
      </c>
      <c r="C71" s="129" t="s">
        <v>691</v>
      </c>
      <c r="D71" s="137" t="s">
        <v>692</v>
      </c>
      <c r="E71" s="84" t="s">
        <v>700</v>
      </c>
      <c r="F71" s="113"/>
      <c r="G71" s="131"/>
      <c r="H71" s="186" t="s">
        <v>527</v>
      </c>
      <c r="I71" s="125" t="s">
        <v>326</v>
      </c>
      <c r="J71" s="125" t="s">
        <v>331</v>
      </c>
      <c r="K71" s="125" t="s">
        <v>530</v>
      </c>
      <c r="L71" s="138" t="s">
        <v>507</v>
      </c>
      <c r="M71" s="138" t="s">
        <v>508</v>
      </c>
    </row>
    <row r="72" spans="1:13" s="114" customFormat="1" ht="51">
      <c r="A72" s="136">
        <v>70</v>
      </c>
      <c r="B72" s="129" t="s">
        <v>701</v>
      </c>
      <c r="C72" s="129" t="s">
        <v>691</v>
      </c>
      <c r="D72" s="137" t="s">
        <v>692</v>
      </c>
      <c r="E72" s="84" t="s">
        <v>702</v>
      </c>
      <c r="F72" s="113"/>
      <c r="G72" s="131"/>
      <c r="H72" s="186" t="s">
        <v>527</v>
      </c>
      <c r="I72" s="125" t="s">
        <v>326</v>
      </c>
      <c r="J72" s="125" t="s">
        <v>331</v>
      </c>
      <c r="K72" s="125" t="s">
        <v>530</v>
      </c>
      <c r="L72" s="138" t="s">
        <v>507</v>
      </c>
      <c r="M72" s="138" t="s">
        <v>508</v>
      </c>
    </row>
    <row r="73" spans="1:13" s="114" customFormat="1" ht="51">
      <c r="A73" s="136">
        <v>71</v>
      </c>
      <c r="B73" s="129" t="s">
        <v>703</v>
      </c>
      <c r="C73" s="129" t="s">
        <v>704</v>
      </c>
      <c r="D73" s="137" t="s">
        <v>705</v>
      </c>
      <c r="E73" s="84" t="s">
        <v>706</v>
      </c>
      <c r="F73" s="113"/>
      <c r="G73" s="131"/>
      <c r="H73" s="186" t="s">
        <v>707</v>
      </c>
      <c r="I73" s="125" t="s">
        <v>326</v>
      </c>
      <c r="J73" s="125" t="s">
        <v>331</v>
      </c>
      <c r="K73" s="125" t="s">
        <v>530</v>
      </c>
      <c r="L73" s="138" t="s">
        <v>507</v>
      </c>
      <c r="M73" s="138" t="s">
        <v>508</v>
      </c>
    </row>
    <row r="74" spans="1:13" s="114" customFormat="1" ht="38.25">
      <c r="A74" s="136">
        <v>72</v>
      </c>
      <c r="B74" s="129" t="s">
        <v>566</v>
      </c>
      <c r="C74" s="129" t="s">
        <v>708</v>
      </c>
      <c r="D74" s="137" t="s">
        <v>709</v>
      </c>
      <c r="E74" s="84" t="s">
        <v>710</v>
      </c>
      <c r="F74" s="113"/>
      <c r="G74" s="131"/>
      <c r="H74" s="186" t="s">
        <v>711</v>
      </c>
      <c r="I74" s="125" t="s">
        <v>326</v>
      </c>
      <c r="J74" s="125" t="s">
        <v>331</v>
      </c>
      <c r="K74" s="125" t="s">
        <v>512</v>
      </c>
      <c r="L74" s="138" t="s">
        <v>507</v>
      </c>
      <c r="M74" s="138" t="s">
        <v>508</v>
      </c>
    </row>
    <row r="75" spans="1:13" s="114" customFormat="1" ht="38.25">
      <c r="A75" s="136">
        <v>73</v>
      </c>
      <c r="B75" s="129" t="s">
        <v>712</v>
      </c>
      <c r="C75" s="129" t="s">
        <v>708</v>
      </c>
      <c r="D75" s="137" t="s">
        <v>709</v>
      </c>
      <c r="E75" s="84" t="s">
        <v>713</v>
      </c>
      <c r="F75" s="113"/>
      <c r="G75" s="131"/>
      <c r="H75" s="186" t="s">
        <v>566</v>
      </c>
      <c r="I75" s="125" t="s">
        <v>326</v>
      </c>
      <c r="J75" s="125" t="s">
        <v>331</v>
      </c>
      <c r="K75" s="125" t="s">
        <v>512</v>
      </c>
      <c r="L75" s="138" t="s">
        <v>507</v>
      </c>
      <c r="M75" s="138" t="s">
        <v>508</v>
      </c>
    </row>
    <row r="76" spans="1:13" s="114" customFormat="1" ht="38.25">
      <c r="A76" s="136">
        <v>74</v>
      </c>
      <c r="B76" s="129" t="s">
        <v>714</v>
      </c>
      <c r="C76" s="129" t="s">
        <v>708</v>
      </c>
      <c r="D76" s="137" t="s">
        <v>709</v>
      </c>
      <c r="E76" s="84" t="s">
        <v>715</v>
      </c>
      <c r="F76" s="113"/>
      <c r="G76" s="131"/>
      <c r="H76" s="186" t="s">
        <v>566</v>
      </c>
      <c r="I76" s="125" t="s">
        <v>326</v>
      </c>
      <c r="J76" s="125" t="s">
        <v>331</v>
      </c>
      <c r="K76" s="125" t="s">
        <v>512</v>
      </c>
      <c r="L76" s="138" t="s">
        <v>507</v>
      </c>
      <c r="M76" s="138" t="s">
        <v>508</v>
      </c>
    </row>
    <row r="77" spans="1:13" s="114" customFormat="1" ht="38.25">
      <c r="A77" s="136">
        <v>75</v>
      </c>
      <c r="B77" s="129" t="s">
        <v>716</v>
      </c>
      <c r="C77" s="129" t="s">
        <v>708</v>
      </c>
      <c r="D77" s="137" t="s">
        <v>709</v>
      </c>
      <c r="E77" s="84" t="s">
        <v>717</v>
      </c>
      <c r="F77" s="113"/>
      <c r="G77" s="131"/>
      <c r="H77" s="186" t="s">
        <v>566</v>
      </c>
      <c r="I77" s="125" t="s">
        <v>326</v>
      </c>
      <c r="J77" s="125" t="s">
        <v>331</v>
      </c>
      <c r="K77" s="125" t="s">
        <v>512</v>
      </c>
      <c r="L77" s="138" t="s">
        <v>507</v>
      </c>
      <c r="M77" s="138" t="s">
        <v>508</v>
      </c>
    </row>
    <row r="78" spans="1:13" s="114" customFormat="1" ht="38.25">
      <c r="A78" s="136">
        <v>76</v>
      </c>
      <c r="B78" s="129" t="s">
        <v>718</v>
      </c>
      <c r="C78" s="129" t="s">
        <v>708</v>
      </c>
      <c r="D78" s="137" t="s">
        <v>709</v>
      </c>
      <c r="E78" s="84" t="s">
        <v>719</v>
      </c>
      <c r="F78" s="113"/>
      <c r="G78" s="131"/>
      <c r="H78" s="186" t="s">
        <v>566</v>
      </c>
      <c r="I78" s="125" t="s">
        <v>326</v>
      </c>
      <c r="J78" s="125" t="s">
        <v>331</v>
      </c>
      <c r="K78" s="125" t="s">
        <v>512</v>
      </c>
      <c r="L78" s="138" t="s">
        <v>507</v>
      </c>
      <c r="M78" s="138" t="s">
        <v>508</v>
      </c>
    </row>
    <row r="79" spans="1:13" s="114" customFormat="1" ht="38.25">
      <c r="A79" s="136">
        <v>77</v>
      </c>
      <c r="B79" s="129" t="s">
        <v>720</v>
      </c>
      <c r="C79" s="129" t="s">
        <v>708</v>
      </c>
      <c r="D79" s="137" t="s">
        <v>709</v>
      </c>
      <c r="E79" s="84" t="s">
        <v>721</v>
      </c>
      <c r="F79" s="113"/>
      <c r="G79" s="131"/>
      <c r="H79" s="186" t="s">
        <v>566</v>
      </c>
      <c r="I79" s="125" t="s">
        <v>326</v>
      </c>
      <c r="J79" s="125" t="s">
        <v>331</v>
      </c>
      <c r="K79" s="125" t="s">
        <v>512</v>
      </c>
      <c r="L79" s="138" t="s">
        <v>507</v>
      </c>
      <c r="M79" s="138" t="s">
        <v>508</v>
      </c>
    </row>
    <row r="80" spans="1:13" s="114" customFormat="1" ht="38.25">
      <c r="A80" s="136">
        <v>78</v>
      </c>
      <c r="B80" s="129" t="s">
        <v>722</v>
      </c>
      <c r="C80" s="129" t="s">
        <v>708</v>
      </c>
      <c r="D80" s="137" t="s">
        <v>709</v>
      </c>
      <c r="E80" s="84" t="s">
        <v>723</v>
      </c>
      <c r="F80" s="113"/>
      <c r="G80" s="131"/>
      <c r="H80" s="186" t="s">
        <v>566</v>
      </c>
      <c r="I80" s="125" t="s">
        <v>326</v>
      </c>
      <c r="J80" s="125" t="s">
        <v>331</v>
      </c>
      <c r="K80" s="125" t="s">
        <v>512</v>
      </c>
      <c r="L80" s="138" t="s">
        <v>507</v>
      </c>
      <c r="M80" s="138" t="s">
        <v>508</v>
      </c>
    </row>
    <row r="81" spans="1:13" s="114" customFormat="1" ht="38.25">
      <c r="A81" s="136">
        <v>79</v>
      </c>
      <c r="B81" s="129" t="s">
        <v>724</v>
      </c>
      <c r="C81" s="129" t="s">
        <v>708</v>
      </c>
      <c r="D81" s="137" t="s">
        <v>709</v>
      </c>
      <c r="E81" s="84" t="s">
        <v>725</v>
      </c>
      <c r="F81" s="113"/>
      <c r="G81" s="131"/>
      <c r="H81" s="186" t="s">
        <v>566</v>
      </c>
      <c r="I81" s="125" t="s">
        <v>326</v>
      </c>
      <c r="J81" s="125" t="s">
        <v>331</v>
      </c>
      <c r="K81" s="125" t="s">
        <v>512</v>
      </c>
      <c r="L81" s="138" t="s">
        <v>507</v>
      </c>
      <c r="M81" s="138" t="s">
        <v>508</v>
      </c>
    </row>
    <row r="82" spans="1:13" s="114" customFormat="1" ht="25.5">
      <c r="A82" s="136">
        <v>80</v>
      </c>
      <c r="B82" s="129" t="s">
        <v>617</v>
      </c>
      <c r="C82" s="129" t="s">
        <v>708</v>
      </c>
      <c r="D82" s="137" t="s">
        <v>709</v>
      </c>
      <c r="E82" s="84" t="s">
        <v>726</v>
      </c>
      <c r="F82" s="113"/>
      <c r="G82" s="131"/>
      <c r="H82" s="186" t="s">
        <v>727</v>
      </c>
      <c r="I82" s="125" t="s">
        <v>326</v>
      </c>
      <c r="J82" s="125" t="s">
        <v>331</v>
      </c>
      <c r="K82" s="125" t="s">
        <v>618</v>
      </c>
      <c r="L82" s="138" t="s">
        <v>507</v>
      </c>
      <c r="M82" s="138" t="s">
        <v>508</v>
      </c>
    </row>
    <row r="83" spans="1:13" s="114" customFormat="1" ht="25.5">
      <c r="A83" s="136">
        <v>81</v>
      </c>
      <c r="B83" s="129" t="s">
        <v>728</v>
      </c>
      <c r="C83" s="129" t="s">
        <v>729</v>
      </c>
      <c r="D83" s="137" t="s">
        <v>730</v>
      </c>
      <c r="E83" s="84" t="s">
        <v>731</v>
      </c>
      <c r="F83" s="113"/>
      <c r="G83" s="131"/>
      <c r="H83" s="186" t="s">
        <v>617</v>
      </c>
      <c r="I83" s="125" t="s">
        <v>326</v>
      </c>
      <c r="J83" s="125" t="s">
        <v>331</v>
      </c>
      <c r="K83" s="125" t="s">
        <v>618</v>
      </c>
      <c r="L83" s="138" t="s">
        <v>507</v>
      </c>
      <c r="M83" s="138" t="s">
        <v>508</v>
      </c>
    </row>
    <row r="84" spans="1:13" s="114" customFormat="1" ht="25.5">
      <c r="A84" s="136">
        <v>82</v>
      </c>
      <c r="B84" s="129" t="s">
        <v>732</v>
      </c>
      <c r="C84" s="129" t="s">
        <v>729</v>
      </c>
      <c r="D84" s="137" t="s">
        <v>730</v>
      </c>
      <c r="E84" s="84" t="s">
        <v>733</v>
      </c>
      <c r="F84" s="113"/>
      <c r="G84" s="131"/>
      <c r="H84" s="186" t="s">
        <v>617</v>
      </c>
      <c r="I84" s="125" t="s">
        <v>326</v>
      </c>
      <c r="J84" s="125" t="s">
        <v>331</v>
      </c>
      <c r="K84" s="125" t="s">
        <v>618</v>
      </c>
      <c r="L84" s="138" t="s">
        <v>507</v>
      </c>
      <c r="M84" s="138" t="s">
        <v>508</v>
      </c>
    </row>
    <row r="85" spans="1:13" s="114" customFormat="1" ht="25.5">
      <c r="A85" s="136">
        <v>83</v>
      </c>
      <c r="B85" s="129" t="s">
        <v>734</v>
      </c>
      <c r="C85" s="129" t="s">
        <v>729</v>
      </c>
      <c r="D85" s="137" t="s">
        <v>730</v>
      </c>
      <c r="E85" s="84" t="s">
        <v>735</v>
      </c>
      <c r="F85" s="113"/>
      <c r="G85" s="131"/>
      <c r="H85" s="186" t="s">
        <v>617</v>
      </c>
      <c r="I85" s="125" t="s">
        <v>326</v>
      </c>
      <c r="J85" s="125" t="s">
        <v>331</v>
      </c>
      <c r="K85" s="125" t="s">
        <v>618</v>
      </c>
      <c r="L85" s="138" t="s">
        <v>507</v>
      </c>
      <c r="M85" s="138" t="s">
        <v>508</v>
      </c>
    </row>
    <row r="86" spans="1:13" s="114" customFormat="1" ht="25.5">
      <c r="A86" s="136">
        <v>84</v>
      </c>
      <c r="B86" s="129" t="s">
        <v>736</v>
      </c>
      <c r="C86" s="129" t="s">
        <v>729</v>
      </c>
      <c r="D86" s="137" t="s">
        <v>730</v>
      </c>
      <c r="E86" s="84" t="s">
        <v>737</v>
      </c>
      <c r="F86" s="113"/>
      <c r="G86" s="131"/>
      <c r="H86" s="186" t="s">
        <v>617</v>
      </c>
      <c r="I86" s="125" t="s">
        <v>326</v>
      </c>
      <c r="J86" s="125" t="s">
        <v>331</v>
      </c>
      <c r="K86" s="125" t="s">
        <v>618</v>
      </c>
      <c r="L86" s="138" t="s">
        <v>507</v>
      </c>
      <c r="M86" s="138" t="s">
        <v>508</v>
      </c>
    </row>
    <row r="87" spans="1:13" s="114" customFormat="1" ht="38.25">
      <c r="A87" s="136">
        <v>85</v>
      </c>
      <c r="B87" s="129" t="s">
        <v>738</v>
      </c>
      <c r="C87" s="129" t="s">
        <v>729</v>
      </c>
      <c r="D87" s="137" t="s">
        <v>730</v>
      </c>
      <c r="E87" s="84" t="s">
        <v>739</v>
      </c>
      <c r="F87" s="113"/>
      <c r="G87" s="131"/>
      <c r="H87" s="186" t="s">
        <v>633</v>
      </c>
      <c r="I87" s="125" t="s">
        <v>326</v>
      </c>
      <c r="J87" s="125" t="s">
        <v>331</v>
      </c>
      <c r="K87" s="125" t="s">
        <v>512</v>
      </c>
      <c r="L87" s="138" t="s">
        <v>507</v>
      </c>
      <c r="M87" s="138" t="s">
        <v>508</v>
      </c>
    </row>
    <row r="88" spans="1:13" s="114" customFormat="1" ht="25.5">
      <c r="A88" s="136">
        <v>86</v>
      </c>
      <c r="B88" s="129" t="s">
        <v>740</v>
      </c>
      <c r="C88" s="129" t="s">
        <v>729</v>
      </c>
      <c r="D88" s="137" t="s">
        <v>730</v>
      </c>
      <c r="E88" s="84" t="s">
        <v>741</v>
      </c>
      <c r="F88" s="113"/>
      <c r="G88" s="131"/>
      <c r="H88" s="186" t="s">
        <v>617</v>
      </c>
      <c r="I88" s="125" t="s">
        <v>326</v>
      </c>
      <c r="J88" s="125" t="s">
        <v>331</v>
      </c>
      <c r="K88" s="125" t="s">
        <v>618</v>
      </c>
      <c r="L88" s="138" t="s">
        <v>507</v>
      </c>
      <c r="M88" s="138" t="s">
        <v>508</v>
      </c>
    </row>
    <row r="89" spans="1:13" s="114" customFormat="1" ht="25.5">
      <c r="A89" s="136">
        <v>87</v>
      </c>
      <c r="B89" s="129" t="s">
        <v>742</v>
      </c>
      <c r="C89" s="129" t="s">
        <v>729</v>
      </c>
      <c r="D89" s="137" t="s">
        <v>730</v>
      </c>
      <c r="E89" s="84" t="s">
        <v>743</v>
      </c>
      <c r="F89" s="113"/>
      <c r="G89" s="131"/>
      <c r="H89" s="186" t="s">
        <v>617</v>
      </c>
      <c r="I89" s="125" t="s">
        <v>326</v>
      </c>
      <c r="J89" s="125" t="s">
        <v>331</v>
      </c>
      <c r="K89" s="125" t="s">
        <v>618</v>
      </c>
      <c r="L89" s="138" t="s">
        <v>507</v>
      </c>
      <c r="M89" s="138" t="s">
        <v>508</v>
      </c>
    </row>
    <row r="90" spans="1:13" s="114" customFormat="1" ht="38.25">
      <c r="A90" s="136">
        <v>88</v>
      </c>
      <c r="B90" s="129" t="s">
        <v>744</v>
      </c>
      <c r="C90" s="129" t="s">
        <v>729</v>
      </c>
      <c r="D90" s="137" t="s">
        <v>730</v>
      </c>
      <c r="E90" s="84" t="s">
        <v>745</v>
      </c>
      <c r="F90" s="113"/>
      <c r="G90" s="131"/>
      <c r="H90" s="186" t="s">
        <v>746</v>
      </c>
      <c r="I90" s="125" t="s">
        <v>326</v>
      </c>
      <c r="J90" s="125" t="s">
        <v>331</v>
      </c>
      <c r="K90" s="125" t="s">
        <v>512</v>
      </c>
      <c r="L90" s="138" t="s">
        <v>315</v>
      </c>
      <c r="M90" s="138" t="s">
        <v>508</v>
      </c>
    </row>
    <row r="91" spans="1:13" s="114" customFormat="1" ht="38.25">
      <c r="A91" s="136">
        <v>89</v>
      </c>
      <c r="B91" s="129" t="s">
        <v>747</v>
      </c>
      <c r="C91" s="129" t="s">
        <v>748</v>
      </c>
      <c r="D91" s="137" t="s">
        <v>749</v>
      </c>
      <c r="E91" s="84" t="s">
        <v>750</v>
      </c>
      <c r="F91" s="113"/>
      <c r="G91" s="131"/>
      <c r="H91" s="186" t="s">
        <v>744</v>
      </c>
      <c r="I91" s="125" t="s">
        <v>326</v>
      </c>
      <c r="J91" s="125" t="s">
        <v>331</v>
      </c>
      <c r="K91" s="125" t="s">
        <v>512</v>
      </c>
      <c r="L91" s="138" t="s">
        <v>315</v>
      </c>
      <c r="M91" s="138" t="s">
        <v>508</v>
      </c>
    </row>
    <row r="92" spans="1:13" s="114" customFormat="1" ht="25.5">
      <c r="A92" s="136">
        <v>90</v>
      </c>
      <c r="B92" s="129" t="s">
        <v>751</v>
      </c>
      <c r="C92" s="129" t="s">
        <v>748</v>
      </c>
      <c r="D92" s="137" t="s">
        <v>749</v>
      </c>
      <c r="E92" s="84" t="s">
        <v>752</v>
      </c>
      <c r="F92" s="113"/>
      <c r="G92" s="131"/>
      <c r="H92" s="186" t="s">
        <v>753</v>
      </c>
      <c r="I92" s="125" t="s">
        <v>326</v>
      </c>
      <c r="J92" s="125" t="s">
        <v>341</v>
      </c>
      <c r="K92" s="125" t="s">
        <v>580</v>
      </c>
      <c r="L92" s="138" t="s">
        <v>315</v>
      </c>
      <c r="M92" s="138" t="s">
        <v>508</v>
      </c>
    </row>
    <row r="93" spans="1:13" s="114" customFormat="1" ht="38.25">
      <c r="A93" s="136">
        <v>91</v>
      </c>
      <c r="B93" s="129" t="s">
        <v>754</v>
      </c>
      <c r="C93" s="129" t="s">
        <v>748</v>
      </c>
      <c r="D93" s="137" t="s">
        <v>749</v>
      </c>
      <c r="E93" s="84" t="s">
        <v>755</v>
      </c>
      <c r="F93" s="113"/>
      <c r="G93" s="131"/>
      <c r="H93" s="186" t="s">
        <v>744</v>
      </c>
      <c r="I93" s="125" t="s">
        <v>326</v>
      </c>
      <c r="J93" s="125" t="s">
        <v>331</v>
      </c>
      <c r="K93" s="125" t="s">
        <v>512</v>
      </c>
      <c r="L93" s="138" t="s">
        <v>315</v>
      </c>
      <c r="M93" s="138" t="s">
        <v>508</v>
      </c>
    </row>
    <row r="94" spans="1:13" s="114" customFormat="1" ht="38.25">
      <c r="A94" s="136">
        <v>92</v>
      </c>
      <c r="B94" s="129" t="s">
        <v>756</v>
      </c>
      <c r="C94" s="129" t="s">
        <v>748</v>
      </c>
      <c r="D94" s="137" t="s">
        <v>749</v>
      </c>
      <c r="E94" s="84" t="s">
        <v>757</v>
      </c>
      <c r="F94" s="113"/>
      <c r="G94" s="131"/>
      <c r="H94" s="186" t="s">
        <v>744</v>
      </c>
      <c r="I94" s="125" t="s">
        <v>326</v>
      </c>
      <c r="J94" s="125" t="s">
        <v>331</v>
      </c>
      <c r="K94" s="125" t="s">
        <v>512</v>
      </c>
      <c r="L94" s="138" t="s">
        <v>315</v>
      </c>
      <c r="M94" s="138" t="s">
        <v>508</v>
      </c>
    </row>
    <row r="95" spans="1:13" s="114" customFormat="1" ht="25.5">
      <c r="A95" s="136">
        <v>93</v>
      </c>
      <c r="B95" s="129" t="s">
        <v>758</v>
      </c>
      <c r="C95" s="129" t="s">
        <v>748</v>
      </c>
      <c r="D95" s="137" t="s">
        <v>749</v>
      </c>
      <c r="E95" s="84" t="s">
        <v>759</v>
      </c>
      <c r="F95" s="113"/>
      <c r="G95" s="131"/>
      <c r="H95" s="186" t="s">
        <v>760</v>
      </c>
      <c r="I95" s="125" t="s">
        <v>326</v>
      </c>
      <c r="J95" s="125" t="s">
        <v>346</v>
      </c>
      <c r="K95" s="125" t="s">
        <v>761</v>
      </c>
      <c r="L95" s="138" t="s">
        <v>315</v>
      </c>
      <c r="M95" s="138" t="s">
        <v>508</v>
      </c>
    </row>
    <row r="96" spans="1:13" s="114" customFormat="1" ht="38.25">
      <c r="A96" s="136">
        <v>94</v>
      </c>
      <c r="B96" s="129" t="s">
        <v>762</v>
      </c>
      <c r="C96" s="129" t="s">
        <v>763</v>
      </c>
      <c r="D96" s="137" t="s">
        <v>764</v>
      </c>
      <c r="E96" s="84" t="s">
        <v>765</v>
      </c>
      <c r="F96" s="113"/>
      <c r="G96" s="131"/>
      <c r="H96" s="186" t="s">
        <v>766</v>
      </c>
      <c r="I96" s="125" t="s">
        <v>326</v>
      </c>
      <c r="J96" s="125" t="s">
        <v>331</v>
      </c>
      <c r="K96" s="125" t="s">
        <v>512</v>
      </c>
      <c r="L96" s="138" t="s">
        <v>315</v>
      </c>
      <c r="M96" s="138" t="s">
        <v>508</v>
      </c>
    </row>
    <row r="97" spans="1:13" s="114" customFormat="1" ht="38.25">
      <c r="A97" s="136">
        <v>95</v>
      </c>
      <c r="B97" s="129" t="s">
        <v>767</v>
      </c>
      <c r="C97" s="129" t="s">
        <v>763</v>
      </c>
      <c r="D97" s="137" t="s">
        <v>764</v>
      </c>
      <c r="E97" s="84" t="s">
        <v>768</v>
      </c>
      <c r="F97" s="113"/>
      <c r="G97" s="131"/>
      <c r="H97" s="186" t="s">
        <v>766</v>
      </c>
      <c r="I97" s="125" t="s">
        <v>326</v>
      </c>
      <c r="J97" s="125" t="s">
        <v>331</v>
      </c>
      <c r="K97" s="125" t="s">
        <v>512</v>
      </c>
      <c r="L97" s="138" t="s">
        <v>315</v>
      </c>
      <c r="M97" s="138" t="s">
        <v>508</v>
      </c>
    </row>
    <row r="98" spans="1:13" s="114" customFormat="1" ht="38.25">
      <c r="A98" s="136">
        <v>96</v>
      </c>
      <c r="B98" s="129" t="s">
        <v>769</v>
      </c>
      <c r="C98" s="129" t="s">
        <v>763</v>
      </c>
      <c r="D98" s="137" t="s">
        <v>764</v>
      </c>
      <c r="E98" s="84" t="s">
        <v>770</v>
      </c>
      <c r="F98" s="113"/>
      <c r="G98" s="131"/>
      <c r="H98" s="186" t="s">
        <v>766</v>
      </c>
      <c r="I98" s="125" t="s">
        <v>326</v>
      </c>
      <c r="J98" s="125" t="s">
        <v>331</v>
      </c>
      <c r="K98" s="125" t="s">
        <v>512</v>
      </c>
      <c r="L98" s="138" t="s">
        <v>315</v>
      </c>
      <c r="M98" s="138" t="s">
        <v>508</v>
      </c>
    </row>
    <row r="99" spans="1:13" s="114" customFormat="1" ht="25.5">
      <c r="A99" s="136">
        <v>97</v>
      </c>
      <c r="B99" s="129" t="s">
        <v>771</v>
      </c>
      <c r="C99" s="129" t="s">
        <v>763</v>
      </c>
      <c r="D99" s="137" t="s">
        <v>764</v>
      </c>
      <c r="E99" s="84" t="s">
        <v>772</v>
      </c>
      <c r="F99" s="113"/>
      <c r="G99" s="131"/>
      <c r="H99" s="186" t="s">
        <v>773</v>
      </c>
      <c r="I99" s="125" t="s">
        <v>326</v>
      </c>
      <c r="J99" s="125" t="s">
        <v>341</v>
      </c>
      <c r="K99" s="125" t="s">
        <v>580</v>
      </c>
      <c r="L99" s="138" t="s">
        <v>507</v>
      </c>
      <c r="M99" s="138" t="s">
        <v>508</v>
      </c>
    </row>
    <row r="100" spans="1:13" s="114" customFormat="1" ht="38.25">
      <c r="A100" s="136">
        <v>98</v>
      </c>
      <c r="B100" s="129" t="s">
        <v>774</v>
      </c>
      <c r="C100" s="129" t="s">
        <v>763</v>
      </c>
      <c r="D100" s="137" t="s">
        <v>764</v>
      </c>
      <c r="E100" s="84" t="s">
        <v>775</v>
      </c>
      <c r="F100" s="113"/>
      <c r="G100" s="131"/>
      <c r="H100" s="186" t="s">
        <v>513</v>
      </c>
      <c r="I100" s="125" t="s">
        <v>326</v>
      </c>
      <c r="J100" s="125" t="s">
        <v>331</v>
      </c>
      <c r="K100" s="125" t="s">
        <v>512</v>
      </c>
      <c r="L100" s="138" t="s">
        <v>507</v>
      </c>
      <c r="M100" s="138" t="s">
        <v>508</v>
      </c>
    </row>
    <row r="101" spans="1:13" s="114" customFormat="1" ht="25.5">
      <c r="A101" s="136">
        <v>99</v>
      </c>
      <c r="B101" s="129" t="s">
        <v>776</v>
      </c>
      <c r="C101" s="129" t="s">
        <v>777</v>
      </c>
      <c r="D101" s="137" t="s">
        <v>778</v>
      </c>
      <c r="E101" s="84" t="s">
        <v>779</v>
      </c>
      <c r="F101" s="113"/>
      <c r="G101" s="131"/>
      <c r="H101" s="186" t="s">
        <v>780</v>
      </c>
      <c r="I101" s="125" t="s">
        <v>326</v>
      </c>
      <c r="J101" s="125" t="s">
        <v>352</v>
      </c>
      <c r="K101" s="125" t="s">
        <v>781</v>
      </c>
      <c r="L101" s="138" t="s">
        <v>507</v>
      </c>
      <c r="M101" s="138" t="s">
        <v>508</v>
      </c>
    </row>
    <row r="102" spans="1:13" s="114" customFormat="1" ht="38.25">
      <c r="A102" s="136">
        <v>100</v>
      </c>
      <c r="B102" s="129" t="s">
        <v>782</v>
      </c>
      <c r="C102" s="129" t="s">
        <v>777</v>
      </c>
      <c r="D102" s="137" t="s">
        <v>778</v>
      </c>
      <c r="E102" s="84" t="s">
        <v>783</v>
      </c>
      <c r="F102" s="113"/>
      <c r="G102" s="131"/>
      <c r="H102" s="186" t="s">
        <v>567</v>
      </c>
      <c r="I102" s="125" t="s">
        <v>326</v>
      </c>
      <c r="J102" s="125" t="s">
        <v>341</v>
      </c>
      <c r="K102" s="125" t="s">
        <v>570</v>
      </c>
      <c r="L102" s="138" t="s">
        <v>507</v>
      </c>
      <c r="M102" s="138" t="s">
        <v>508</v>
      </c>
    </row>
    <row r="103" spans="1:13" s="114" customFormat="1" ht="25.5">
      <c r="A103" s="136">
        <v>101</v>
      </c>
      <c r="B103" s="129" t="s">
        <v>784</v>
      </c>
      <c r="C103" s="129" t="s">
        <v>777</v>
      </c>
      <c r="D103" s="137" t="s">
        <v>778</v>
      </c>
      <c r="E103" s="84" t="s">
        <v>785</v>
      </c>
      <c r="F103" s="113"/>
      <c r="G103" s="131"/>
      <c r="H103" s="186" t="s">
        <v>776</v>
      </c>
      <c r="I103" s="125" t="s">
        <v>326</v>
      </c>
      <c r="J103" s="125" t="s">
        <v>352</v>
      </c>
      <c r="K103" s="125" t="s">
        <v>781</v>
      </c>
      <c r="L103" s="138" t="s">
        <v>507</v>
      </c>
      <c r="M103" s="138" t="s">
        <v>508</v>
      </c>
    </row>
    <row r="104" spans="1:13" s="114" customFormat="1" ht="25.5">
      <c r="A104" s="136">
        <v>102</v>
      </c>
      <c r="B104" s="129" t="s">
        <v>786</v>
      </c>
      <c r="C104" s="129" t="s">
        <v>777</v>
      </c>
      <c r="D104" s="137" t="s">
        <v>778</v>
      </c>
      <c r="E104" s="84" t="s">
        <v>787</v>
      </c>
      <c r="F104" s="113"/>
      <c r="G104" s="131"/>
      <c r="H104" s="186" t="s">
        <v>567</v>
      </c>
      <c r="I104" s="125" t="s">
        <v>326</v>
      </c>
      <c r="J104" s="125" t="s">
        <v>341</v>
      </c>
      <c r="K104" s="125" t="s">
        <v>570</v>
      </c>
      <c r="L104" s="138" t="s">
        <v>507</v>
      </c>
      <c r="M104" s="138" t="s">
        <v>508</v>
      </c>
    </row>
    <row r="105" spans="1:13" s="114" customFormat="1" ht="25.5">
      <c r="A105" s="136">
        <v>103</v>
      </c>
      <c r="B105" s="129" t="s">
        <v>788</v>
      </c>
      <c r="C105" s="129" t="s">
        <v>789</v>
      </c>
      <c r="D105" s="137" t="s">
        <v>790</v>
      </c>
      <c r="E105" s="84" t="s">
        <v>791</v>
      </c>
      <c r="F105" s="113"/>
      <c r="G105" s="131"/>
      <c r="H105" s="186" t="s">
        <v>567</v>
      </c>
      <c r="I105" s="125" t="s">
        <v>326</v>
      </c>
      <c r="J105" s="125" t="s">
        <v>341</v>
      </c>
      <c r="K105" s="125" t="s">
        <v>570</v>
      </c>
      <c r="L105" s="138" t="s">
        <v>507</v>
      </c>
      <c r="M105" s="138" t="s">
        <v>508</v>
      </c>
    </row>
    <row r="106" spans="1:13" s="114" customFormat="1" ht="25.5">
      <c r="A106" s="136">
        <v>104</v>
      </c>
      <c r="B106" s="129" t="s">
        <v>792</v>
      </c>
      <c r="C106" s="129" t="s">
        <v>789</v>
      </c>
      <c r="D106" s="137" t="s">
        <v>790</v>
      </c>
      <c r="E106" s="84" t="s">
        <v>793</v>
      </c>
      <c r="F106" s="113"/>
      <c r="G106" s="131"/>
      <c r="H106" s="186" t="s">
        <v>567</v>
      </c>
      <c r="I106" s="125" t="s">
        <v>326</v>
      </c>
      <c r="J106" s="125" t="s">
        <v>341</v>
      </c>
      <c r="K106" s="125" t="s">
        <v>570</v>
      </c>
      <c r="L106" s="138" t="s">
        <v>507</v>
      </c>
      <c r="M106" s="138" t="s">
        <v>508</v>
      </c>
    </row>
    <row r="107" spans="1:13" s="114" customFormat="1" ht="25.5">
      <c r="A107" s="136">
        <v>105</v>
      </c>
      <c r="B107" s="129" t="s">
        <v>794</v>
      </c>
      <c r="C107" s="129" t="s">
        <v>789</v>
      </c>
      <c r="D107" s="137" t="s">
        <v>790</v>
      </c>
      <c r="E107" s="84" t="s">
        <v>795</v>
      </c>
      <c r="F107" s="113"/>
      <c r="G107" s="131"/>
      <c r="H107" s="186" t="s">
        <v>567</v>
      </c>
      <c r="I107" s="125" t="s">
        <v>326</v>
      </c>
      <c r="J107" s="125" t="s">
        <v>341</v>
      </c>
      <c r="K107" s="125" t="s">
        <v>570</v>
      </c>
      <c r="L107" s="138" t="s">
        <v>507</v>
      </c>
      <c r="M107" s="138" t="s">
        <v>508</v>
      </c>
    </row>
    <row r="108" spans="1:13" s="114" customFormat="1" ht="25.5">
      <c r="A108" s="136">
        <v>106</v>
      </c>
      <c r="B108" s="129" t="s">
        <v>796</v>
      </c>
      <c r="C108" s="129" t="s">
        <v>797</v>
      </c>
      <c r="D108" s="137" t="s">
        <v>798</v>
      </c>
      <c r="E108" s="84" t="s">
        <v>799</v>
      </c>
      <c r="F108" s="113"/>
      <c r="G108" s="131"/>
      <c r="H108" s="186" t="s">
        <v>600</v>
      </c>
      <c r="I108" s="125" t="s">
        <v>326</v>
      </c>
      <c r="J108" s="125" t="s">
        <v>341</v>
      </c>
      <c r="K108" s="125" t="s">
        <v>601</v>
      </c>
      <c r="L108" s="138" t="s">
        <v>507</v>
      </c>
      <c r="M108" s="138" t="s">
        <v>508</v>
      </c>
    </row>
    <row r="109" spans="1:13" s="114" customFormat="1" ht="38.25">
      <c r="A109" s="136">
        <v>107</v>
      </c>
      <c r="B109" s="129" t="s">
        <v>800</v>
      </c>
      <c r="C109" s="129" t="s">
        <v>801</v>
      </c>
      <c r="D109" s="137" t="s">
        <v>802</v>
      </c>
      <c r="E109" s="84" t="s">
        <v>803</v>
      </c>
      <c r="F109" s="113"/>
      <c r="G109" s="131"/>
      <c r="H109" s="186" t="s">
        <v>566</v>
      </c>
      <c r="I109" s="125" t="s">
        <v>326</v>
      </c>
      <c r="J109" s="125" t="s">
        <v>331</v>
      </c>
      <c r="K109" s="125" t="s">
        <v>512</v>
      </c>
      <c r="L109" s="138" t="s">
        <v>507</v>
      </c>
      <c r="M109" s="138" t="s">
        <v>508</v>
      </c>
    </row>
    <row r="110" spans="1:13" s="114" customFormat="1" ht="25.5">
      <c r="A110" s="136">
        <v>108</v>
      </c>
      <c r="B110" s="129" t="s">
        <v>804</v>
      </c>
      <c r="C110" s="129" t="s">
        <v>801</v>
      </c>
      <c r="D110" s="137" t="s">
        <v>802</v>
      </c>
      <c r="E110" s="84" t="s">
        <v>805</v>
      </c>
      <c r="F110" s="113"/>
      <c r="G110" s="131"/>
      <c r="H110" s="186" t="s">
        <v>806</v>
      </c>
      <c r="I110" s="125" t="s">
        <v>326</v>
      </c>
      <c r="J110" s="125" t="s">
        <v>352</v>
      </c>
      <c r="K110" s="125" t="s">
        <v>526</v>
      </c>
      <c r="L110" s="138" t="s">
        <v>507</v>
      </c>
      <c r="M110" s="138" t="s">
        <v>508</v>
      </c>
    </row>
    <row r="111" spans="1:13" s="114" customFormat="1" ht="25.5">
      <c r="A111" s="136">
        <v>109</v>
      </c>
      <c r="B111" s="129" t="s">
        <v>807</v>
      </c>
      <c r="C111" s="129" t="s">
        <v>808</v>
      </c>
      <c r="D111" s="137" t="s">
        <v>809</v>
      </c>
      <c r="E111" s="84" t="s">
        <v>810</v>
      </c>
      <c r="F111" s="113"/>
      <c r="G111" s="131"/>
      <c r="H111" s="186" t="s">
        <v>804</v>
      </c>
      <c r="I111" s="125" t="s">
        <v>326</v>
      </c>
      <c r="J111" s="125" t="s">
        <v>352</v>
      </c>
      <c r="K111" s="125" t="s">
        <v>526</v>
      </c>
      <c r="L111" s="138" t="s">
        <v>507</v>
      </c>
      <c r="M111" s="138" t="s">
        <v>508</v>
      </c>
    </row>
    <row r="112" spans="1:13" s="114" customFormat="1" ht="38.25">
      <c r="A112" s="136">
        <v>110</v>
      </c>
      <c r="B112" s="129" t="s">
        <v>811</v>
      </c>
      <c r="C112" s="129" t="s">
        <v>808</v>
      </c>
      <c r="D112" s="137" t="s">
        <v>809</v>
      </c>
      <c r="E112" s="84" t="s">
        <v>812</v>
      </c>
      <c r="F112" s="113"/>
      <c r="G112" s="131"/>
      <c r="H112" s="186" t="s">
        <v>523</v>
      </c>
      <c r="I112" s="125" t="s">
        <v>326</v>
      </c>
      <c r="J112" s="125" t="s">
        <v>352</v>
      </c>
      <c r="K112" s="125" t="s">
        <v>526</v>
      </c>
      <c r="L112" s="138" t="s">
        <v>507</v>
      </c>
      <c r="M112" s="138" t="s">
        <v>508</v>
      </c>
    </row>
    <row r="113" spans="1:13" s="114" customFormat="1" ht="25.5">
      <c r="A113" s="136">
        <v>111</v>
      </c>
      <c r="B113" s="129" t="s">
        <v>813</v>
      </c>
      <c r="C113" s="129" t="s">
        <v>814</v>
      </c>
      <c r="D113" s="137" t="s">
        <v>815</v>
      </c>
      <c r="E113" s="84" t="s">
        <v>816</v>
      </c>
      <c r="F113" s="113"/>
      <c r="G113" s="131"/>
      <c r="H113" s="186" t="s">
        <v>523</v>
      </c>
      <c r="I113" s="125" t="s">
        <v>326</v>
      </c>
      <c r="J113" s="125" t="s">
        <v>352</v>
      </c>
      <c r="K113" s="125" t="s">
        <v>526</v>
      </c>
      <c r="L113" s="138" t="s">
        <v>507</v>
      </c>
      <c r="M113" s="138" t="s">
        <v>508</v>
      </c>
    </row>
    <row r="114" spans="1:13" s="114" customFormat="1" ht="25.5">
      <c r="A114" s="136">
        <v>112</v>
      </c>
      <c r="B114" s="129" t="s">
        <v>817</v>
      </c>
      <c r="C114" s="129" t="s">
        <v>814</v>
      </c>
      <c r="D114" s="137" t="s">
        <v>815</v>
      </c>
      <c r="E114" s="84" t="s">
        <v>818</v>
      </c>
      <c r="F114" s="113"/>
      <c r="G114" s="131"/>
      <c r="H114" s="186" t="s">
        <v>819</v>
      </c>
      <c r="I114" s="125" t="s">
        <v>326</v>
      </c>
      <c r="J114" s="125" t="s">
        <v>352</v>
      </c>
      <c r="K114" s="125" t="s">
        <v>526</v>
      </c>
      <c r="L114" s="138" t="s">
        <v>507</v>
      </c>
      <c r="M114" s="138" t="s">
        <v>508</v>
      </c>
    </row>
    <row r="115" spans="1:13" s="114" customFormat="1" ht="25.5">
      <c r="A115" s="136">
        <v>113</v>
      </c>
      <c r="B115" s="129" t="s">
        <v>820</v>
      </c>
      <c r="C115" s="129" t="s">
        <v>814</v>
      </c>
      <c r="D115" s="137" t="s">
        <v>815</v>
      </c>
      <c r="E115" s="84" t="s">
        <v>821</v>
      </c>
      <c r="F115" s="113"/>
      <c r="G115" s="131"/>
      <c r="H115" s="186" t="s">
        <v>822</v>
      </c>
      <c r="I115" s="125" t="s">
        <v>326</v>
      </c>
      <c r="J115" s="125" t="s">
        <v>352</v>
      </c>
      <c r="K115" s="125" t="s">
        <v>526</v>
      </c>
      <c r="L115" s="138" t="s">
        <v>507</v>
      </c>
      <c r="M115" s="138" t="s">
        <v>508</v>
      </c>
    </row>
    <row r="116" spans="1:13" s="114" customFormat="1" ht="25.5">
      <c r="A116" s="136">
        <v>114</v>
      </c>
      <c r="B116" s="129" t="s">
        <v>823</v>
      </c>
      <c r="C116" s="129" t="s">
        <v>824</v>
      </c>
      <c r="D116" s="137" t="s">
        <v>825</v>
      </c>
      <c r="E116" s="84" t="s">
        <v>826</v>
      </c>
      <c r="F116" s="113"/>
      <c r="G116" s="131"/>
      <c r="H116" s="186" t="s">
        <v>820</v>
      </c>
      <c r="I116" s="125" t="s">
        <v>326</v>
      </c>
      <c r="J116" s="125" t="s">
        <v>352</v>
      </c>
      <c r="K116" s="125" t="s">
        <v>526</v>
      </c>
      <c r="L116" s="138" t="s">
        <v>507</v>
      </c>
      <c r="M116" s="138" t="s">
        <v>508</v>
      </c>
    </row>
    <row r="117" spans="1:13" s="114" customFormat="1" ht="38.25">
      <c r="A117" s="136">
        <v>115</v>
      </c>
      <c r="B117" s="129" t="s">
        <v>827</v>
      </c>
      <c r="C117" s="129" t="s">
        <v>824</v>
      </c>
      <c r="D117" s="137" t="s">
        <v>825</v>
      </c>
      <c r="E117" s="84" t="s">
        <v>828</v>
      </c>
      <c r="F117" s="113"/>
      <c r="G117" s="131"/>
      <c r="H117" s="186" t="s">
        <v>829</v>
      </c>
      <c r="I117" s="125" t="s">
        <v>326</v>
      </c>
      <c r="J117" s="125" t="s">
        <v>352</v>
      </c>
      <c r="K117" s="125" t="s">
        <v>526</v>
      </c>
      <c r="L117" s="138" t="s">
        <v>507</v>
      </c>
      <c r="M117" s="138" t="s">
        <v>508</v>
      </c>
    </row>
    <row r="118" spans="1:13" s="114" customFormat="1" ht="38.25">
      <c r="A118" s="136">
        <v>116</v>
      </c>
      <c r="B118" s="129" t="s">
        <v>830</v>
      </c>
      <c r="C118" s="129" t="s">
        <v>831</v>
      </c>
      <c r="D118" s="137" t="s">
        <v>832</v>
      </c>
      <c r="E118" s="84" t="s">
        <v>833</v>
      </c>
      <c r="F118" s="113"/>
      <c r="G118" s="131"/>
      <c r="H118" s="186" t="s">
        <v>827</v>
      </c>
      <c r="I118" s="125" t="s">
        <v>326</v>
      </c>
      <c r="J118" s="125" t="s">
        <v>352</v>
      </c>
      <c r="K118" s="125" t="s">
        <v>526</v>
      </c>
      <c r="L118" s="138" t="s">
        <v>507</v>
      </c>
      <c r="M118" s="138" t="s">
        <v>508</v>
      </c>
    </row>
    <row r="119" spans="1:13" s="114" customFormat="1" ht="25.5">
      <c r="A119" s="136">
        <v>117</v>
      </c>
      <c r="B119" s="129" t="s">
        <v>834</v>
      </c>
      <c r="C119" s="129" t="s">
        <v>831</v>
      </c>
      <c r="D119" s="137" t="s">
        <v>832</v>
      </c>
      <c r="E119" s="84" t="s">
        <v>835</v>
      </c>
      <c r="F119" s="113"/>
      <c r="G119" s="131"/>
      <c r="H119" s="186" t="s">
        <v>827</v>
      </c>
      <c r="I119" s="125" t="s">
        <v>326</v>
      </c>
      <c r="J119" s="125" t="s">
        <v>352</v>
      </c>
      <c r="K119" s="125" t="s">
        <v>526</v>
      </c>
      <c r="L119" s="138" t="s">
        <v>507</v>
      </c>
      <c r="M119" s="138" t="s">
        <v>508</v>
      </c>
    </row>
    <row r="120" spans="1:13" s="114" customFormat="1" ht="38.25">
      <c r="A120" s="136">
        <v>118</v>
      </c>
      <c r="B120" s="129" t="s">
        <v>836</v>
      </c>
      <c r="C120" s="129" t="s">
        <v>831</v>
      </c>
      <c r="D120" s="137" t="s">
        <v>832</v>
      </c>
      <c r="E120" s="84" t="s">
        <v>837</v>
      </c>
      <c r="F120" s="113"/>
      <c r="G120" s="131"/>
      <c r="H120" s="186" t="s">
        <v>820</v>
      </c>
      <c r="I120" s="125" t="s">
        <v>326</v>
      </c>
      <c r="J120" s="125" t="s">
        <v>352</v>
      </c>
      <c r="K120" s="125" t="s">
        <v>526</v>
      </c>
      <c r="L120" s="138" t="s">
        <v>507</v>
      </c>
      <c r="M120" s="138" t="s">
        <v>508</v>
      </c>
    </row>
    <row r="121" spans="1:13" s="114" customFormat="1" ht="38.25">
      <c r="A121" s="136">
        <v>119</v>
      </c>
      <c r="B121" s="129" t="s">
        <v>838</v>
      </c>
      <c r="C121" s="129" t="s">
        <v>831</v>
      </c>
      <c r="D121" s="137" t="s">
        <v>832</v>
      </c>
      <c r="E121" s="84" t="s">
        <v>839</v>
      </c>
      <c r="F121" s="113"/>
      <c r="G121" s="131"/>
      <c r="H121" s="186" t="s">
        <v>827</v>
      </c>
      <c r="I121" s="125" t="s">
        <v>326</v>
      </c>
      <c r="J121" s="125" t="s">
        <v>352</v>
      </c>
      <c r="K121" s="125" t="s">
        <v>526</v>
      </c>
      <c r="L121" s="138" t="s">
        <v>507</v>
      </c>
      <c r="M121" s="138" t="s">
        <v>508</v>
      </c>
    </row>
    <row r="122" spans="1:13" s="114" customFormat="1" ht="25.5">
      <c r="A122" s="136">
        <v>120</v>
      </c>
      <c r="B122" s="129" t="s">
        <v>840</v>
      </c>
      <c r="C122" s="129" t="s">
        <v>831</v>
      </c>
      <c r="D122" s="137" t="s">
        <v>832</v>
      </c>
      <c r="E122" s="84" t="s">
        <v>841</v>
      </c>
      <c r="F122" s="113"/>
      <c r="G122" s="131"/>
      <c r="H122" s="186" t="s">
        <v>842</v>
      </c>
      <c r="I122" s="125" t="s">
        <v>326</v>
      </c>
      <c r="J122" s="125" t="s">
        <v>352</v>
      </c>
      <c r="K122" s="125" t="s">
        <v>526</v>
      </c>
      <c r="L122" s="138" t="s">
        <v>507</v>
      </c>
      <c r="M122" s="138" t="s">
        <v>508</v>
      </c>
    </row>
    <row r="123" spans="1:13" s="114" customFormat="1" ht="38.25">
      <c r="A123" s="136">
        <v>121</v>
      </c>
      <c r="B123" s="129" t="s">
        <v>843</v>
      </c>
      <c r="C123" s="129" t="s">
        <v>844</v>
      </c>
      <c r="D123" s="137" t="s">
        <v>845</v>
      </c>
      <c r="E123" s="84" t="s">
        <v>846</v>
      </c>
      <c r="F123" s="113"/>
      <c r="G123" s="131"/>
      <c r="H123" s="186" t="s">
        <v>817</v>
      </c>
      <c r="I123" s="125" t="s">
        <v>326</v>
      </c>
      <c r="J123" s="125" t="s">
        <v>352</v>
      </c>
      <c r="K123" s="125" t="s">
        <v>526</v>
      </c>
      <c r="L123" s="138" t="s">
        <v>507</v>
      </c>
      <c r="M123" s="138" t="s">
        <v>508</v>
      </c>
    </row>
    <row r="124" spans="1:13" s="114" customFormat="1" ht="25.5">
      <c r="A124" s="136">
        <v>122</v>
      </c>
      <c r="B124" s="129" t="s">
        <v>847</v>
      </c>
      <c r="C124" s="129" t="s">
        <v>844</v>
      </c>
      <c r="D124" s="137" t="s">
        <v>845</v>
      </c>
      <c r="E124" s="84" t="s">
        <v>848</v>
      </c>
      <c r="F124" s="113"/>
      <c r="G124" s="131"/>
      <c r="H124" s="186" t="s">
        <v>842</v>
      </c>
      <c r="I124" s="125" t="s">
        <v>326</v>
      </c>
      <c r="J124" s="125" t="s">
        <v>352</v>
      </c>
      <c r="K124" s="125" t="s">
        <v>526</v>
      </c>
      <c r="L124" s="138" t="s">
        <v>507</v>
      </c>
      <c r="M124" s="138" t="s">
        <v>508</v>
      </c>
    </row>
    <row r="125" spans="1:13" s="114" customFormat="1" ht="25.5">
      <c r="A125" s="136">
        <v>123</v>
      </c>
      <c r="B125" s="129" t="s">
        <v>849</v>
      </c>
      <c r="C125" s="129" t="s">
        <v>844</v>
      </c>
      <c r="D125" s="137" t="s">
        <v>845</v>
      </c>
      <c r="E125" s="84" t="s">
        <v>850</v>
      </c>
      <c r="F125" s="113"/>
      <c r="G125" s="131"/>
      <c r="H125" s="186" t="s">
        <v>804</v>
      </c>
      <c r="I125" s="125" t="s">
        <v>326</v>
      </c>
      <c r="J125" s="125" t="s">
        <v>352</v>
      </c>
      <c r="K125" s="125" t="s">
        <v>526</v>
      </c>
      <c r="L125" s="138" t="s">
        <v>507</v>
      </c>
      <c r="M125" s="138" t="s">
        <v>508</v>
      </c>
    </row>
    <row r="126" spans="1:13" s="114" customFormat="1" ht="51">
      <c r="A126" s="136">
        <v>124</v>
      </c>
      <c r="B126" s="129" t="s">
        <v>851</v>
      </c>
      <c r="C126" s="129" t="s">
        <v>844</v>
      </c>
      <c r="D126" s="137" t="s">
        <v>845</v>
      </c>
      <c r="E126" s="84" t="s">
        <v>852</v>
      </c>
      <c r="F126" s="113"/>
      <c r="G126" s="131"/>
      <c r="H126" s="186" t="s">
        <v>842</v>
      </c>
      <c r="I126" s="125" t="s">
        <v>326</v>
      </c>
      <c r="J126" s="125" t="s">
        <v>352</v>
      </c>
      <c r="K126" s="125" t="s">
        <v>526</v>
      </c>
      <c r="L126" s="138" t="s">
        <v>507</v>
      </c>
      <c r="M126" s="138" t="s">
        <v>508</v>
      </c>
    </row>
    <row r="127" spans="1:13" s="114" customFormat="1" ht="38.25">
      <c r="A127" s="136">
        <v>125</v>
      </c>
      <c r="B127" s="129" t="s">
        <v>853</v>
      </c>
      <c r="C127" s="129" t="s">
        <v>844</v>
      </c>
      <c r="D127" s="137" t="s">
        <v>845</v>
      </c>
      <c r="E127" s="84" t="s">
        <v>854</v>
      </c>
      <c r="F127" s="113"/>
      <c r="G127" s="131"/>
      <c r="H127" s="186" t="s">
        <v>842</v>
      </c>
      <c r="I127" s="125" t="s">
        <v>326</v>
      </c>
      <c r="J127" s="125" t="s">
        <v>352</v>
      </c>
      <c r="K127" s="125" t="s">
        <v>526</v>
      </c>
      <c r="L127" s="138" t="s">
        <v>507</v>
      </c>
      <c r="M127" s="138" t="s">
        <v>508</v>
      </c>
    </row>
    <row r="128" spans="1:13" s="114" customFormat="1" ht="25.5">
      <c r="A128" s="136">
        <v>126</v>
      </c>
      <c r="B128" s="129" t="s">
        <v>855</v>
      </c>
      <c r="C128" s="129" t="s">
        <v>844</v>
      </c>
      <c r="D128" s="137" t="s">
        <v>845</v>
      </c>
      <c r="E128" s="84" t="s">
        <v>856</v>
      </c>
      <c r="F128" s="113"/>
      <c r="G128" s="131"/>
      <c r="H128" s="186" t="s">
        <v>804</v>
      </c>
      <c r="I128" s="125" t="s">
        <v>326</v>
      </c>
      <c r="J128" s="125" t="s">
        <v>352</v>
      </c>
      <c r="K128" s="125" t="s">
        <v>526</v>
      </c>
      <c r="L128" s="138" t="s">
        <v>507</v>
      </c>
      <c r="M128" s="138" t="s">
        <v>508</v>
      </c>
    </row>
    <row r="129" spans="1:13" s="114" customFormat="1" ht="38.25">
      <c r="A129" s="136">
        <v>127</v>
      </c>
      <c r="B129" s="129" t="s">
        <v>857</v>
      </c>
      <c r="C129" s="129" t="s">
        <v>844</v>
      </c>
      <c r="D129" s="137" t="s">
        <v>845</v>
      </c>
      <c r="E129" s="84" t="s">
        <v>858</v>
      </c>
      <c r="F129" s="113"/>
      <c r="G129" s="131"/>
      <c r="H129" s="186" t="s">
        <v>842</v>
      </c>
      <c r="I129" s="125" t="s">
        <v>326</v>
      </c>
      <c r="J129" s="125" t="s">
        <v>352</v>
      </c>
      <c r="K129" s="125" t="s">
        <v>526</v>
      </c>
      <c r="L129" s="138" t="s">
        <v>507</v>
      </c>
      <c r="M129" s="138" t="s">
        <v>508</v>
      </c>
    </row>
    <row r="130" spans="1:13" s="114" customFormat="1" ht="25.5">
      <c r="A130" s="136">
        <v>128</v>
      </c>
      <c r="B130" s="129" t="s">
        <v>859</v>
      </c>
      <c r="C130" s="129" t="s">
        <v>844</v>
      </c>
      <c r="D130" s="137" t="s">
        <v>845</v>
      </c>
      <c r="E130" s="84" t="s">
        <v>860</v>
      </c>
      <c r="F130" s="113"/>
      <c r="G130" s="131"/>
      <c r="H130" s="186" t="s">
        <v>842</v>
      </c>
      <c r="I130" s="125" t="s">
        <v>326</v>
      </c>
      <c r="J130" s="125" t="s">
        <v>352</v>
      </c>
      <c r="K130" s="125" t="s">
        <v>526</v>
      </c>
      <c r="L130" s="138" t="s">
        <v>507</v>
      </c>
      <c r="M130" s="138" t="s">
        <v>508</v>
      </c>
    </row>
    <row r="131" spans="1:13" s="114" customFormat="1" ht="38.25">
      <c r="A131" s="136">
        <v>129</v>
      </c>
      <c r="B131" s="129" t="s">
        <v>861</v>
      </c>
      <c r="C131" s="129" t="s">
        <v>844</v>
      </c>
      <c r="D131" s="137" t="s">
        <v>845</v>
      </c>
      <c r="E131" s="84" t="s">
        <v>862</v>
      </c>
      <c r="F131" s="113"/>
      <c r="G131" s="131"/>
      <c r="H131" s="186" t="s">
        <v>804</v>
      </c>
      <c r="I131" s="125" t="s">
        <v>326</v>
      </c>
      <c r="J131" s="125" t="s">
        <v>352</v>
      </c>
      <c r="K131" s="125" t="s">
        <v>526</v>
      </c>
      <c r="L131" s="138" t="s">
        <v>507</v>
      </c>
      <c r="M131" s="138" t="s">
        <v>508</v>
      </c>
    </row>
    <row r="132" spans="1:13" s="114" customFormat="1" ht="38.25">
      <c r="A132" s="136">
        <v>130</v>
      </c>
      <c r="B132" s="129" t="s">
        <v>842</v>
      </c>
      <c r="C132" s="129" t="s">
        <v>844</v>
      </c>
      <c r="D132" s="137" t="s">
        <v>845</v>
      </c>
      <c r="E132" s="84" t="s">
        <v>863</v>
      </c>
      <c r="F132" s="113"/>
      <c r="G132" s="131"/>
      <c r="H132" s="186" t="s">
        <v>864</v>
      </c>
      <c r="I132" s="125" t="s">
        <v>326</v>
      </c>
      <c r="J132" s="125" t="s">
        <v>352</v>
      </c>
      <c r="K132" s="125" t="s">
        <v>526</v>
      </c>
      <c r="L132" s="138" t="s">
        <v>507</v>
      </c>
      <c r="M132" s="138" t="s">
        <v>508</v>
      </c>
    </row>
    <row r="133" spans="1:13" s="114" customFormat="1" ht="38.25">
      <c r="A133" s="136">
        <v>131</v>
      </c>
      <c r="B133" s="129" t="s">
        <v>865</v>
      </c>
      <c r="C133" s="129" t="s">
        <v>866</v>
      </c>
      <c r="D133" s="137" t="s">
        <v>867</v>
      </c>
      <c r="E133" s="84" t="s">
        <v>868</v>
      </c>
      <c r="F133" s="113"/>
      <c r="G133" s="131"/>
      <c r="H133" s="186" t="s">
        <v>842</v>
      </c>
      <c r="I133" s="125" t="s">
        <v>326</v>
      </c>
      <c r="J133" s="125" t="s">
        <v>352</v>
      </c>
      <c r="K133" s="125" t="s">
        <v>526</v>
      </c>
      <c r="L133" s="138" t="s">
        <v>507</v>
      </c>
      <c r="M133" s="138" t="s">
        <v>508</v>
      </c>
    </row>
    <row r="134" spans="1:13" s="114" customFormat="1" ht="25.5">
      <c r="A134" s="136">
        <v>132</v>
      </c>
      <c r="B134" s="129" t="s">
        <v>869</v>
      </c>
      <c r="C134" s="129" t="s">
        <v>866</v>
      </c>
      <c r="D134" s="137" t="s">
        <v>867</v>
      </c>
      <c r="E134" s="84" t="s">
        <v>870</v>
      </c>
      <c r="F134" s="113"/>
      <c r="G134" s="131"/>
      <c r="H134" s="186" t="s">
        <v>842</v>
      </c>
      <c r="I134" s="125" t="s">
        <v>326</v>
      </c>
      <c r="J134" s="125" t="s">
        <v>352</v>
      </c>
      <c r="K134" s="125" t="s">
        <v>526</v>
      </c>
      <c r="L134" s="138" t="s">
        <v>507</v>
      </c>
      <c r="M134" s="138" t="s">
        <v>508</v>
      </c>
    </row>
    <row r="135" spans="1:13" s="114" customFormat="1" ht="25.5">
      <c r="A135" s="136">
        <v>133</v>
      </c>
      <c r="B135" s="129" t="s">
        <v>871</v>
      </c>
      <c r="C135" s="129" t="s">
        <v>866</v>
      </c>
      <c r="D135" s="137" t="s">
        <v>867</v>
      </c>
      <c r="E135" s="84" t="s">
        <v>872</v>
      </c>
      <c r="F135" s="113"/>
      <c r="G135" s="131"/>
      <c r="H135" s="186" t="s">
        <v>873</v>
      </c>
      <c r="I135" s="125" t="s">
        <v>326</v>
      </c>
      <c r="J135" s="125" t="s">
        <v>352</v>
      </c>
      <c r="K135" s="125" t="s">
        <v>526</v>
      </c>
      <c r="L135" s="138" t="s">
        <v>507</v>
      </c>
      <c r="M135" s="138" t="s">
        <v>508</v>
      </c>
    </row>
    <row r="136" spans="1:13" s="114" customFormat="1" ht="25.5">
      <c r="A136" s="136">
        <v>134</v>
      </c>
      <c r="B136" s="129" t="s">
        <v>874</v>
      </c>
      <c r="C136" s="129" t="s">
        <v>875</v>
      </c>
      <c r="D136" s="137" t="s">
        <v>876</v>
      </c>
      <c r="E136" s="84" t="s">
        <v>877</v>
      </c>
      <c r="F136" s="113"/>
      <c r="G136" s="131"/>
      <c r="H136" s="186" t="s">
        <v>871</v>
      </c>
      <c r="I136" s="125" t="s">
        <v>326</v>
      </c>
      <c r="J136" s="125" t="s">
        <v>352</v>
      </c>
      <c r="K136" s="125" t="s">
        <v>526</v>
      </c>
      <c r="L136" s="138" t="s">
        <v>507</v>
      </c>
      <c r="M136" s="138" t="s">
        <v>508</v>
      </c>
    </row>
    <row r="137" spans="1:13" s="114" customFormat="1" ht="25.5">
      <c r="A137" s="136">
        <v>135</v>
      </c>
      <c r="B137" s="129" t="s">
        <v>878</v>
      </c>
      <c r="C137" s="129" t="s">
        <v>875</v>
      </c>
      <c r="D137" s="137" t="s">
        <v>876</v>
      </c>
      <c r="E137" s="84" t="s">
        <v>879</v>
      </c>
      <c r="F137" s="113"/>
      <c r="G137" s="131"/>
      <c r="H137" s="186" t="s">
        <v>871</v>
      </c>
      <c r="I137" s="125" t="s">
        <v>326</v>
      </c>
      <c r="J137" s="125" t="s">
        <v>352</v>
      </c>
      <c r="K137" s="125" t="s">
        <v>526</v>
      </c>
      <c r="L137" s="138" t="s">
        <v>507</v>
      </c>
      <c r="M137" s="138" t="s">
        <v>508</v>
      </c>
    </row>
    <row r="138" spans="1:13" s="114" customFormat="1" ht="25.5">
      <c r="A138" s="136">
        <v>136</v>
      </c>
      <c r="B138" s="129" t="s">
        <v>880</v>
      </c>
      <c r="C138" s="129" t="s">
        <v>875</v>
      </c>
      <c r="D138" s="137" t="s">
        <v>876</v>
      </c>
      <c r="E138" s="84" t="s">
        <v>881</v>
      </c>
      <c r="F138" s="113"/>
      <c r="G138" s="131"/>
      <c r="H138" s="186" t="s">
        <v>871</v>
      </c>
      <c r="I138" s="125" t="s">
        <v>326</v>
      </c>
      <c r="J138" s="125" t="s">
        <v>352</v>
      </c>
      <c r="K138" s="125" t="s">
        <v>526</v>
      </c>
      <c r="L138" s="138" t="s">
        <v>507</v>
      </c>
      <c r="M138" s="138" t="s">
        <v>508</v>
      </c>
    </row>
    <row r="139" spans="1:13" s="114" customFormat="1" ht="38.25">
      <c r="A139" s="136">
        <v>137</v>
      </c>
      <c r="B139" s="129" t="s">
        <v>882</v>
      </c>
      <c r="C139" s="129" t="s">
        <v>875</v>
      </c>
      <c r="D139" s="137" t="s">
        <v>876</v>
      </c>
      <c r="E139" s="84" t="s">
        <v>883</v>
      </c>
      <c r="F139" s="113"/>
      <c r="G139" s="131"/>
      <c r="H139" s="186" t="s">
        <v>884</v>
      </c>
      <c r="I139" s="125" t="s">
        <v>326</v>
      </c>
      <c r="J139" s="125" t="s">
        <v>331</v>
      </c>
      <c r="K139" s="125" t="s">
        <v>512</v>
      </c>
      <c r="L139" s="138" t="s">
        <v>507</v>
      </c>
      <c r="M139" s="138" t="s">
        <v>508</v>
      </c>
    </row>
    <row r="140" spans="1:13" s="114" customFormat="1" ht="25.5">
      <c r="A140" s="136">
        <v>138</v>
      </c>
      <c r="B140" s="129" t="s">
        <v>885</v>
      </c>
      <c r="C140" s="129" t="s">
        <v>886</v>
      </c>
      <c r="D140" s="137" t="s">
        <v>887</v>
      </c>
      <c r="E140" s="84" t="s">
        <v>888</v>
      </c>
      <c r="F140" s="113"/>
      <c r="G140" s="131"/>
      <c r="H140" s="186" t="s">
        <v>889</v>
      </c>
      <c r="I140" s="125" t="s">
        <v>326</v>
      </c>
      <c r="J140" s="125" t="s">
        <v>352</v>
      </c>
      <c r="K140" s="125" t="s">
        <v>526</v>
      </c>
      <c r="L140" s="138" t="s">
        <v>507</v>
      </c>
      <c r="M140" s="138" t="s">
        <v>508</v>
      </c>
    </row>
    <row r="141" spans="1:13" s="114" customFormat="1" ht="25.5">
      <c r="A141" s="136">
        <v>139</v>
      </c>
      <c r="B141" s="129" t="s">
        <v>890</v>
      </c>
      <c r="C141" s="129" t="s">
        <v>886</v>
      </c>
      <c r="D141" s="137" t="s">
        <v>887</v>
      </c>
      <c r="E141" s="84" t="s">
        <v>891</v>
      </c>
      <c r="F141" s="113"/>
      <c r="G141" s="131"/>
      <c r="H141" s="186" t="s">
        <v>892</v>
      </c>
      <c r="I141" s="125" t="s">
        <v>326</v>
      </c>
      <c r="J141" s="125" t="s">
        <v>346</v>
      </c>
      <c r="K141" s="125" t="s">
        <v>893</v>
      </c>
      <c r="L141" s="138" t="s">
        <v>507</v>
      </c>
      <c r="M141" s="138" t="s">
        <v>508</v>
      </c>
    </row>
    <row r="142" spans="1:13" s="114" customFormat="1" ht="25.5">
      <c r="A142" s="136">
        <v>140</v>
      </c>
      <c r="B142" s="129" t="s">
        <v>894</v>
      </c>
      <c r="C142" s="129" t="s">
        <v>886</v>
      </c>
      <c r="D142" s="137" t="s">
        <v>887</v>
      </c>
      <c r="E142" s="84" t="s">
        <v>895</v>
      </c>
      <c r="F142" s="113"/>
      <c r="G142" s="131"/>
      <c r="H142" s="186" t="s">
        <v>896</v>
      </c>
      <c r="I142" s="125" t="s">
        <v>326</v>
      </c>
      <c r="J142" s="125" t="s">
        <v>341</v>
      </c>
      <c r="K142" s="125" t="s">
        <v>580</v>
      </c>
      <c r="L142" s="138" t="s">
        <v>507</v>
      </c>
      <c r="M142" s="138" t="s">
        <v>508</v>
      </c>
    </row>
    <row r="143" spans="1:13" s="114" customFormat="1" ht="38.25">
      <c r="A143" s="136">
        <v>141</v>
      </c>
      <c r="B143" s="129" t="s">
        <v>884</v>
      </c>
      <c r="C143" s="129" t="s">
        <v>886</v>
      </c>
      <c r="D143" s="137" t="s">
        <v>887</v>
      </c>
      <c r="E143" s="84" t="s">
        <v>897</v>
      </c>
      <c r="F143" s="113"/>
      <c r="G143" s="131"/>
      <c r="H143" s="186" t="s">
        <v>898</v>
      </c>
      <c r="I143" s="125" t="s">
        <v>326</v>
      </c>
      <c r="J143" s="125" t="s">
        <v>331</v>
      </c>
      <c r="K143" s="125" t="s">
        <v>512</v>
      </c>
      <c r="L143" s="138" t="s">
        <v>507</v>
      </c>
      <c r="M143" s="138" t="s">
        <v>508</v>
      </c>
    </row>
    <row r="144" spans="1:13" s="114" customFormat="1" ht="38.25">
      <c r="A144" s="136">
        <v>142</v>
      </c>
      <c r="B144" s="129" t="s">
        <v>899</v>
      </c>
      <c r="C144" s="129" t="s">
        <v>886</v>
      </c>
      <c r="D144" s="137" t="s">
        <v>887</v>
      </c>
      <c r="E144" s="84" t="s">
        <v>900</v>
      </c>
      <c r="F144" s="113"/>
      <c r="G144" s="131"/>
      <c r="H144" s="186" t="s">
        <v>884</v>
      </c>
      <c r="I144" s="125" t="s">
        <v>326</v>
      </c>
      <c r="J144" s="125" t="s">
        <v>331</v>
      </c>
      <c r="K144" s="125" t="s">
        <v>512</v>
      </c>
      <c r="L144" s="138" t="s">
        <v>507</v>
      </c>
      <c r="M144" s="138" t="s">
        <v>508</v>
      </c>
    </row>
    <row r="145" spans="1:13" s="114" customFormat="1" ht="38.25">
      <c r="A145" s="136">
        <v>143</v>
      </c>
      <c r="B145" s="129" t="s">
        <v>901</v>
      </c>
      <c r="C145" s="129" t="s">
        <v>886</v>
      </c>
      <c r="D145" s="137" t="s">
        <v>887</v>
      </c>
      <c r="E145" s="84" t="s">
        <v>902</v>
      </c>
      <c r="F145" s="113"/>
      <c r="G145" s="131"/>
      <c r="H145" s="186" t="s">
        <v>884</v>
      </c>
      <c r="I145" s="125" t="s">
        <v>326</v>
      </c>
      <c r="J145" s="125" t="s">
        <v>331</v>
      </c>
      <c r="K145" s="125" t="s">
        <v>512</v>
      </c>
      <c r="L145" s="138" t="s">
        <v>507</v>
      </c>
      <c r="M145" s="138" t="s">
        <v>508</v>
      </c>
    </row>
    <row r="146" spans="1:13" s="114" customFormat="1" ht="38.25">
      <c r="A146" s="136">
        <v>144</v>
      </c>
      <c r="B146" s="129" t="s">
        <v>903</v>
      </c>
      <c r="C146" s="129" t="s">
        <v>886</v>
      </c>
      <c r="D146" s="137" t="s">
        <v>887</v>
      </c>
      <c r="E146" s="84" t="s">
        <v>904</v>
      </c>
      <c r="F146" s="113"/>
      <c r="G146" s="131"/>
      <c r="H146" s="186" t="s">
        <v>905</v>
      </c>
      <c r="I146" s="125" t="s">
        <v>326</v>
      </c>
      <c r="J146" s="125" t="s">
        <v>331</v>
      </c>
      <c r="K146" s="125" t="s">
        <v>506</v>
      </c>
      <c r="L146" s="138" t="s">
        <v>507</v>
      </c>
      <c r="M146" s="138" t="s">
        <v>508</v>
      </c>
    </row>
    <row r="147" spans="1:13" s="114" customFormat="1" ht="38.25">
      <c r="A147" s="136">
        <v>145</v>
      </c>
      <c r="B147" s="129" t="s">
        <v>906</v>
      </c>
      <c r="C147" s="129" t="s">
        <v>907</v>
      </c>
      <c r="D147" s="137" t="s">
        <v>908</v>
      </c>
      <c r="E147" s="84" t="s">
        <v>909</v>
      </c>
      <c r="F147" s="113"/>
      <c r="G147" s="131"/>
      <c r="H147" s="186" t="s">
        <v>513</v>
      </c>
      <c r="I147" s="125" t="s">
        <v>326</v>
      </c>
      <c r="J147" s="125" t="s">
        <v>331</v>
      </c>
      <c r="K147" s="125" t="s">
        <v>512</v>
      </c>
      <c r="L147" s="138" t="s">
        <v>507</v>
      </c>
      <c r="M147" s="138" t="s">
        <v>508</v>
      </c>
    </row>
    <row r="148" spans="1:13" s="114" customFormat="1" ht="38.25">
      <c r="A148" s="136">
        <v>146</v>
      </c>
      <c r="B148" s="129" t="s">
        <v>910</v>
      </c>
      <c r="C148" s="129" t="s">
        <v>907</v>
      </c>
      <c r="D148" s="137" t="s">
        <v>908</v>
      </c>
      <c r="E148" s="84" t="s">
        <v>911</v>
      </c>
      <c r="F148" s="113"/>
      <c r="G148" s="131"/>
      <c r="H148" s="186" t="s">
        <v>905</v>
      </c>
      <c r="I148" s="125" t="s">
        <v>326</v>
      </c>
      <c r="J148" s="125" t="s">
        <v>331</v>
      </c>
      <c r="K148" s="125" t="s">
        <v>506</v>
      </c>
      <c r="L148" s="138" t="s">
        <v>507</v>
      </c>
      <c r="M148" s="138" t="s">
        <v>508</v>
      </c>
    </row>
    <row r="149" spans="1:13" s="114" customFormat="1" ht="38.25">
      <c r="A149" s="136">
        <v>147</v>
      </c>
      <c r="B149" s="129" t="s">
        <v>905</v>
      </c>
      <c r="C149" s="129" t="s">
        <v>907</v>
      </c>
      <c r="D149" s="137" t="s">
        <v>908</v>
      </c>
      <c r="E149" s="84" t="s">
        <v>912</v>
      </c>
      <c r="F149" s="113"/>
      <c r="G149" s="131"/>
      <c r="H149" s="186" t="s">
        <v>913</v>
      </c>
      <c r="I149" s="125" t="s">
        <v>326</v>
      </c>
      <c r="J149" s="125" t="s">
        <v>331</v>
      </c>
      <c r="K149" s="125" t="s">
        <v>506</v>
      </c>
      <c r="L149" s="107" t="s">
        <v>507</v>
      </c>
      <c r="M149" s="138" t="s">
        <v>508</v>
      </c>
    </row>
    <row r="150" spans="1:13" s="114" customFormat="1" ht="38.25">
      <c r="A150" s="136">
        <v>148</v>
      </c>
      <c r="B150" s="129" t="s">
        <v>914</v>
      </c>
      <c r="C150" s="129" t="s">
        <v>907</v>
      </c>
      <c r="D150" s="137" t="s">
        <v>908</v>
      </c>
      <c r="E150" s="84" t="s">
        <v>915</v>
      </c>
      <c r="F150" s="113"/>
      <c r="G150" s="131"/>
      <c r="H150" s="186" t="s">
        <v>905</v>
      </c>
      <c r="I150" s="125" t="s">
        <v>326</v>
      </c>
      <c r="J150" s="125" t="s">
        <v>331</v>
      </c>
      <c r="K150" s="125" t="s">
        <v>506</v>
      </c>
      <c r="L150" s="138" t="s">
        <v>507</v>
      </c>
      <c r="M150" s="138" t="s">
        <v>508</v>
      </c>
    </row>
    <row r="151" spans="1:13" s="114" customFormat="1" ht="38.25">
      <c r="A151" s="136">
        <v>149</v>
      </c>
      <c r="B151" s="129" t="s">
        <v>916</v>
      </c>
      <c r="C151" s="129" t="s">
        <v>907</v>
      </c>
      <c r="D151" s="137" t="s">
        <v>908</v>
      </c>
      <c r="E151" s="84" t="s">
        <v>917</v>
      </c>
      <c r="F151" s="113"/>
      <c r="G151" s="131"/>
      <c r="H151" s="186" t="s">
        <v>918</v>
      </c>
      <c r="I151" s="125" t="s">
        <v>326</v>
      </c>
      <c r="J151" s="125" t="s">
        <v>352</v>
      </c>
      <c r="K151" s="125" t="s">
        <v>526</v>
      </c>
      <c r="L151" s="138" t="s">
        <v>507</v>
      </c>
      <c r="M151" s="138" t="s">
        <v>508</v>
      </c>
    </row>
    <row r="152" spans="1:13" s="114" customFormat="1" ht="25.5">
      <c r="A152" s="136">
        <v>150</v>
      </c>
      <c r="B152" s="129" t="s">
        <v>918</v>
      </c>
      <c r="C152" s="129" t="s">
        <v>919</v>
      </c>
      <c r="D152" s="137" t="s">
        <v>920</v>
      </c>
      <c r="E152" s="84" t="s">
        <v>921</v>
      </c>
      <c r="F152" s="113"/>
      <c r="G152" s="131"/>
      <c r="H152" s="186" t="s">
        <v>922</v>
      </c>
      <c r="I152" s="125" t="s">
        <v>326</v>
      </c>
      <c r="J152" s="125" t="s">
        <v>352</v>
      </c>
      <c r="K152" s="125" t="s">
        <v>526</v>
      </c>
      <c r="L152" s="138" t="s">
        <v>507</v>
      </c>
      <c r="M152" s="138" t="s">
        <v>508</v>
      </c>
    </row>
    <row r="153" spans="1:13" s="114" customFormat="1" ht="38.25">
      <c r="A153" s="136">
        <v>151</v>
      </c>
      <c r="B153" s="129" t="s">
        <v>923</v>
      </c>
      <c r="C153" s="129" t="s">
        <v>919</v>
      </c>
      <c r="D153" s="137" t="s">
        <v>920</v>
      </c>
      <c r="E153" s="84" t="s">
        <v>924</v>
      </c>
      <c r="F153" s="113"/>
      <c r="G153" s="131"/>
      <c r="H153" s="186" t="s">
        <v>523</v>
      </c>
      <c r="I153" s="125" t="s">
        <v>326</v>
      </c>
      <c r="J153" s="125" t="s">
        <v>352</v>
      </c>
      <c r="K153" s="125" t="s">
        <v>526</v>
      </c>
      <c r="L153" s="138" t="s">
        <v>507</v>
      </c>
      <c r="M153" s="138" t="s">
        <v>508</v>
      </c>
    </row>
    <row r="154" spans="1:13" s="114" customFormat="1" ht="51">
      <c r="A154" s="136">
        <v>152</v>
      </c>
      <c r="B154" s="129" t="s">
        <v>925</v>
      </c>
      <c r="C154" s="129" t="s">
        <v>926</v>
      </c>
      <c r="D154" s="137" t="s">
        <v>927</v>
      </c>
      <c r="E154" s="84" t="s">
        <v>928</v>
      </c>
      <c r="F154" s="113"/>
      <c r="G154" s="131"/>
      <c r="H154" s="186" t="s">
        <v>871</v>
      </c>
      <c r="I154" s="125" t="s">
        <v>326</v>
      </c>
      <c r="J154" s="125" t="s">
        <v>352</v>
      </c>
      <c r="K154" s="125" t="s">
        <v>526</v>
      </c>
      <c r="L154" s="138" t="s">
        <v>507</v>
      </c>
      <c r="M154" s="138" t="s">
        <v>508</v>
      </c>
    </row>
    <row r="155" spans="1:13" s="114" customFormat="1" ht="25.5">
      <c r="A155" s="136">
        <v>153</v>
      </c>
      <c r="B155" s="129" t="s">
        <v>929</v>
      </c>
      <c r="C155" s="129" t="s">
        <v>926</v>
      </c>
      <c r="D155" s="137" t="s">
        <v>927</v>
      </c>
      <c r="E155" s="84" t="s">
        <v>930</v>
      </c>
      <c r="F155" s="113"/>
      <c r="G155" s="131"/>
      <c r="H155" s="186" t="s">
        <v>523</v>
      </c>
      <c r="I155" s="125" t="s">
        <v>326</v>
      </c>
      <c r="J155" s="125" t="s">
        <v>352</v>
      </c>
      <c r="K155" s="125" t="s">
        <v>526</v>
      </c>
      <c r="L155" s="138" t="s">
        <v>507</v>
      </c>
      <c r="M155" s="138" t="s">
        <v>508</v>
      </c>
    </row>
    <row r="156" spans="1:13" s="114" customFormat="1" ht="38.25">
      <c r="A156" s="136">
        <v>154</v>
      </c>
      <c r="B156" s="129" t="s">
        <v>931</v>
      </c>
      <c r="C156" s="129" t="s">
        <v>926</v>
      </c>
      <c r="D156" s="137" t="s">
        <v>927</v>
      </c>
      <c r="E156" s="84" t="s">
        <v>932</v>
      </c>
      <c r="F156" s="113"/>
      <c r="G156" s="131"/>
      <c r="H156" s="186" t="s">
        <v>933</v>
      </c>
      <c r="I156" s="125" t="s">
        <v>326</v>
      </c>
      <c r="J156" s="125" t="s">
        <v>341</v>
      </c>
      <c r="K156" s="125" t="s">
        <v>570</v>
      </c>
      <c r="L156" s="138" t="s">
        <v>507</v>
      </c>
      <c r="M156" s="138" t="s">
        <v>508</v>
      </c>
    </row>
    <row r="157" spans="1:13" s="114" customFormat="1" ht="25.5">
      <c r="A157" s="136">
        <v>155</v>
      </c>
      <c r="B157" s="129" t="s">
        <v>934</v>
      </c>
      <c r="C157" s="129" t="s">
        <v>935</v>
      </c>
      <c r="D157" s="137" t="s">
        <v>936</v>
      </c>
      <c r="E157" s="84" t="s">
        <v>937</v>
      </c>
      <c r="F157" s="113"/>
      <c r="G157" s="131"/>
      <c r="H157" s="186" t="s">
        <v>931</v>
      </c>
      <c r="I157" s="125" t="s">
        <v>326</v>
      </c>
      <c r="J157" s="125" t="s">
        <v>341</v>
      </c>
      <c r="K157" s="125" t="s">
        <v>570</v>
      </c>
      <c r="L157" s="138" t="s">
        <v>507</v>
      </c>
      <c r="M157" s="138" t="s">
        <v>508</v>
      </c>
    </row>
    <row r="158" spans="1:13" s="114" customFormat="1" ht="25.5">
      <c r="A158" s="136">
        <v>156</v>
      </c>
      <c r="B158" s="129" t="s">
        <v>938</v>
      </c>
      <c r="C158" s="129" t="s">
        <v>935</v>
      </c>
      <c r="D158" s="137" t="s">
        <v>936</v>
      </c>
      <c r="E158" s="84" t="s">
        <v>939</v>
      </c>
      <c r="F158" s="113"/>
      <c r="G158" s="131"/>
      <c r="H158" s="186" t="s">
        <v>931</v>
      </c>
      <c r="I158" s="125" t="s">
        <v>326</v>
      </c>
      <c r="J158" s="125" t="s">
        <v>341</v>
      </c>
      <c r="K158" s="125" t="s">
        <v>570</v>
      </c>
      <c r="L158" s="138" t="s">
        <v>507</v>
      </c>
      <c r="M158" s="138" t="s">
        <v>508</v>
      </c>
    </row>
    <row r="159" spans="1:13" s="114" customFormat="1" ht="25.5">
      <c r="A159" s="136">
        <v>157</v>
      </c>
      <c r="B159" s="129" t="s">
        <v>940</v>
      </c>
      <c r="C159" s="129" t="s">
        <v>935</v>
      </c>
      <c r="D159" s="137" t="s">
        <v>936</v>
      </c>
      <c r="E159" s="84" t="s">
        <v>941</v>
      </c>
      <c r="F159" s="113"/>
      <c r="G159" s="131"/>
      <c r="H159" s="186" t="s">
        <v>523</v>
      </c>
      <c r="I159" s="125" t="s">
        <v>326</v>
      </c>
      <c r="J159" s="125" t="s">
        <v>352</v>
      </c>
      <c r="K159" s="125" t="s">
        <v>526</v>
      </c>
      <c r="L159" s="138" t="s">
        <v>507</v>
      </c>
      <c r="M159" s="138" t="s">
        <v>508</v>
      </c>
    </row>
    <row r="160" spans="1:13" s="114" customFormat="1" ht="25.5">
      <c r="A160" s="136">
        <v>158</v>
      </c>
      <c r="B160" s="129" t="s">
        <v>942</v>
      </c>
      <c r="C160" s="129" t="s">
        <v>943</v>
      </c>
      <c r="D160" s="137" t="s">
        <v>944</v>
      </c>
      <c r="E160" s="84" t="s">
        <v>945</v>
      </c>
      <c r="F160" s="113"/>
      <c r="G160" s="131"/>
      <c r="H160" s="186" t="s">
        <v>523</v>
      </c>
      <c r="I160" s="125" t="s">
        <v>326</v>
      </c>
      <c r="J160" s="125" t="s">
        <v>352</v>
      </c>
      <c r="K160" s="125" t="s">
        <v>526</v>
      </c>
      <c r="L160" s="138" t="s">
        <v>507</v>
      </c>
      <c r="M160" s="138" t="s">
        <v>508</v>
      </c>
    </row>
    <row r="161" spans="1:13" s="114" customFormat="1" ht="25.5">
      <c r="A161" s="136">
        <v>159</v>
      </c>
      <c r="B161" s="129" t="s">
        <v>946</v>
      </c>
      <c r="C161" s="129" t="s">
        <v>943</v>
      </c>
      <c r="D161" s="137" t="s">
        <v>944</v>
      </c>
      <c r="E161" s="84" t="s">
        <v>947</v>
      </c>
      <c r="F161" s="113"/>
      <c r="G161" s="131"/>
      <c r="H161" s="186" t="s">
        <v>523</v>
      </c>
      <c r="I161" s="125" t="s">
        <v>326</v>
      </c>
      <c r="J161" s="125" t="s">
        <v>352</v>
      </c>
      <c r="K161" s="125" t="s">
        <v>526</v>
      </c>
      <c r="L161" s="138" t="s">
        <v>507</v>
      </c>
      <c r="M161" s="138" t="s">
        <v>508</v>
      </c>
    </row>
    <row r="162" spans="1:13" s="114" customFormat="1" ht="25.5">
      <c r="A162" s="136">
        <v>160</v>
      </c>
      <c r="B162" s="129" t="s">
        <v>948</v>
      </c>
      <c r="C162" s="129" t="s">
        <v>943</v>
      </c>
      <c r="D162" s="137" t="s">
        <v>944</v>
      </c>
      <c r="E162" s="84" t="s">
        <v>949</v>
      </c>
      <c r="F162" s="113"/>
      <c r="G162" s="131"/>
      <c r="H162" s="186" t="s">
        <v>523</v>
      </c>
      <c r="I162" s="125" t="s">
        <v>326</v>
      </c>
      <c r="J162" s="125" t="s">
        <v>352</v>
      </c>
      <c r="K162" s="125" t="s">
        <v>526</v>
      </c>
      <c r="L162" s="138" t="s">
        <v>507</v>
      </c>
      <c r="M162" s="138" t="s">
        <v>508</v>
      </c>
    </row>
    <row r="163" spans="1:13" s="114" customFormat="1" ht="51">
      <c r="A163" s="136">
        <v>161</v>
      </c>
      <c r="B163" s="129" t="s">
        <v>950</v>
      </c>
      <c r="C163" s="129" t="s">
        <v>943</v>
      </c>
      <c r="D163" s="137" t="s">
        <v>944</v>
      </c>
      <c r="E163" s="84" t="s">
        <v>951</v>
      </c>
      <c r="F163" s="113"/>
      <c r="G163" s="131"/>
      <c r="H163" s="186" t="s">
        <v>952</v>
      </c>
      <c r="I163" s="125" t="s">
        <v>326</v>
      </c>
      <c r="J163" s="125" t="s">
        <v>352</v>
      </c>
      <c r="K163" s="125" t="s">
        <v>561</v>
      </c>
      <c r="L163" s="138" t="s">
        <v>314</v>
      </c>
      <c r="M163" s="138" t="s">
        <v>953</v>
      </c>
    </row>
    <row r="164" spans="1:13" s="114" customFormat="1" ht="38.25">
      <c r="A164" s="136">
        <v>162</v>
      </c>
      <c r="B164" s="129" t="s">
        <v>954</v>
      </c>
      <c r="C164" s="129" t="s">
        <v>955</v>
      </c>
      <c r="D164" s="137" t="s">
        <v>956</v>
      </c>
      <c r="E164" s="84" t="s">
        <v>957</v>
      </c>
      <c r="F164" s="113"/>
      <c r="G164" s="131"/>
      <c r="H164" s="186" t="s">
        <v>889</v>
      </c>
      <c r="I164" s="125" t="s">
        <v>326</v>
      </c>
      <c r="J164" s="125" t="s">
        <v>352</v>
      </c>
      <c r="K164" s="125" t="s">
        <v>526</v>
      </c>
      <c r="L164" s="138" t="s">
        <v>507</v>
      </c>
      <c r="M164" s="138" t="s">
        <v>508</v>
      </c>
    </row>
    <row r="165" spans="1:13" s="114" customFormat="1" ht="51">
      <c r="A165" s="136">
        <v>163</v>
      </c>
      <c r="B165" s="129" t="s">
        <v>958</v>
      </c>
      <c r="C165" s="129" t="s">
        <v>959</v>
      </c>
      <c r="D165" s="137" t="s">
        <v>960</v>
      </c>
      <c r="E165" s="84" t="s">
        <v>961</v>
      </c>
      <c r="F165" s="113"/>
      <c r="G165" s="131"/>
      <c r="H165" s="186" t="s">
        <v>962</v>
      </c>
      <c r="I165" s="125" t="s">
        <v>326</v>
      </c>
      <c r="J165" s="125" t="s">
        <v>352</v>
      </c>
      <c r="K165" s="125" t="s">
        <v>597</v>
      </c>
      <c r="L165" s="138" t="s">
        <v>314</v>
      </c>
      <c r="M165" s="138" t="s">
        <v>953</v>
      </c>
    </row>
    <row r="166" spans="1:13" s="114" customFormat="1" ht="51">
      <c r="A166" s="136">
        <v>164</v>
      </c>
      <c r="B166" s="129" t="s">
        <v>963</v>
      </c>
      <c r="C166" s="129" t="s">
        <v>964</v>
      </c>
      <c r="D166" s="137" t="s">
        <v>965</v>
      </c>
      <c r="E166" s="84" t="s">
        <v>966</v>
      </c>
      <c r="F166" s="113"/>
      <c r="G166" s="131"/>
      <c r="H166" s="186" t="s">
        <v>958</v>
      </c>
      <c r="I166" s="125" t="s">
        <v>326</v>
      </c>
      <c r="J166" s="125" t="s">
        <v>352</v>
      </c>
      <c r="K166" s="125" t="s">
        <v>597</v>
      </c>
      <c r="L166" s="138" t="s">
        <v>314</v>
      </c>
      <c r="M166" s="138" t="s">
        <v>953</v>
      </c>
    </row>
    <row r="167" spans="1:13" s="114" customFormat="1" ht="51">
      <c r="A167" s="136">
        <v>165</v>
      </c>
      <c r="B167" s="129" t="s">
        <v>967</v>
      </c>
      <c r="C167" s="129" t="s">
        <v>964</v>
      </c>
      <c r="D167" s="137" t="s">
        <v>965</v>
      </c>
      <c r="E167" s="84" t="s">
        <v>968</v>
      </c>
      <c r="F167" s="113"/>
      <c r="G167" s="131"/>
      <c r="H167" s="186" t="s">
        <v>958</v>
      </c>
      <c r="I167" s="125" t="s">
        <v>326</v>
      </c>
      <c r="J167" s="125" t="s">
        <v>352</v>
      </c>
      <c r="K167" s="125" t="s">
        <v>597</v>
      </c>
      <c r="L167" s="138" t="s">
        <v>314</v>
      </c>
      <c r="M167" s="138" t="s">
        <v>953</v>
      </c>
    </row>
    <row r="168" spans="1:13" s="114" customFormat="1" ht="51">
      <c r="A168" s="136">
        <v>166</v>
      </c>
      <c r="B168" s="129" t="s">
        <v>969</v>
      </c>
      <c r="C168" s="129" t="s">
        <v>964</v>
      </c>
      <c r="D168" s="137" t="s">
        <v>965</v>
      </c>
      <c r="E168" s="84" t="s">
        <v>970</v>
      </c>
      <c r="F168" s="113"/>
      <c r="G168" s="131"/>
      <c r="H168" s="186" t="s">
        <v>958</v>
      </c>
      <c r="I168" s="125" t="s">
        <v>326</v>
      </c>
      <c r="J168" s="125" t="s">
        <v>352</v>
      </c>
      <c r="K168" s="125" t="s">
        <v>597</v>
      </c>
      <c r="L168" s="138" t="s">
        <v>314</v>
      </c>
      <c r="M168" s="138" t="s">
        <v>953</v>
      </c>
    </row>
    <row r="169" spans="1:13" s="114" customFormat="1" ht="51">
      <c r="A169" s="136">
        <v>167</v>
      </c>
      <c r="B169" s="129" t="s">
        <v>971</v>
      </c>
      <c r="C169" s="129" t="s">
        <v>964</v>
      </c>
      <c r="D169" s="137" t="s">
        <v>965</v>
      </c>
      <c r="E169" s="84" t="s">
        <v>972</v>
      </c>
      <c r="F169" s="113"/>
      <c r="G169" s="131"/>
      <c r="H169" s="186" t="s">
        <v>973</v>
      </c>
      <c r="I169" s="125" t="s">
        <v>326</v>
      </c>
      <c r="J169" s="125" t="s">
        <v>352</v>
      </c>
      <c r="K169" s="125" t="s">
        <v>597</v>
      </c>
      <c r="L169" s="138" t="s">
        <v>314</v>
      </c>
      <c r="M169" s="138" t="s">
        <v>953</v>
      </c>
    </row>
    <row r="170" spans="1:13" s="114" customFormat="1" ht="51">
      <c r="A170" s="136">
        <v>168</v>
      </c>
      <c r="B170" s="129" t="s">
        <v>974</v>
      </c>
      <c r="C170" s="129" t="s">
        <v>964</v>
      </c>
      <c r="D170" s="137" t="s">
        <v>965</v>
      </c>
      <c r="E170" s="84" t="s">
        <v>975</v>
      </c>
      <c r="F170" s="113"/>
      <c r="G170" s="131"/>
      <c r="H170" s="186" t="s">
        <v>976</v>
      </c>
      <c r="I170" s="125" t="s">
        <v>326</v>
      </c>
      <c r="J170" s="125" t="s">
        <v>352</v>
      </c>
      <c r="K170" s="125" t="s">
        <v>597</v>
      </c>
      <c r="L170" s="138" t="s">
        <v>314</v>
      </c>
      <c r="M170" s="138" t="s">
        <v>508</v>
      </c>
    </row>
    <row r="171" spans="1:13" s="114" customFormat="1" ht="25.5">
      <c r="A171" s="136">
        <v>169</v>
      </c>
      <c r="B171" s="129" t="s">
        <v>977</v>
      </c>
      <c r="C171" s="129" t="s">
        <v>978</v>
      </c>
      <c r="D171" s="137" t="s">
        <v>979</v>
      </c>
      <c r="E171" s="84" t="s">
        <v>980</v>
      </c>
      <c r="F171" s="113"/>
      <c r="G171" s="131"/>
      <c r="H171" s="186" t="s">
        <v>974</v>
      </c>
      <c r="I171" s="125" t="s">
        <v>326</v>
      </c>
      <c r="J171" s="125" t="s">
        <v>352</v>
      </c>
      <c r="K171" s="125" t="s">
        <v>597</v>
      </c>
      <c r="L171" s="138" t="s">
        <v>314</v>
      </c>
      <c r="M171" s="138" t="s">
        <v>508</v>
      </c>
    </row>
    <row r="172" spans="1:13" s="114" customFormat="1" ht="51">
      <c r="A172" s="136">
        <v>170</v>
      </c>
      <c r="B172" s="129" t="s">
        <v>981</v>
      </c>
      <c r="C172" s="129" t="s">
        <v>978</v>
      </c>
      <c r="D172" s="137" t="s">
        <v>979</v>
      </c>
      <c r="E172" s="84" t="s">
        <v>982</v>
      </c>
      <c r="F172" s="113"/>
      <c r="G172" s="131"/>
      <c r="H172" s="186" t="s">
        <v>983</v>
      </c>
      <c r="I172" s="125" t="s">
        <v>326</v>
      </c>
      <c r="J172" s="125" t="s">
        <v>346</v>
      </c>
      <c r="K172" s="125" t="s">
        <v>984</v>
      </c>
      <c r="L172" s="138" t="s">
        <v>507</v>
      </c>
      <c r="M172" s="138" t="s">
        <v>508</v>
      </c>
    </row>
    <row r="173" spans="1:13" s="114" customFormat="1" ht="51">
      <c r="A173" s="136">
        <v>171</v>
      </c>
      <c r="B173" s="129" t="s">
        <v>985</v>
      </c>
      <c r="C173" s="129" t="s">
        <v>986</v>
      </c>
      <c r="D173" s="137" t="s">
        <v>987</v>
      </c>
      <c r="E173" s="84" t="s">
        <v>988</v>
      </c>
      <c r="F173" s="113"/>
      <c r="G173" s="131"/>
      <c r="H173" s="186" t="s">
        <v>981</v>
      </c>
      <c r="I173" s="125" t="s">
        <v>326</v>
      </c>
      <c r="J173" s="125" t="s">
        <v>346</v>
      </c>
      <c r="K173" s="125" t="s">
        <v>984</v>
      </c>
      <c r="L173" s="138" t="s">
        <v>507</v>
      </c>
      <c r="M173" s="138" t="s">
        <v>508</v>
      </c>
    </row>
    <row r="174" spans="1:13" s="114" customFormat="1" ht="51">
      <c r="A174" s="136">
        <v>172</v>
      </c>
      <c r="B174" s="129" t="s">
        <v>989</v>
      </c>
      <c r="C174" s="129" t="s">
        <v>986</v>
      </c>
      <c r="D174" s="137" t="s">
        <v>987</v>
      </c>
      <c r="E174" s="84" t="s">
        <v>990</v>
      </c>
      <c r="F174" s="113"/>
      <c r="G174" s="131"/>
      <c r="H174" s="186" t="s">
        <v>981</v>
      </c>
      <c r="I174" s="125" t="s">
        <v>326</v>
      </c>
      <c r="J174" s="125" t="s">
        <v>346</v>
      </c>
      <c r="K174" s="125" t="s">
        <v>984</v>
      </c>
      <c r="L174" s="138" t="s">
        <v>507</v>
      </c>
      <c r="M174" s="138" t="s">
        <v>508</v>
      </c>
    </row>
    <row r="175" spans="1:13" s="114" customFormat="1" ht="51">
      <c r="A175" s="136">
        <v>173</v>
      </c>
      <c r="B175" s="129" t="s">
        <v>991</v>
      </c>
      <c r="C175" s="129" t="s">
        <v>986</v>
      </c>
      <c r="D175" s="137" t="s">
        <v>987</v>
      </c>
      <c r="E175" s="84" t="s">
        <v>992</v>
      </c>
      <c r="F175" s="113"/>
      <c r="G175" s="131"/>
      <c r="H175" s="186" t="s">
        <v>981</v>
      </c>
      <c r="I175" s="125" t="s">
        <v>326</v>
      </c>
      <c r="J175" s="125" t="s">
        <v>346</v>
      </c>
      <c r="K175" s="125" t="s">
        <v>984</v>
      </c>
      <c r="L175" s="138" t="s">
        <v>507</v>
      </c>
      <c r="M175" s="138" t="s">
        <v>508</v>
      </c>
    </row>
    <row r="176" spans="1:13" s="114" customFormat="1" ht="51">
      <c r="A176" s="136">
        <v>174</v>
      </c>
      <c r="B176" s="129" t="s">
        <v>993</v>
      </c>
      <c r="C176" s="129" t="s">
        <v>986</v>
      </c>
      <c r="D176" s="137" t="s">
        <v>987</v>
      </c>
      <c r="E176" s="84" t="s">
        <v>994</v>
      </c>
      <c r="F176" s="113"/>
      <c r="G176" s="131"/>
      <c r="H176" s="186" t="s">
        <v>981</v>
      </c>
      <c r="I176" s="125" t="s">
        <v>326</v>
      </c>
      <c r="J176" s="125" t="s">
        <v>346</v>
      </c>
      <c r="K176" s="125" t="s">
        <v>984</v>
      </c>
      <c r="L176" s="138" t="s">
        <v>507</v>
      </c>
      <c r="M176" s="138" t="s">
        <v>508</v>
      </c>
    </row>
    <row r="177" spans="1:13" s="114" customFormat="1" ht="51">
      <c r="A177" s="136">
        <v>175</v>
      </c>
      <c r="B177" s="129" t="s">
        <v>995</v>
      </c>
      <c r="C177" s="129" t="s">
        <v>986</v>
      </c>
      <c r="D177" s="137" t="s">
        <v>987</v>
      </c>
      <c r="E177" s="84" t="s">
        <v>996</v>
      </c>
      <c r="F177" s="113"/>
      <c r="G177" s="131"/>
      <c r="H177" s="186" t="s">
        <v>997</v>
      </c>
      <c r="I177" s="125" t="s">
        <v>326</v>
      </c>
      <c r="J177" s="125" t="s">
        <v>346</v>
      </c>
      <c r="K177" s="125" t="s">
        <v>998</v>
      </c>
      <c r="L177" s="138" t="s">
        <v>314</v>
      </c>
      <c r="M177" s="138" t="s">
        <v>508</v>
      </c>
    </row>
    <row r="178" spans="1:13" s="114" customFormat="1" ht="38.25">
      <c r="A178" s="136">
        <v>176</v>
      </c>
      <c r="B178" s="129" t="s">
        <v>999</v>
      </c>
      <c r="C178" s="129" t="s">
        <v>1000</v>
      </c>
      <c r="D178" s="137" t="s">
        <v>1001</v>
      </c>
      <c r="E178" s="84" t="s">
        <v>1002</v>
      </c>
      <c r="F178" s="113"/>
      <c r="G178" s="131"/>
      <c r="H178" s="186" t="s">
        <v>995</v>
      </c>
      <c r="I178" s="125" t="s">
        <v>326</v>
      </c>
      <c r="J178" s="125" t="s">
        <v>346</v>
      </c>
      <c r="K178" s="125" t="s">
        <v>998</v>
      </c>
      <c r="L178" s="138" t="s">
        <v>314</v>
      </c>
      <c r="M178" s="138" t="s">
        <v>508</v>
      </c>
    </row>
    <row r="179" spans="1:13" s="114" customFormat="1" ht="25.5">
      <c r="A179" s="136">
        <v>177</v>
      </c>
      <c r="B179" s="129" t="s">
        <v>1003</v>
      </c>
      <c r="C179" s="129" t="s">
        <v>1000</v>
      </c>
      <c r="D179" s="137" t="s">
        <v>1001</v>
      </c>
      <c r="E179" s="84" t="s">
        <v>1004</v>
      </c>
      <c r="F179" s="113"/>
      <c r="G179" s="131"/>
      <c r="H179" s="186" t="s">
        <v>995</v>
      </c>
      <c r="I179" s="125" t="s">
        <v>326</v>
      </c>
      <c r="J179" s="125" t="s">
        <v>346</v>
      </c>
      <c r="K179" s="125" t="s">
        <v>998</v>
      </c>
      <c r="L179" s="138" t="s">
        <v>314</v>
      </c>
      <c r="M179" s="138" t="s">
        <v>508</v>
      </c>
    </row>
    <row r="180" spans="1:13" s="114" customFormat="1" ht="25.5">
      <c r="A180" s="136">
        <v>178</v>
      </c>
      <c r="B180" s="129" t="s">
        <v>1005</v>
      </c>
      <c r="C180" s="129" t="s">
        <v>1000</v>
      </c>
      <c r="D180" s="137" t="s">
        <v>1001</v>
      </c>
      <c r="E180" s="84" t="s">
        <v>1006</v>
      </c>
      <c r="F180" s="113"/>
      <c r="G180" s="131"/>
      <c r="H180" s="186" t="s">
        <v>1007</v>
      </c>
      <c r="I180" s="125" t="s">
        <v>326</v>
      </c>
      <c r="J180" s="125" t="s">
        <v>352</v>
      </c>
      <c r="K180" s="125" t="s">
        <v>526</v>
      </c>
      <c r="L180" s="138" t="s">
        <v>314</v>
      </c>
      <c r="M180" s="138" t="s">
        <v>508</v>
      </c>
    </row>
    <row r="181" spans="1:13" s="114" customFormat="1" ht="25.5">
      <c r="A181" s="136">
        <v>179</v>
      </c>
      <c r="B181" s="129" t="s">
        <v>1008</v>
      </c>
      <c r="C181" s="129" t="s">
        <v>1000</v>
      </c>
      <c r="D181" s="137" t="s">
        <v>1001</v>
      </c>
      <c r="E181" s="84" t="s">
        <v>1009</v>
      </c>
      <c r="F181" s="113"/>
      <c r="G181" s="131"/>
      <c r="H181" s="186" t="s">
        <v>995</v>
      </c>
      <c r="I181" s="125" t="s">
        <v>326</v>
      </c>
      <c r="J181" s="125" t="s">
        <v>346</v>
      </c>
      <c r="K181" s="125" t="s">
        <v>998</v>
      </c>
      <c r="L181" s="138" t="s">
        <v>314</v>
      </c>
      <c r="M181" s="138" t="s">
        <v>508</v>
      </c>
    </row>
    <row r="182" spans="1:13" s="114" customFormat="1" ht="25.5">
      <c r="A182" s="136">
        <v>180</v>
      </c>
      <c r="B182" s="129" t="s">
        <v>1010</v>
      </c>
      <c r="C182" s="129" t="s">
        <v>1000</v>
      </c>
      <c r="D182" s="137" t="s">
        <v>1001</v>
      </c>
      <c r="E182" s="84" t="s">
        <v>1011</v>
      </c>
      <c r="F182" s="113"/>
      <c r="G182" s="131"/>
      <c r="H182" s="186" t="s">
        <v>995</v>
      </c>
      <c r="I182" s="125" t="s">
        <v>326</v>
      </c>
      <c r="J182" s="125" t="s">
        <v>346</v>
      </c>
      <c r="K182" s="125" t="s">
        <v>998</v>
      </c>
      <c r="L182" s="138" t="s">
        <v>314</v>
      </c>
      <c r="M182" s="138" t="s">
        <v>508</v>
      </c>
    </row>
    <row r="183" spans="1:13" s="114" customFormat="1" ht="25.5">
      <c r="A183" s="136">
        <v>181</v>
      </c>
      <c r="B183" s="129" t="s">
        <v>1012</v>
      </c>
      <c r="C183" s="129" t="s">
        <v>1000</v>
      </c>
      <c r="D183" s="137" t="s">
        <v>1001</v>
      </c>
      <c r="E183" s="84" t="s">
        <v>1013</v>
      </c>
      <c r="F183" s="113"/>
      <c r="G183" s="131"/>
      <c r="H183" s="186" t="s">
        <v>995</v>
      </c>
      <c r="I183" s="125" t="s">
        <v>326</v>
      </c>
      <c r="J183" s="125" t="s">
        <v>346</v>
      </c>
      <c r="K183" s="125" t="s">
        <v>998</v>
      </c>
      <c r="L183" s="138" t="s">
        <v>314</v>
      </c>
      <c r="M183" s="138" t="s">
        <v>508</v>
      </c>
    </row>
    <row r="184" spans="1:13" s="114" customFormat="1" ht="25.5">
      <c r="A184" s="136">
        <v>182</v>
      </c>
      <c r="B184" s="129" t="s">
        <v>1014</v>
      </c>
      <c r="C184" s="129" t="s">
        <v>1000</v>
      </c>
      <c r="D184" s="137" t="s">
        <v>1001</v>
      </c>
      <c r="E184" s="84" t="s">
        <v>1015</v>
      </c>
      <c r="F184" s="113"/>
      <c r="G184" s="131"/>
      <c r="H184" s="186" t="s">
        <v>995</v>
      </c>
      <c r="I184" s="125" t="s">
        <v>326</v>
      </c>
      <c r="J184" s="125" t="s">
        <v>346</v>
      </c>
      <c r="K184" s="125" t="s">
        <v>998</v>
      </c>
      <c r="L184" s="138" t="s">
        <v>314</v>
      </c>
      <c r="M184" s="138" t="s">
        <v>508</v>
      </c>
    </row>
    <row r="185" spans="1:13" s="114" customFormat="1" ht="38.25">
      <c r="A185" s="136">
        <v>183</v>
      </c>
      <c r="B185" s="129" t="s">
        <v>1016</v>
      </c>
      <c r="C185" s="129" t="s">
        <v>1000</v>
      </c>
      <c r="D185" s="137" t="s">
        <v>1001</v>
      </c>
      <c r="E185" s="84" t="s">
        <v>1017</v>
      </c>
      <c r="F185" s="113"/>
      <c r="G185" s="131"/>
      <c r="H185" s="186" t="s">
        <v>543</v>
      </c>
      <c r="I185" s="125" t="s">
        <v>326</v>
      </c>
      <c r="J185" s="125" t="s">
        <v>331</v>
      </c>
      <c r="K185" s="125" t="s">
        <v>512</v>
      </c>
      <c r="L185" s="138" t="s">
        <v>507</v>
      </c>
      <c r="M185" s="138" t="s">
        <v>508</v>
      </c>
    </row>
    <row r="186" spans="1:13" s="114" customFormat="1" ht="38.25">
      <c r="A186" s="136">
        <v>184</v>
      </c>
      <c r="B186" s="129" t="s">
        <v>543</v>
      </c>
      <c r="C186" s="129" t="s">
        <v>1018</v>
      </c>
      <c r="D186" s="137" t="s">
        <v>1019</v>
      </c>
      <c r="E186" s="84" t="s">
        <v>1020</v>
      </c>
      <c r="F186" s="113"/>
      <c r="G186" s="131"/>
      <c r="H186" s="186" t="s">
        <v>1021</v>
      </c>
      <c r="I186" s="125" t="s">
        <v>326</v>
      </c>
      <c r="J186" s="125" t="s">
        <v>331</v>
      </c>
      <c r="K186" s="125" t="s">
        <v>512</v>
      </c>
      <c r="L186" s="138" t="s">
        <v>507</v>
      </c>
      <c r="M186" s="138" t="s">
        <v>508</v>
      </c>
    </row>
    <row r="187" spans="1:13" s="114" customFormat="1" ht="25.5">
      <c r="A187" s="136">
        <v>185</v>
      </c>
      <c r="B187" s="129" t="s">
        <v>1022</v>
      </c>
      <c r="C187" s="129" t="s">
        <v>1018</v>
      </c>
      <c r="D187" s="137" t="s">
        <v>1019</v>
      </c>
      <c r="E187" s="84" t="s">
        <v>1023</v>
      </c>
      <c r="F187" s="113"/>
      <c r="G187" s="131"/>
      <c r="H187" s="186" t="s">
        <v>804</v>
      </c>
      <c r="I187" s="125" t="s">
        <v>326</v>
      </c>
      <c r="J187" s="125" t="s">
        <v>352</v>
      </c>
      <c r="K187" s="125" t="s">
        <v>526</v>
      </c>
      <c r="L187" s="138" t="s">
        <v>314</v>
      </c>
      <c r="M187" s="138" t="s">
        <v>508</v>
      </c>
    </row>
    <row r="188" spans="1:13" s="114" customFormat="1" ht="38.25">
      <c r="A188" s="136">
        <v>186</v>
      </c>
      <c r="B188" s="129" t="s">
        <v>1024</v>
      </c>
      <c r="C188" s="129" t="s">
        <v>1018</v>
      </c>
      <c r="D188" s="137" t="s">
        <v>1019</v>
      </c>
      <c r="E188" s="84" t="s">
        <v>1025</v>
      </c>
      <c r="F188" s="113"/>
      <c r="G188" s="131"/>
      <c r="H188" s="186" t="s">
        <v>1026</v>
      </c>
      <c r="I188" s="125" t="s">
        <v>326</v>
      </c>
      <c r="J188" s="125" t="s">
        <v>341</v>
      </c>
      <c r="K188" s="125" t="s">
        <v>580</v>
      </c>
      <c r="L188" s="138" t="s">
        <v>507</v>
      </c>
      <c r="M188" s="138" t="s">
        <v>508</v>
      </c>
    </row>
    <row r="189" spans="1:13" s="114" customFormat="1" ht="38.25">
      <c r="A189" s="136">
        <v>187</v>
      </c>
      <c r="B189" s="129" t="s">
        <v>557</v>
      </c>
      <c r="C189" s="129" t="s">
        <v>1018</v>
      </c>
      <c r="D189" s="137" t="s">
        <v>1019</v>
      </c>
      <c r="E189" s="84" t="s">
        <v>1027</v>
      </c>
      <c r="F189" s="113"/>
      <c r="G189" s="131"/>
      <c r="H189" s="186" t="s">
        <v>1028</v>
      </c>
      <c r="I189" s="125" t="s">
        <v>326</v>
      </c>
      <c r="J189" s="125" t="s">
        <v>331</v>
      </c>
      <c r="K189" s="125" t="s">
        <v>512</v>
      </c>
      <c r="L189" s="138" t="s">
        <v>507</v>
      </c>
      <c r="M189" s="138" t="s">
        <v>508</v>
      </c>
    </row>
    <row r="190" spans="1:13" s="114" customFormat="1" ht="38.25">
      <c r="A190" s="136">
        <v>188</v>
      </c>
      <c r="B190" s="129" t="s">
        <v>1029</v>
      </c>
      <c r="C190" s="129" t="s">
        <v>1018</v>
      </c>
      <c r="D190" s="137" t="s">
        <v>1019</v>
      </c>
      <c r="E190" s="84" t="s">
        <v>1030</v>
      </c>
      <c r="F190" s="113"/>
      <c r="G190" s="131"/>
      <c r="H190" s="186" t="s">
        <v>543</v>
      </c>
      <c r="I190" s="125" t="s">
        <v>326</v>
      </c>
      <c r="J190" s="125" t="s">
        <v>331</v>
      </c>
      <c r="K190" s="125" t="s">
        <v>512</v>
      </c>
      <c r="L190" s="138" t="s">
        <v>507</v>
      </c>
      <c r="M190" s="138" t="s">
        <v>508</v>
      </c>
    </row>
    <row r="191" spans="1:13" s="114" customFormat="1" ht="38.25">
      <c r="A191" s="136">
        <v>189</v>
      </c>
      <c r="B191" s="129" t="s">
        <v>1031</v>
      </c>
      <c r="C191" s="129" t="s">
        <v>1018</v>
      </c>
      <c r="D191" s="137" t="s">
        <v>1019</v>
      </c>
      <c r="E191" s="84" t="s">
        <v>1032</v>
      </c>
      <c r="F191" s="113"/>
      <c r="G191" s="131"/>
      <c r="H191" s="186" t="s">
        <v>543</v>
      </c>
      <c r="I191" s="125" t="s">
        <v>326</v>
      </c>
      <c r="J191" s="125" t="s">
        <v>331</v>
      </c>
      <c r="K191" s="125" t="s">
        <v>512</v>
      </c>
      <c r="L191" s="138" t="s">
        <v>507</v>
      </c>
      <c r="M191" s="138" t="s">
        <v>508</v>
      </c>
    </row>
    <row r="192" spans="1:13" s="114" customFormat="1" ht="51">
      <c r="A192" s="136">
        <v>190</v>
      </c>
      <c r="B192" s="129" t="s">
        <v>1033</v>
      </c>
      <c r="C192" s="129" t="s">
        <v>1018</v>
      </c>
      <c r="D192" s="137" t="s">
        <v>1019</v>
      </c>
      <c r="E192" s="84" t="s">
        <v>1034</v>
      </c>
      <c r="F192" s="113"/>
      <c r="G192" s="131"/>
      <c r="H192" s="186" t="s">
        <v>995</v>
      </c>
      <c r="I192" s="125" t="s">
        <v>326</v>
      </c>
      <c r="J192" s="125" t="s">
        <v>346</v>
      </c>
      <c r="K192" s="125" t="s">
        <v>998</v>
      </c>
      <c r="L192" s="138" t="s">
        <v>314</v>
      </c>
      <c r="M192" s="138" t="s">
        <v>508</v>
      </c>
    </row>
    <row r="193" spans="1:13" s="114" customFormat="1" ht="25.5">
      <c r="A193" s="136">
        <v>191</v>
      </c>
      <c r="B193" s="129" t="s">
        <v>1035</v>
      </c>
      <c r="C193" s="129" t="s">
        <v>1036</v>
      </c>
      <c r="D193" s="137" t="s">
        <v>1037</v>
      </c>
      <c r="E193" s="84" t="s">
        <v>1038</v>
      </c>
      <c r="F193" s="113"/>
      <c r="G193" s="131"/>
      <c r="H193" s="186" t="s">
        <v>995</v>
      </c>
      <c r="I193" s="125" t="s">
        <v>326</v>
      </c>
      <c r="J193" s="125" t="s">
        <v>346</v>
      </c>
      <c r="K193" s="125" t="s">
        <v>998</v>
      </c>
      <c r="L193" s="138" t="s">
        <v>314</v>
      </c>
      <c r="M193" s="138" t="s">
        <v>508</v>
      </c>
    </row>
    <row r="194" spans="1:13" s="114" customFormat="1" ht="25.5">
      <c r="A194" s="136">
        <v>192</v>
      </c>
      <c r="B194" s="129" t="s">
        <v>1039</v>
      </c>
      <c r="C194" s="129" t="s">
        <v>1036</v>
      </c>
      <c r="D194" s="137" t="s">
        <v>1037</v>
      </c>
      <c r="E194" s="84" t="s">
        <v>1040</v>
      </c>
      <c r="F194" s="113"/>
      <c r="G194" s="131"/>
      <c r="H194" s="186" t="s">
        <v>995</v>
      </c>
      <c r="I194" s="125" t="s">
        <v>326</v>
      </c>
      <c r="J194" s="125" t="s">
        <v>346</v>
      </c>
      <c r="K194" s="125" t="s">
        <v>998</v>
      </c>
      <c r="L194" s="138" t="s">
        <v>314</v>
      </c>
      <c r="M194" s="138" t="s">
        <v>508</v>
      </c>
    </row>
    <row r="195" spans="1:13" s="114" customFormat="1" ht="25.5">
      <c r="A195" s="136">
        <v>193</v>
      </c>
      <c r="B195" s="129" t="s">
        <v>1041</v>
      </c>
      <c r="C195" s="129" t="s">
        <v>1036</v>
      </c>
      <c r="D195" s="137" t="s">
        <v>1037</v>
      </c>
      <c r="E195" s="84" t="s">
        <v>1042</v>
      </c>
      <c r="F195" s="113"/>
      <c r="G195" s="131"/>
      <c r="H195" s="186" t="s">
        <v>1043</v>
      </c>
      <c r="I195" s="125" t="s">
        <v>326</v>
      </c>
      <c r="J195" s="125" t="s">
        <v>352</v>
      </c>
      <c r="K195" s="125" t="s">
        <v>1044</v>
      </c>
      <c r="L195" s="138" t="s">
        <v>507</v>
      </c>
      <c r="M195" s="138" t="s">
        <v>508</v>
      </c>
    </row>
    <row r="196" spans="1:13" s="114" customFormat="1" ht="38.25">
      <c r="A196" s="136">
        <v>194</v>
      </c>
      <c r="B196" s="129" t="s">
        <v>1045</v>
      </c>
      <c r="C196" s="129" t="s">
        <v>1046</v>
      </c>
      <c r="D196" s="137" t="s">
        <v>1047</v>
      </c>
      <c r="E196" s="84" t="s">
        <v>1048</v>
      </c>
      <c r="F196" s="113"/>
      <c r="G196" s="131"/>
      <c r="H196" s="186" t="s">
        <v>1041</v>
      </c>
      <c r="I196" s="125" t="s">
        <v>326</v>
      </c>
      <c r="J196" s="125" t="s">
        <v>352</v>
      </c>
      <c r="K196" s="125" t="s">
        <v>1044</v>
      </c>
      <c r="L196" s="138" t="s">
        <v>507</v>
      </c>
      <c r="M196" s="138" t="s">
        <v>508</v>
      </c>
    </row>
    <row r="197" spans="1:13" s="114" customFormat="1" ht="38.25">
      <c r="A197" s="136">
        <v>195</v>
      </c>
      <c r="B197" s="129" t="s">
        <v>1049</v>
      </c>
      <c r="C197" s="129" t="s">
        <v>1046</v>
      </c>
      <c r="D197" s="137" t="s">
        <v>1047</v>
      </c>
      <c r="E197" s="84" t="s">
        <v>1050</v>
      </c>
      <c r="F197" s="113"/>
      <c r="G197" s="131"/>
      <c r="H197" s="186" t="s">
        <v>1051</v>
      </c>
      <c r="I197" s="125" t="s">
        <v>326</v>
      </c>
      <c r="J197" s="125" t="s">
        <v>352</v>
      </c>
      <c r="K197" s="125" t="s">
        <v>1044</v>
      </c>
      <c r="L197" s="138" t="s">
        <v>507</v>
      </c>
      <c r="M197" s="138" t="s">
        <v>508</v>
      </c>
    </row>
    <row r="198" spans="1:13" s="114" customFormat="1" ht="25.5">
      <c r="A198" s="136">
        <v>196</v>
      </c>
      <c r="B198" s="129" t="s">
        <v>1052</v>
      </c>
      <c r="C198" s="129" t="s">
        <v>1046</v>
      </c>
      <c r="D198" s="137" t="s">
        <v>1047</v>
      </c>
      <c r="E198" s="84" t="s">
        <v>1053</v>
      </c>
      <c r="F198" s="113"/>
      <c r="G198" s="131"/>
      <c r="H198" s="186" t="s">
        <v>1041</v>
      </c>
      <c r="I198" s="125" t="s">
        <v>326</v>
      </c>
      <c r="J198" s="125" t="s">
        <v>352</v>
      </c>
      <c r="K198" s="125" t="s">
        <v>1044</v>
      </c>
      <c r="L198" s="138" t="s">
        <v>507</v>
      </c>
      <c r="M198" s="138" t="s">
        <v>508</v>
      </c>
    </row>
    <row r="199" spans="1:13" s="114" customFormat="1" ht="51">
      <c r="A199" s="136">
        <v>197</v>
      </c>
      <c r="B199" s="129" t="s">
        <v>1054</v>
      </c>
      <c r="C199" s="129" t="s">
        <v>1046</v>
      </c>
      <c r="D199" s="137" t="s">
        <v>1047</v>
      </c>
      <c r="E199" s="84" t="s">
        <v>1055</v>
      </c>
      <c r="F199" s="113"/>
      <c r="G199" s="131"/>
      <c r="H199" s="186" t="s">
        <v>1051</v>
      </c>
      <c r="I199" s="125" t="s">
        <v>326</v>
      </c>
      <c r="J199" s="125" t="s">
        <v>352</v>
      </c>
      <c r="K199" s="125" t="s">
        <v>1044</v>
      </c>
      <c r="L199" s="138" t="s">
        <v>507</v>
      </c>
      <c r="M199" s="138" t="s">
        <v>508</v>
      </c>
    </row>
    <row r="200" spans="1:13" s="114" customFormat="1" ht="51">
      <c r="A200" s="136">
        <v>198</v>
      </c>
      <c r="B200" s="129" t="s">
        <v>1056</v>
      </c>
      <c r="C200" s="129" t="s">
        <v>1046</v>
      </c>
      <c r="D200" s="137" t="s">
        <v>1047</v>
      </c>
      <c r="E200" s="84" t="s">
        <v>1057</v>
      </c>
      <c r="F200" s="113"/>
      <c r="G200" s="131"/>
      <c r="H200" s="186" t="s">
        <v>1051</v>
      </c>
      <c r="I200" s="125" t="s">
        <v>326</v>
      </c>
      <c r="J200" s="125" t="s">
        <v>352</v>
      </c>
      <c r="K200" s="125" t="s">
        <v>1044</v>
      </c>
      <c r="L200" s="138" t="s">
        <v>507</v>
      </c>
      <c r="M200" s="138" t="s">
        <v>508</v>
      </c>
    </row>
    <row r="201" spans="1:13" s="114" customFormat="1" ht="38.25">
      <c r="A201" s="136">
        <v>199</v>
      </c>
      <c r="B201" s="129" t="s">
        <v>1058</v>
      </c>
      <c r="C201" s="129" t="s">
        <v>1046</v>
      </c>
      <c r="D201" s="137" t="s">
        <v>1047</v>
      </c>
      <c r="E201" s="84" t="s">
        <v>1059</v>
      </c>
      <c r="F201" s="113"/>
      <c r="G201" s="131"/>
      <c r="H201" s="186" t="s">
        <v>1060</v>
      </c>
      <c r="I201" s="125" t="s">
        <v>323</v>
      </c>
      <c r="J201" s="125" t="s">
        <v>330</v>
      </c>
      <c r="K201" s="125" t="s">
        <v>1061</v>
      </c>
      <c r="L201" s="138" t="s">
        <v>507</v>
      </c>
      <c r="M201" s="138" t="s">
        <v>508</v>
      </c>
    </row>
    <row r="202" spans="1:13" s="114" customFormat="1" ht="25.5">
      <c r="A202" s="136">
        <v>200</v>
      </c>
      <c r="B202" s="129" t="s">
        <v>1062</v>
      </c>
      <c r="C202" s="129" t="s">
        <v>1063</v>
      </c>
      <c r="D202" s="137" t="s">
        <v>1064</v>
      </c>
      <c r="E202" s="84" t="s">
        <v>1065</v>
      </c>
      <c r="F202" s="113"/>
      <c r="G202" s="131"/>
      <c r="H202" s="186" t="s">
        <v>1058</v>
      </c>
      <c r="I202" s="125" t="s">
        <v>323</v>
      </c>
      <c r="J202" s="125" t="s">
        <v>330</v>
      </c>
      <c r="K202" s="125" t="s">
        <v>1061</v>
      </c>
      <c r="L202" s="138" t="s">
        <v>507</v>
      </c>
      <c r="M202" s="138" t="s">
        <v>508</v>
      </c>
    </row>
    <row r="203" spans="1:13" s="114" customFormat="1" ht="25.5">
      <c r="A203" s="136">
        <v>201</v>
      </c>
      <c r="B203" s="129" t="s">
        <v>1066</v>
      </c>
      <c r="C203" s="129" t="s">
        <v>1063</v>
      </c>
      <c r="D203" s="137" t="s">
        <v>1064</v>
      </c>
      <c r="E203" s="84" t="s">
        <v>1067</v>
      </c>
      <c r="F203" s="113"/>
      <c r="G203" s="131"/>
      <c r="H203" s="186" t="s">
        <v>1058</v>
      </c>
      <c r="I203" s="125" t="s">
        <v>323</v>
      </c>
      <c r="J203" s="125" t="s">
        <v>330</v>
      </c>
      <c r="K203" s="125" t="s">
        <v>1061</v>
      </c>
      <c r="L203" s="138" t="s">
        <v>507</v>
      </c>
      <c r="M203" s="138" t="s">
        <v>508</v>
      </c>
    </row>
    <row r="204" spans="1:13" s="114" customFormat="1" ht="51">
      <c r="A204" s="136">
        <v>202</v>
      </c>
      <c r="B204" s="129" t="s">
        <v>1068</v>
      </c>
      <c r="C204" s="129" t="s">
        <v>1063</v>
      </c>
      <c r="D204" s="137" t="s">
        <v>1064</v>
      </c>
      <c r="E204" s="84" t="s">
        <v>1069</v>
      </c>
      <c r="F204" s="113"/>
      <c r="G204" s="131"/>
      <c r="H204" s="186" t="s">
        <v>1070</v>
      </c>
      <c r="I204" s="125" t="s">
        <v>327</v>
      </c>
      <c r="J204" s="125" t="s">
        <v>337</v>
      </c>
      <c r="K204" s="125" t="s">
        <v>1071</v>
      </c>
      <c r="L204" s="138" t="s">
        <v>314</v>
      </c>
      <c r="M204" s="138" t="s">
        <v>508</v>
      </c>
    </row>
    <row r="205" spans="1:13" s="114" customFormat="1" ht="25.5">
      <c r="A205" s="136">
        <v>203</v>
      </c>
      <c r="B205" s="129" t="s">
        <v>1072</v>
      </c>
      <c r="C205" s="129" t="s">
        <v>1063</v>
      </c>
      <c r="D205" s="137" t="s">
        <v>1064</v>
      </c>
      <c r="E205" s="84" t="s">
        <v>1073</v>
      </c>
      <c r="F205" s="113"/>
      <c r="G205" s="131"/>
      <c r="H205" s="186" t="s">
        <v>1058</v>
      </c>
      <c r="I205" s="125" t="s">
        <v>323</v>
      </c>
      <c r="J205" s="125" t="s">
        <v>330</v>
      </c>
      <c r="K205" s="125" t="s">
        <v>1061</v>
      </c>
      <c r="L205" s="138" t="s">
        <v>507</v>
      </c>
      <c r="M205" s="138" t="s">
        <v>508</v>
      </c>
    </row>
    <row r="206" spans="1:13" s="114" customFormat="1" ht="25.5">
      <c r="A206" s="136">
        <v>204</v>
      </c>
      <c r="B206" s="129" t="s">
        <v>1074</v>
      </c>
      <c r="C206" s="129" t="s">
        <v>1063</v>
      </c>
      <c r="D206" s="137" t="s">
        <v>1064</v>
      </c>
      <c r="E206" s="84" t="s">
        <v>1075</v>
      </c>
      <c r="F206" s="113"/>
      <c r="G206" s="131"/>
      <c r="H206" s="186" t="s">
        <v>1058</v>
      </c>
      <c r="I206" s="125" t="s">
        <v>323</v>
      </c>
      <c r="J206" s="125" t="s">
        <v>330</v>
      </c>
      <c r="K206" s="125" t="s">
        <v>1061</v>
      </c>
      <c r="L206" s="138" t="s">
        <v>507</v>
      </c>
      <c r="M206" s="138" t="s">
        <v>508</v>
      </c>
    </row>
    <row r="207" spans="1:13" s="114" customFormat="1" ht="25.5">
      <c r="A207" s="136">
        <v>205</v>
      </c>
      <c r="B207" s="129" t="s">
        <v>1076</v>
      </c>
      <c r="C207" s="129" t="s">
        <v>1063</v>
      </c>
      <c r="D207" s="137" t="s">
        <v>1064</v>
      </c>
      <c r="E207" s="84" t="s">
        <v>1077</v>
      </c>
      <c r="F207" s="113"/>
      <c r="G207" s="131"/>
      <c r="H207" s="186" t="s">
        <v>995</v>
      </c>
      <c r="I207" s="125" t="s">
        <v>326</v>
      </c>
      <c r="J207" s="125" t="s">
        <v>346</v>
      </c>
      <c r="K207" s="125" t="s">
        <v>998</v>
      </c>
      <c r="L207" s="138" t="s">
        <v>314</v>
      </c>
      <c r="M207" s="138" t="s">
        <v>508</v>
      </c>
    </row>
    <row r="208" spans="1:13" s="114" customFormat="1" ht="25.5">
      <c r="A208" s="136">
        <v>206</v>
      </c>
      <c r="B208" s="129" t="s">
        <v>1078</v>
      </c>
      <c r="C208" s="129" t="s">
        <v>1063</v>
      </c>
      <c r="D208" s="137" t="s">
        <v>1064</v>
      </c>
      <c r="E208" s="84" t="s">
        <v>1079</v>
      </c>
      <c r="F208" s="113"/>
      <c r="G208" s="131"/>
      <c r="H208" s="186" t="s">
        <v>1058</v>
      </c>
      <c r="I208" s="125" t="s">
        <v>323</v>
      </c>
      <c r="J208" s="125" t="s">
        <v>330</v>
      </c>
      <c r="K208" s="125" t="s">
        <v>1061</v>
      </c>
      <c r="L208" s="138" t="s">
        <v>507</v>
      </c>
      <c r="M208" s="138" t="s">
        <v>508</v>
      </c>
    </row>
    <row r="209" spans="1:13" s="114" customFormat="1" ht="25.5">
      <c r="A209" s="136">
        <v>207</v>
      </c>
      <c r="B209" s="129" t="s">
        <v>1080</v>
      </c>
      <c r="C209" s="129" t="s">
        <v>1063</v>
      </c>
      <c r="D209" s="137" t="s">
        <v>1064</v>
      </c>
      <c r="E209" s="84" t="s">
        <v>1081</v>
      </c>
      <c r="F209" s="113"/>
      <c r="G209" s="131"/>
      <c r="H209" s="186" t="s">
        <v>1058</v>
      </c>
      <c r="I209" s="125" t="s">
        <v>323</v>
      </c>
      <c r="J209" s="125" t="s">
        <v>330</v>
      </c>
      <c r="K209" s="125" t="s">
        <v>1061</v>
      </c>
      <c r="L209" s="138" t="s">
        <v>507</v>
      </c>
      <c r="M209" s="138" t="s">
        <v>508</v>
      </c>
    </row>
    <row r="210" spans="1:13" s="114" customFormat="1" ht="38.25">
      <c r="A210" s="136">
        <v>208</v>
      </c>
      <c r="B210" s="129" t="s">
        <v>1082</v>
      </c>
      <c r="C210" s="129" t="s">
        <v>1083</v>
      </c>
      <c r="D210" s="137" t="s">
        <v>1084</v>
      </c>
      <c r="E210" s="84" t="s">
        <v>1085</v>
      </c>
      <c r="F210" s="113"/>
      <c r="G210" s="131"/>
      <c r="H210" s="186" t="s">
        <v>1086</v>
      </c>
      <c r="I210" s="125" t="s">
        <v>326</v>
      </c>
      <c r="J210" s="125" t="s">
        <v>331</v>
      </c>
      <c r="K210" s="125" t="s">
        <v>512</v>
      </c>
      <c r="L210" s="138" t="s">
        <v>507</v>
      </c>
      <c r="M210" s="138" t="s">
        <v>508</v>
      </c>
    </row>
    <row r="211" spans="1:13" s="114" customFormat="1" ht="25.5">
      <c r="A211" s="136">
        <v>209</v>
      </c>
      <c r="B211" s="129" t="s">
        <v>1087</v>
      </c>
      <c r="C211" s="129" t="s">
        <v>1083</v>
      </c>
      <c r="D211" s="137" t="s">
        <v>1084</v>
      </c>
      <c r="E211" s="84" t="s">
        <v>1088</v>
      </c>
      <c r="F211" s="113"/>
      <c r="G211" s="131"/>
      <c r="H211" s="186" t="s">
        <v>1089</v>
      </c>
      <c r="I211" s="125" t="s">
        <v>327</v>
      </c>
      <c r="J211" s="125" t="s">
        <v>342</v>
      </c>
      <c r="K211" s="125" t="s">
        <v>1090</v>
      </c>
      <c r="L211" s="138" t="s">
        <v>507</v>
      </c>
      <c r="M211" s="138" t="s">
        <v>508</v>
      </c>
    </row>
    <row r="212" spans="1:13" s="114" customFormat="1" ht="38.25">
      <c r="A212" s="136">
        <v>210</v>
      </c>
      <c r="B212" s="129" t="s">
        <v>1091</v>
      </c>
      <c r="C212" s="129" t="s">
        <v>1092</v>
      </c>
      <c r="D212" s="137" t="s">
        <v>1093</v>
      </c>
      <c r="E212" s="84" t="s">
        <v>1094</v>
      </c>
      <c r="F212" s="113"/>
      <c r="G212" s="131"/>
      <c r="H212" s="186" t="s">
        <v>633</v>
      </c>
      <c r="I212" s="125" t="s">
        <v>326</v>
      </c>
      <c r="J212" s="125" t="s">
        <v>331</v>
      </c>
      <c r="K212" s="125" t="s">
        <v>512</v>
      </c>
      <c r="L212" s="138" t="s">
        <v>507</v>
      </c>
      <c r="M212" s="138" t="s">
        <v>508</v>
      </c>
    </row>
    <row r="213" spans="1:13" s="114" customFormat="1" ht="51">
      <c r="A213" s="136">
        <v>211</v>
      </c>
      <c r="B213" s="129" t="s">
        <v>1095</v>
      </c>
      <c r="C213" s="129" t="s">
        <v>1092</v>
      </c>
      <c r="D213" s="137" t="s">
        <v>1093</v>
      </c>
      <c r="E213" s="84" t="s">
        <v>1096</v>
      </c>
      <c r="F213" s="113"/>
      <c r="G213" s="131"/>
      <c r="H213" s="186" t="s">
        <v>952</v>
      </c>
      <c r="I213" s="125" t="s">
        <v>326</v>
      </c>
      <c r="J213" s="125" t="s">
        <v>352</v>
      </c>
      <c r="K213" s="125" t="s">
        <v>561</v>
      </c>
      <c r="L213" s="138" t="s">
        <v>314</v>
      </c>
      <c r="M213" s="138" t="s">
        <v>953</v>
      </c>
    </row>
    <row r="214" spans="1:13" s="114" customFormat="1" ht="51">
      <c r="A214" s="136">
        <v>212</v>
      </c>
      <c r="B214" s="129" t="s">
        <v>1097</v>
      </c>
      <c r="C214" s="129" t="s">
        <v>1098</v>
      </c>
      <c r="D214" s="137" t="s">
        <v>1099</v>
      </c>
      <c r="E214" s="84" t="s">
        <v>1100</v>
      </c>
      <c r="F214" s="113"/>
      <c r="G214" s="131"/>
      <c r="H214" s="186" t="s">
        <v>952</v>
      </c>
      <c r="I214" s="125" t="s">
        <v>326</v>
      </c>
      <c r="J214" s="125" t="s">
        <v>352</v>
      </c>
      <c r="K214" s="125" t="s">
        <v>561</v>
      </c>
      <c r="L214" s="138" t="s">
        <v>314</v>
      </c>
      <c r="M214" s="138" t="s">
        <v>953</v>
      </c>
    </row>
    <row r="215" spans="1:13" s="114" customFormat="1" ht="51">
      <c r="A215" s="136">
        <v>213</v>
      </c>
      <c r="B215" s="129" t="s">
        <v>1101</v>
      </c>
      <c r="C215" s="129" t="s">
        <v>1098</v>
      </c>
      <c r="D215" s="137" t="s">
        <v>1099</v>
      </c>
      <c r="E215" s="84" t="s">
        <v>1102</v>
      </c>
      <c r="F215" s="113"/>
      <c r="G215" s="131"/>
      <c r="H215" s="186" t="s">
        <v>952</v>
      </c>
      <c r="I215" s="125" t="s">
        <v>326</v>
      </c>
      <c r="J215" s="125" t="s">
        <v>352</v>
      </c>
      <c r="K215" s="125" t="s">
        <v>561</v>
      </c>
      <c r="L215" s="138" t="s">
        <v>314</v>
      </c>
      <c r="M215" s="138" t="s">
        <v>953</v>
      </c>
    </row>
    <row r="216" spans="1:13" s="114" customFormat="1" ht="51">
      <c r="A216" s="136">
        <v>214</v>
      </c>
      <c r="B216" s="129" t="s">
        <v>1103</v>
      </c>
      <c r="C216" s="129" t="s">
        <v>1098</v>
      </c>
      <c r="D216" s="137" t="s">
        <v>1099</v>
      </c>
      <c r="E216" s="84" t="s">
        <v>1104</v>
      </c>
      <c r="F216" s="113"/>
      <c r="G216" s="131"/>
      <c r="H216" s="186" t="s">
        <v>952</v>
      </c>
      <c r="I216" s="125" t="s">
        <v>326</v>
      </c>
      <c r="J216" s="125" t="s">
        <v>352</v>
      </c>
      <c r="K216" s="125" t="s">
        <v>561</v>
      </c>
      <c r="L216" s="138" t="s">
        <v>314</v>
      </c>
      <c r="M216" s="138" t="s">
        <v>953</v>
      </c>
    </row>
    <row r="217" spans="1:13" s="114" customFormat="1" ht="51">
      <c r="A217" s="136">
        <v>215</v>
      </c>
      <c r="B217" s="129" t="s">
        <v>1105</v>
      </c>
      <c r="C217" s="129" t="s">
        <v>1098</v>
      </c>
      <c r="D217" s="137" t="s">
        <v>1099</v>
      </c>
      <c r="E217" s="84" t="s">
        <v>1106</v>
      </c>
      <c r="F217" s="113"/>
      <c r="G217" s="131"/>
      <c r="H217" s="186" t="s">
        <v>952</v>
      </c>
      <c r="I217" s="125" t="s">
        <v>326</v>
      </c>
      <c r="J217" s="125" t="s">
        <v>352</v>
      </c>
      <c r="K217" s="125" t="s">
        <v>561</v>
      </c>
      <c r="L217" s="138" t="s">
        <v>314</v>
      </c>
      <c r="M217" s="138" t="s">
        <v>953</v>
      </c>
    </row>
    <row r="218" spans="1:13" s="114" customFormat="1" ht="51">
      <c r="A218" s="136">
        <v>216</v>
      </c>
      <c r="B218" s="129" t="s">
        <v>1107</v>
      </c>
      <c r="C218" s="129" t="s">
        <v>1108</v>
      </c>
      <c r="D218" s="137" t="s">
        <v>1109</v>
      </c>
      <c r="E218" s="84" t="s">
        <v>1110</v>
      </c>
      <c r="F218" s="113"/>
      <c r="G218" s="131"/>
      <c r="H218" s="186" t="s">
        <v>952</v>
      </c>
      <c r="I218" s="125" t="s">
        <v>326</v>
      </c>
      <c r="J218" s="125" t="s">
        <v>352</v>
      </c>
      <c r="K218" s="125" t="s">
        <v>561</v>
      </c>
      <c r="L218" s="138" t="s">
        <v>314</v>
      </c>
      <c r="M218" s="138" t="s">
        <v>953</v>
      </c>
    </row>
    <row r="219" spans="1:13" s="114" customFormat="1" ht="51">
      <c r="A219" s="136">
        <v>217</v>
      </c>
      <c r="B219" s="129" t="s">
        <v>1111</v>
      </c>
      <c r="C219" s="129" t="s">
        <v>1108</v>
      </c>
      <c r="D219" s="137" t="s">
        <v>1109</v>
      </c>
      <c r="E219" s="84" t="s">
        <v>1112</v>
      </c>
      <c r="F219" s="113"/>
      <c r="G219" s="131"/>
      <c r="H219" s="186" t="s">
        <v>952</v>
      </c>
      <c r="I219" s="125" t="s">
        <v>326</v>
      </c>
      <c r="J219" s="125" t="s">
        <v>352</v>
      </c>
      <c r="K219" s="125" t="s">
        <v>561</v>
      </c>
      <c r="L219" s="138" t="s">
        <v>314</v>
      </c>
      <c r="M219" s="138" t="s">
        <v>953</v>
      </c>
    </row>
    <row r="220" spans="1:13" s="114" customFormat="1" ht="51">
      <c r="A220" s="136">
        <v>218</v>
      </c>
      <c r="B220" s="129" t="s">
        <v>1113</v>
      </c>
      <c r="C220" s="129" t="s">
        <v>1108</v>
      </c>
      <c r="D220" s="137" t="s">
        <v>1109</v>
      </c>
      <c r="E220" s="84" t="s">
        <v>1114</v>
      </c>
      <c r="F220" s="113"/>
      <c r="G220" s="131"/>
      <c r="H220" s="186" t="s">
        <v>952</v>
      </c>
      <c r="I220" s="125" t="s">
        <v>326</v>
      </c>
      <c r="J220" s="125" t="s">
        <v>352</v>
      </c>
      <c r="K220" s="125" t="s">
        <v>561</v>
      </c>
      <c r="L220" s="138" t="s">
        <v>314</v>
      </c>
      <c r="M220" s="138" t="s">
        <v>953</v>
      </c>
    </row>
    <row r="221" spans="1:13" s="114" customFormat="1" ht="51">
      <c r="A221" s="136">
        <v>219</v>
      </c>
      <c r="B221" s="129" t="s">
        <v>1115</v>
      </c>
      <c r="C221" s="129" t="s">
        <v>1108</v>
      </c>
      <c r="D221" s="137" t="s">
        <v>1109</v>
      </c>
      <c r="E221" s="84" t="s">
        <v>1116</v>
      </c>
      <c r="F221" s="113"/>
      <c r="G221" s="131"/>
      <c r="H221" s="186" t="s">
        <v>952</v>
      </c>
      <c r="I221" s="125" t="s">
        <v>326</v>
      </c>
      <c r="J221" s="125" t="s">
        <v>352</v>
      </c>
      <c r="K221" s="125" t="s">
        <v>561</v>
      </c>
      <c r="L221" s="138" t="s">
        <v>314</v>
      </c>
      <c r="M221" s="138" t="s">
        <v>953</v>
      </c>
    </row>
    <row r="222" spans="1:13" s="114" customFormat="1" ht="38.25">
      <c r="A222" s="136">
        <v>220</v>
      </c>
      <c r="B222" s="129" t="s">
        <v>892</v>
      </c>
      <c r="C222" s="129" t="s">
        <v>1108</v>
      </c>
      <c r="D222" s="137" t="s">
        <v>1109</v>
      </c>
      <c r="E222" s="84" t="s">
        <v>1117</v>
      </c>
      <c r="F222" s="113"/>
      <c r="G222" s="131"/>
      <c r="H222" s="186" t="s">
        <v>1118</v>
      </c>
      <c r="I222" s="125" t="s">
        <v>326</v>
      </c>
      <c r="J222" s="125" t="s">
        <v>346</v>
      </c>
      <c r="K222" s="125" t="s">
        <v>893</v>
      </c>
      <c r="L222" s="138" t="s">
        <v>507</v>
      </c>
      <c r="M222" s="138" t="s">
        <v>508</v>
      </c>
    </row>
    <row r="223" spans="1:13" s="114" customFormat="1" ht="51">
      <c r="A223" s="136">
        <v>221</v>
      </c>
      <c r="B223" s="129" t="s">
        <v>1119</v>
      </c>
      <c r="C223" s="129" t="s">
        <v>1120</v>
      </c>
      <c r="D223" s="137" t="s">
        <v>1121</v>
      </c>
      <c r="E223" s="84" t="s">
        <v>1122</v>
      </c>
      <c r="F223" s="113"/>
      <c r="G223" s="131"/>
      <c r="H223" s="186" t="s">
        <v>952</v>
      </c>
      <c r="I223" s="125" t="s">
        <v>326</v>
      </c>
      <c r="J223" s="125" t="s">
        <v>352</v>
      </c>
      <c r="K223" s="125" t="s">
        <v>561</v>
      </c>
      <c r="L223" s="138" t="s">
        <v>314</v>
      </c>
      <c r="M223" s="138" t="s">
        <v>953</v>
      </c>
    </row>
    <row r="224" spans="1:13" s="114" customFormat="1" ht="51">
      <c r="A224" s="136">
        <v>222</v>
      </c>
      <c r="B224" s="129" t="s">
        <v>1123</v>
      </c>
      <c r="C224" s="129" t="s">
        <v>1120</v>
      </c>
      <c r="D224" s="137" t="s">
        <v>1121</v>
      </c>
      <c r="E224" s="84" t="s">
        <v>1124</v>
      </c>
      <c r="F224" s="113"/>
      <c r="G224" s="131"/>
      <c r="H224" s="186" t="s">
        <v>952</v>
      </c>
      <c r="I224" s="125" t="s">
        <v>326</v>
      </c>
      <c r="J224" s="125" t="s">
        <v>352</v>
      </c>
      <c r="K224" s="125" t="s">
        <v>561</v>
      </c>
      <c r="L224" s="138" t="s">
        <v>314</v>
      </c>
      <c r="M224" s="138" t="s">
        <v>953</v>
      </c>
    </row>
    <row r="225" spans="1:13" s="114" customFormat="1" ht="51">
      <c r="A225" s="136">
        <v>223</v>
      </c>
      <c r="B225" s="129" t="s">
        <v>1125</v>
      </c>
      <c r="C225" s="129" t="s">
        <v>1120</v>
      </c>
      <c r="D225" s="137" t="s">
        <v>1121</v>
      </c>
      <c r="E225" s="84" t="s">
        <v>1126</v>
      </c>
      <c r="F225" s="113"/>
      <c r="G225" s="131"/>
      <c r="H225" s="186" t="s">
        <v>952</v>
      </c>
      <c r="I225" s="125" t="s">
        <v>326</v>
      </c>
      <c r="J225" s="125" t="s">
        <v>352</v>
      </c>
      <c r="K225" s="125" t="s">
        <v>561</v>
      </c>
      <c r="L225" s="138" t="s">
        <v>314</v>
      </c>
      <c r="M225" s="138" t="s">
        <v>953</v>
      </c>
    </row>
    <row r="226" spans="1:13" s="114" customFormat="1" ht="38.25">
      <c r="A226" s="136">
        <v>224</v>
      </c>
      <c r="B226" s="129" t="s">
        <v>1127</v>
      </c>
      <c r="C226" s="129" t="s">
        <v>1120</v>
      </c>
      <c r="D226" s="137" t="s">
        <v>1121</v>
      </c>
      <c r="E226" s="84" t="s">
        <v>1128</v>
      </c>
      <c r="F226" s="113"/>
      <c r="G226" s="131"/>
      <c r="H226" s="186" t="s">
        <v>557</v>
      </c>
      <c r="I226" s="125" t="s">
        <v>326</v>
      </c>
      <c r="J226" s="125" t="s">
        <v>331</v>
      </c>
      <c r="K226" s="125" t="s">
        <v>512</v>
      </c>
      <c r="L226" s="138" t="s">
        <v>507</v>
      </c>
      <c r="M226" s="138" t="s">
        <v>508</v>
      </c>
    </row>
    <row r="227" spans="1:13" s="114" customFormat="1" ht="25.5">
      <c r="A227" s="136">
        <v>225</v>
      </c>
      <c r="B227" s="129" t="s">
        <v>1129</v>
      </c>
      <c r="C227" s="129" t="s">
        <v>1120</v>
      </c>
      <c r="D227" s="137" t="s">
        <v>1121</v>
      </c>
      <c r="E227" s="84" t="s">
        <v>1130</v>
      </c>
      <c r="F227" s="113"/>
      <c r="G227" s="131"/>
      <c r="H227" s="186" t="s">
        <v>1131</v>
      </c>
      <c r="I227" s="125" t="s">
        <v>326</v>
      </c>
      <c r="J227" s="125" t="s">
        <v>346</v>
      </c>
      <c r="K227" s="125" t="s">
        <v>893</v>
      </c>
      <c r="L227" s="138" t="s">
        <v>507</v>
      </c>
      <c r="M227" s="138" t="s">
        <v>508</v>
      </c>
    </row>
    <row r="228" spans="1:13" s="114" customFormat="1" ht="51">
      <c r="A228" s="136">
        <v>226</v>
      </c>
      <c r="B228" s="129" t="s">
        <v>1132</v>
      </c>
      <c r="C228" s="129" t="s">
        <v>1133</v>
      </c>
      <c r="D228" s="137" t="s">
        <v>1134</v>
      </c>
      <c r="E228" s="84" t="s">
        <v>1135</v>
      </c>
      <c r="F228" s="113"/>
      <c r="G228" s="131"/>
      <c r="H228" s="186" t="s">
        <v>952</v>
      </c>
      <c r="I228" s="125" t="s">
        <v>326</v>
      </c>
      <c r="J228" s="125" t="s">
        <v>352</v>
      </c>
      <c r="K228" s="125" t="s">
        <v>561</v>
      </c>
      <c r="L228" s="138" t="s">
        <v>314</v>
      </c>
      <c r="M228" s="138" t="s">
        <v>953</v>
      </c>
    </row>
    <row r="229" spans="1:13" s="114" customFormat="1" ht="38.25">
      <c r="A229" s="136">
        <v>227</v>
      </c>
      <c r="B229" s="129" t="s">
        <v>1136</v>
      </c>
      <c r="C229" s="129" t="s">
        <v>1137</v>
      </c>
      <c r="D229" s="137" t="s">
        <v>1138</v>
      </c>
      <c r="E229" s="84" t="s">
        <v>1139</v>
      </c>
      <c r="F229" s="113"/>
      <c r="G229" s="131"/>
      <c r="H229" s="186" t="s">
        <v>560</v>
      </c>
      <c r="I229" s="125" t="s">
        <v>326</v>
      </c>
      <c r="J229" s="125" t="s">
        <v>352</v>
      </c>
      <c r="K229" s="125" t="s">
        <v>561</v>
      </c>
      <c r="L229" s="138" t="s">
        <v>507</v>
      </c>
      <c r="M229" s="138" t="s">
        <v>508</v>
      </c>
    </row>
    <row r="230" spans="1:13" s="114" customFormat="1" ht="51">
      <c r="A230" s="136">
        <v>228</v>
      </c>
      <c r="B230" s="129" t="s">
        <v>952</v>
      </c>
      <c r="C230" s="129" t="s">
        <v>1140</v>
      </c>
      <c r="D230" s="137" t="s">
        <v>1141</v>
      </c>
      <c r="E230" s="84" t="s">
        <v>1142</v>
      </c>
      <c r="F230" s="113"/>
      <c r="G230" s="131"/>
      <c r="H230" s="186" t="s">
        <v>1143</v>
      </c>
      <c r="I230" s="125" t="s">
        <v>326</v>
      </c>
      <c r="J230" s="125" t="s">
        <v>352</v>
      </c>
      <c r="K230" s="125" t="s">
        <v>561</v>
      </c>
      <c r="L230" s="138" t="s">
        <v>314</v>
      </c>
      <c r="M230" s="138" t="s">
        <v>953</v>
      </c>
    </row>
    <row r="231" spans="1:13" s="114" customFormat="1" ht="51">
      <c r="A231" s="136">
        <v>229</v>
      </c>
      <c r="B231" s="129" t="s">
        <v>707</v>
      </c>
      <c r="C231" s="129" t="s">
        <v>1144</v>
      </c>
      <c r="D231" s="137" t="s">
        <v>1145</v>
      </c>
      <c r="E231" s="84" t="s">
        <v>1146</v>
      </c>
      <c r="F231" s="113"/>
      <c r="G231" s="131"/>
      <c r="H231" s="186" t="s">
        <v>1147</v>
      </c>
      <c r="I231" s="125" t="s">
        <v>326</v>
      </c>
      <c r="J231" s="125" t="s">
        <v>331</v>
      </c>
      <c r="K231" s="125" t="s">
        <v>530</v>
      </c>
      <c r="L231" s="138" t="s">
        <v>507</v>
      </c>
      <c r="M231" s="138" t="s">
        <v>508</v>
      </c>
    </row>
    <row r="232" spans="1:13" s="114" customFormat="1" ht="51">
      <c r="A232" s="136">
        <v>230</v>
      </c>
      <c r="B232" s="129" t="s">
        <v>1148</v>
      </c>
      <c r="C232" s="129" t="s">
        <v>1149</v>
      </c>
      <c r="D232" s="137" t="s">
        <v>1150</v>
      </c>
      <c r="E232" s="84" t="s">
        <v>1151</v>
      </c>
      <c r="F232" s="113"/>
      <c r="G232" s="131"/>
      <c r="H232" s="186" t="s">
        <v>1152</v>
      </c>
      <c r="I232" s="125" t="s">
        <v>326</v>
      </c>
      <c r="J232" s="125" t="s">
        <v>331</v>
      </c>
      <c r="K232" s="125" t="s">
        <v>530</v>
      </c>
      <c r="L232" s="138" t="s">
        <v>507</v>
      </c>
      <c r="M232" s="138" t="s">
        <v>508</v>
      </c>
    </row>
    <row r="233" spans="1:13" s="114" customFormat="1" ht="51">
      <c r="A233" s="136">
        <v>231</v>
      </c>
      <c r="B233" s="129" t="s">
        <v>1153</v>
      </c>
      <c r="C233" s="129" t="s">
        <v>1149</v>
      </c>
      <c r="D233" s="137" t="s">
        <v>1150</v>
      </c>
      <c r="E233" s="84" t="s">
        <v>1154</v>
      </c>
      <c r="F233" s="113"/>
      <c r="G233" s="131"/>
      <c r="H233" s="186" t="s">
        <v>1148</v>
      </c>
      <c r="I233" s="125" t="s">
        <v>326</v>
      </c>
      <c r="J233" s="125" t="s">
        <v>331</v>
      </c>
      <c r="K233" s="125" t="s">
        <v>530</v>
      </c>
      <c r="L233" s="138" t="s">
        <v>507</v>
      </c>
      <c r="M233" s="138" t="s">
        <v>508</v>
      </c>
    </row>
    <row r="234" spans="1:13" s="114" customFormat="1" ht="51">
      <c r="A234" s="136">
        <v>232</v>
      </c>
      <c r="B234" s="129" t="s">
        <v>1155</v>
      </c>
      <c r="C234" s="129" t="s">
        <v>1149</v>
      </c>
      <c r="D234" s="137" t="s">
        <v>1150</v>
      </c>
      <c r="E234" s="84" t="s">
        <v>1156</v>
      </c>
      <c r="F234" s="113"/>
      <c r="G234" s="131"/>
      <c r="H234" s="186" t="s">
        <v>1148</v>
      </c>
      <c r="I234" s="125" t="s">
        <v>326</v>
      </c>
      <c r="J234" s="125" t="s">
        <v>331</v>
      </c>
      <c r="K234" s="125" t="s">
        <v>530</v>
      </c>
      <c r="L234" s="138" t="s">
        <v>507</v>
      </c>
      <c r="M234" s="138" t="s">
        <v>508</v>
      </c>
    </row>
    <row r="235" spans="1:13" s="114" customFormat="1" ht="51">
      <c r="A235" s="136">
        <v>233</v>
      </c>
      <c r="B235" s="129" t="s">
        <v>1157</v>
      </c>
      <c r="C235" s="129" t="s">
        <v>1149</v>
      </c>
      <c r="D235" s="137" t="s">
        <v>1150</v>
      </c>
      <c r="E235" s="84" t="s">
        <v>1158</v>
      </c>
      <c r="F235" s="113"/>
      <c r="G235" s="131"/>
      <c r="H235" s="186" t="s">
        <v>1148</v>
      </c>
      <c r="I235" s="125" t="s">
        <v>326</v>
      </c>
      <c r="J235" s="125" t="s">
        <v>331</v>
      </c>
      <c r="K235" s="125" t="s">
        <v>530</v>
      </c>
      <c r="L235" s="138" t="s">
        <v>507</v>
      </c>
      <c r="M235" s="138" t="s">
        <v>508</v>
      </c>
    </row>
    <row r="236" spans="1:13" s="114" customFormat="1" ht="51">
      <c r="A236" s="136">
        <v>234</v>
      </c>
      <c r="B236" s="129" t="s">
        <v>1159</v>
      </c>
      <c r="C236" s="129" t="s">
        <v>1149</v>
      </c>
      <c r="D236" s="137" t="s">
        <v>1150</v>
      </c>
      <c r="E236" s="84" t="s">
        <v>1160</v>
      </c>
      <c r="F236" s="113"/>
      <c r="G236" s="131"/>
      <c r="H236" s="186" t="s">
        <v>707</v>
      </c>
      <c r="I236" s="125" t="s">
        <v>326</v>
      </c>
      <c r="J236" s="125" t="s">
        <v>331</v>
      </c>
      <c r="K236" s="125" t="s">
        <v>530</v>
      </c>
      <c r="L236" s="138" t="s">
        <v>507</v>
      </c>
      <c r="M236" s="138" t="s">
        <v>508</v>
      </c>
    </row>
    <row r="237" spans="1:13" s="114" customFormat="1" ht="51">
      <c r="A237" s="136">
        <v>235</v>
      </c>
      <c r="B237" s="129" t="s">
        <v>1161</v>
      </c>
      <c r="C237" s="129" t="s">
        <v>1149</v>
      </c>
      <c r="D237" s="137" t="s">
        <v>1150</v>
      </c>
      <c r="E237" s="84" t="s">
        <v>1162</v>
      </c>
      <c r="F237" s="113"/>
      <c r="G237" s="131"/>
      <c r="H237" s="186" t="s">
        <v>1148</v>
      </c>
      <c r="I237" s="125" t="s">
        <v>326</v>
      </c>
      <c r="J237" s="125" t="s">
        <v>331</v>
      </c>
      <c r="K237" s="125" t="s">
        <v>530</v>
      </c>
      <c r="L237" s="138" t="s">
        <v>507</v>
      </c>
      <c r="M237" s="138" t="s">
        <v>508</v>
      </c>
    </row>
    <row r="238" spans="1:13" s="114" customFormat="1" ht="51">
      <c r="A238" s="136">
        <v>236</v>
      </c>
      <c r="B238" s="129" t="s">
        <v>1163</v>
      </c>
      <c r="C238" s="129" t="s">
        <v>1149</v>
      </c>
      <c r="D238" s="137" t="s">
        <v>1150</v>
      </c>
      <c r="E238" s="84" t="s">
        <v>1164</v>
      </c>
      <c r="F238" s="113"/>
      <c r="G238" s="131"/>
      <c r="H238" s="186" t="s">
        <v>1148</v>
      </c>
      <c r="I238" s="125" t="s">
        <v>326</v>
      </c>
      <c r="J238" s="125" t="s">
        <v>331</v>
      </c>
      <c r="K238" s="125" t="s">
        <v>530</v>
      </c>
      <c r="L238" s="138" t="s">
        <v>507</v>
      </c>
      <c r="M238" s="138" t="s">
        <v>508</v>
      </c>
    </row>
    <row r="239" spans="1:13" s="114" customFormat="1" ht="51">
      <c r="A239" s="136">
        <v>237</v>
      </c>
      <c r="B239" s="129" t="s">
        <v>1165</v>
      </c>
      <c r="C239" s="129" t="s">
        <v>1149</v>
      </c>
      <c r="D239" s="137" t="s">
        <v>1150</v>
      </c>
      <c r="E239" s="84" t="s">
        <v>1166</v>
      </c>
      <c r="F239" s="113"/>
      <c r="G239" s="131"/>
      <c r="H239" s="186" t="s">
        <v>1167</v>
      </c>
      <c r="I239" s="125" t="s">
        <v>326</v>
      </c>
      <c r="J239" s="125" t="s">
        <v>331</v>
      </c>
      <c r="K239" s="125" t="s">
        <v>530</v>
      </c>
      <c r="L239" s="138" t="s">
        <v>507</v>
      </c>
      <c r="M239" s="138" t="s">
        <v>508</v>
      </c>
    </row>
    <row r="240" spans="1:13" s="114" customFormat="1" ht="51">
      <c r="A240" s="136">
        <v>238</v>
      </c>
      <c r="B240" s="129" t="s">
        <v>1168</v>
      </c>
      <c r="C240" s="129" t="s">
        <v>1149</v>
      </c>
      <c r="D240" s="137" t="s">
        <v>1150</v>
      </c>
      <c r="E240" s="84" t="s">
        <v>1169</v>
      </c>
      <c r="F240" s="113"/>
      <c r="G240" s="131"/>
      <c r="H240" s="186" t="s">
        <v>1165</v>
      </c>
      <c r="I240" s="125" t="s">
        <v>326</v>
      </c>
      <c r="J240" s="125" t="s">
        <v>331</v>
      </c>
      <c r="K240" s="125" t="s">
        <v>530</v>
      </c>
      <c r="L240" s="138" t="s">
        <v>507</v>
      </c>
      <c r="M240" s="138" t="s">
        <v>508</v>
      </c>
    </row>
    <row r="241" spans="1:13" s="114" customFormat="1" ht="51">
      <c r="A241" s="136">
        <v>239</v>
      </c>
      <c r="B241" s="129" t="s">
        <v>1170</v>
      </c>
      <c r="C241" s="129" t="s">
        <v>1149</v>
      </c>
      <c r="D241" s="137" t="s">
        <v>1150</v>
      </c>
      <c r="E241" s="84" t="s">
        <v>1171</v>
      </c>
      <c r="F241" s="113"/>
      <c r="G241" s="131"/>
      <c r="H241" s="186" t="s">
        <v>1172</v>
      </c>
      <c r="I241" s="125" t="s">
        <v>326</v>
      </c>
      <c r="J241" s="125" t="s">
        <v>331</v>
      </c>
      <c r="K241" s="125" t="s">
        <v>530</v>
      </c>
      <c r="L241" s="138" t="s">
        <v>507</v>
      </c>
      <c r="M241" s="138" t="s">
        <v>508</v>
      </c>
    </row>
    <row r="242" spans="1:13" s="114" customFormat="1" ht="51">
      <c r="A242" s="136">
        <v>240</v>
      </c>
      <c r="B242" s="129" t="s">
        <v>1173</v>
      </c>
      <c r="C242" s="129" t="s">
        <v>1149</v>
      </c>
      <c r="D242" s="137" t="s">
        <v>1150</v>
      </c>
      <c r="E242" s="84" t="s">
        <v>1174</v>
      </c>
      <c r="F242" s="113"/>
      <c r="G242" s="131"/>
      <c r="H242" s="186" t="s">
        <v>1148</v>
      </c>
      <c r="I242" s="125" t="s">
        <v>326</v>
      </c>
      <c r="J242" s="125" t="s">
        <v>331</v>
      </c>
      <c r="K242" s="125" t="s">
        <v>530</v>
      </c>
      <c r="L242" s="138" t="s">
        <v>507</v>
      </c>
      <c r="M242" s="138" t="s">
        <v>508</v>
      </c>
    </row>
    <row r="243" spans="1:13" s="114" customFormat="1" ht="38.25">
      <c r="A243" s="136">
        <v>241</v>
      </c>
      <c r="B243" s="129" t="s">
        <v>1175</v>
      </c>
      <c r="C243" s="129" t="s">
        <v>1149</v>
      </c>
      <c r="D243" s="137" t="s">
        <v>1150</v>
      </c>
      <c r="E243" s="84" t="s">
        <v>1176</v>
      </c>
      <c r="F243" s="113"/>
      <c r="G243" s="131"/>
      <c r="H243" s="186" t="s">
        <v>1177</v>
      </c>
      <c r="I243" s="125" t="s">
        <v>326</v>
      </c>
      <c r="J243" s="125" t="s">
        <v>331</v>
      </c>
      <c r="K243" s="125" t="s">
        <v>1178</v>
      </c>
      <c r="L243" s="138" t="s">
        <v>507</v>
      </c>
      <c r="M243" s="138" t="s">
        <v>508</v>
      </c>
    </row>
    <row r="244" spans="1:13" s="114" customFormat="1" ht="51">
      <c r="A244" s="136">
        <v>242</v>
      </c>
      <c r="B244" s="129" t="s">
        <v>1179</v>
      </c>
      <c r="C244" s="129" t="s">
        <v>1149</v>
      </c>
      <c r="D244" s="137" t="s">
        <v>1150</v>
      </c>
      <c r="E244" s="84" t="s">
        <v>1180</v>
      </c>
      <c r="F244" s="113"/>
      <c r="G244" s="131"/>
      <c r="H244" s="186" t="s">
        <v>1181</v>
      </c>
      <c r="I244" s="125" t="s">
        <v>326</v>
      </c>
      <c r="J244" s="125" t="s">
        <v>331</v>
      </c>
      <c r="K244" s="125" t="s">
        <v>530</v>
      </c>
      <c r="L244" s="138" t="s">
        <v>507</v>
      </c>
      <c r="M244" s="138" t="s">
        <v>508</v>
      </c>
    </row>
    <row r="245" spans="1:13" s="114" customFormat="1" ht="51">
      <c r="A245" s="136">
        <v>243</v>
      </c>
      <c r="B245" s="129" t="s">
        <v>608</v>
      </c>
      <c r="C245" s="129" t="s">
        <v>1149</v>
      </c>
      <c r="D245" s="137" t="s">
        <v>1150</v>
      </c>
      <c r="E245" s="84" t="s">
        <v>1182</v>
      </c>
      <c r="F245" s="113"/>
      <c r="G245" s="131"/>
      <c r="H245" s="186" t="s">
        <v>1183</v>
      </c>
      <c r="I245" s="125" t="s">
        <v>326</v>
      </c>
      <c r="J245" s="125" t="s">
        <v>331</v>
      </c>
      <c r="K245" s="125" t="s">
        <v>530</v>
      </c>
      <c r="L245" s="138" t="s">
        <v>507</v>
      </c>
      <c r="M245" s="138" t="s">
        <v>508</v>
      </c>
    </row>
    <row r="246" spans="1:13" s="114" customFormat="1" ht="51">
      <c r="A246" s="136">
        <v>244</v>
      </c>
      <c r="B246" s="129" t="s">
        <v>1184</v>
      </c>
      <c r="C246" s="129" t="s">
        <v>1185</v>
      </c>
      <c r="D246" s="137" t="s">
        <v>1186</v>
      </c>
      <c r="E246" s="84" t="s">
        <v>1187</v>
      </c>
      <c r="F246" s="113"/>
      <c r="G246" s="131"/>
      <c r="H246" s="186" t="s">
        <v>608</v>
      </c>
      <c r="I246" s="125" t="s">
        <v>326</v>
      </c>
      <c r="J246" s="125" t="s">
        <v>331</v>
      </c>
      <c r="K246" s="125" t="s">
        <v>530</v>
      </c>
      <c r="L246" s="138" t="s">
        <v>507</v>
      </c>
      <c r="M246" s="138" t="s">
        <v>508</v>
      </c>
    </row>
    <row r="247" spans="1:13" s="114" customFormat="1" ht="25.5">
      <c r="A247" s="136">
        <v>245</v>
      </c>
      <c r="B247" s="129" t="s">
        <v>1188</v>
      </c>
      <c r="C247" s="129" t="s">
        <v>1185</v>
      </c>
      <c r="D247" s="137" t="s">
        <v>1186</v>
      </c>
      <c r="E247" s="84" t="s">
        <v>1189</v>
      </c>
      <c r="F247" s="113"/>
      <c r="G247" s="131"/>
      <c r="H247" s="186" t="s">
        <v>1190</v>
      </c>
      <c r="I247" s="125" t="s">
        <v>326</v>
      </c>
      <c r="J247" s="125" t="s">
        <v>331</v>
      </c>
      <c r="K247" s="125" t="s">
        <v>1191</v>
      </c>
      <c r="L247" s="138" t="s">
        <v>507</v>
      </c>
      <c r="M247" s="138" t="s">
        <v>508</v>
      </c>
    </row>
    <row r="248" spans="1:13" s="114" customFormat="1" ht="51">
      <c r="A248" s="136">
        <v>246</v>
      </c>
      <c r="B248" s="129" t="s">
        <v>1192</v>
      </c>
      <c r="C248" s="129" t="s">
        <v>1185</v>
      </c>
      <c r="D248" s="137" t="s">
        <v>1186</v>
      </c>
      <c r="E248" s="84" t="s">
        <v>1193</v>
      </c>
      <c r="F248" s="113"/>
      <c r="G248" s="131"/>
      <c r="H248" s="186" t="s">
        <v>608</v>
      </c>
      <c r="I248" s="125" t="s">
        <v>326</v>
      </c>
      <c r="J248" s="125" t="s">
        <v>331</v>
      </c>
      <c r="K248" s="125" t="s">
        <v>530</v>
      </c>
      <c r="L248" s="138" t="s">
        <v>507</v>
      </c>
      <c r="M248" s="138" t="s">
        <v>508</v>
      </c>
    </row>
    <row r="249" spans="1:13" s="114" customFormat="1" ht="38.25">
      <c r="A249" s="136">
        <v>247</v>
      </c>
      <c r="B249" s="129" t="s">
        <v>1194</v>
      </c>
      <c r="C249" s="129" t="s">
        <v>1185</v>
      </c>
      <c r="D249" s="137" t="s">
        <v>1186</v>
      </c>
      <c r="E249" s="84" t="s">
        <v>1195</v>
      </c>
      <c r="F249" s="113"/>
      <c r="G249" s="131"/>
      <c r="H249" s="186" t="s">
        <v>1196</v>
      </c>
      <c r="I249" s="125" t="s">
        <v>326</v>
      </c>
      <c r="J249" s="125" t="s">
        <v>331</v>
      </c>
      <c r="K249" s="125" t="s">
        <v>506</v>
      </c>
      <c r="L249" s="138" t="s">
        <v>507</v>
      </c>
      <c r="M249" s="138" t="s">
        <v>508</v>
      </c>
    </row>
    <row r="250" spans="1:13" s="114" customFormat="1" ht="38.25">
      <c r="A250" s="136">
        <v>248</v>
      </c>
      <c r="B250" s="129" t="s">
        <v>1197</v>
      </c>
      <c r="C250" s="129" t="s">
        <v>1198</v>
      </c>
      <c r="D250" s="137" t="s">
        <v>1199</v>
      </c>
      <c r="E250" s="84" t="s">
        <v>1200</v>
      </c>
      <c r="F250" s="113"/>
      <c r="G250" s="131"/>
      <c r="H250" s="186" t="s">
        <v>1196</v>
      </c>
      <c r="I250" s="125" t="s">
        <v>326</v>
      </c>
      <c r="J250" s="125" t="s">
        <v>331</v>
      </c>
      <c r="K250" s="125" t="s">
        <v>506</v>
      </c>
      <c r="L250" s="138" t="s">
        <v>507</v>
      </c>
      <c r="M250" s="138" t="s">
        <v>508</v>
      </c>
    </row>
    <row r="251" spans="1:13" s="114" customFormat="1" ht="38.25">
      <c r="A251" s="136">
        <v>249</v>
      </c>
      <c r="B251" s="129" t="s">
        <v>1201</v>
      </c>
      <c r="C251" s="129" t="s">
        <v>1198</v>
      </c>
      <c r="D251" s="137" t="s">
        <v>1199</v>
      </c>
      <c r="E251" s="84" t="s">
        <v>1202</v>
      </c>
      <c r="F251" s="113"/>
      <c r="G251" s="131"/>
      <c r="H251" s="186" t="s">
        <v>518</v>
      </c>
      <c r="I251" s="125" t="s">
        <v>326</v>
      </c>
      <c r="J251" s="125" t="s">
        <v>331</v>
      </c>
      <c r="K251" s="125" t="s">
        <v>506</v>
      </c>
      <c r="L251" s="138" t="s">
        <v>507</v>
      </c>
      <c r="M251" s="138" t="s">
        <v>508</v>
      </c>
    </row>
    <row r="252" spans="1:13" s="114" customFormat="1" ht="38.25">
      <c r="A252" s="136">
        <v>250</v>
      </c>
      <c r="B252" s="129" t="s">
        <v>1203</v>
      </c>
      <c r="C252" s="129" t="s">
        <v>1198</v>
      </c>
      <c r="D252" s="137" t="s">
        <v>1199</v>
      </c>
      <c r="E252" s="84" t="s">
        <v>1204</v>
      </c>
      <c r="F252" s="113"/>
      <c r="G252" s="131"/>
      <c r="H252" s="186" t="s">
        <v>1196</v>
      </c>
      <c r="I252" s="125" t="s">
        <v>326</v>
      </c>
      <c r="J252" s="125" t="s">
        <v>331</v>
      </c>
      <c r="K252" s="125" t="s">
        <v>506</v>
      </c>
      <c r="L252" s="138" t="s">
        <v>507</v>
      </c>
      <c r="M252" s="138" t="s">
        <v>508</v>
      </c>
    </row>
    <row r="253" spans="1:13" s="114" customFormat="1" ht="38.25">
      <c r="A253" s="136">
        <v>251</v>
      </c>
      <c r="B253" s="129" t="s">
        <v>1205</v>
      </c>
      <c r="C253" s="129" t="s">
        <v>1198</v>
      </c>
      <c r="D253" s="137" t="s">
        <v>1199</v>
      </c>
      <c r="E253" s="84" t="s">
        <v>1206</v>
      </c>
      <c r="F253" s="113"/>
      <c r="G253" s="131"/>
      <c r="H253" s="186" t="s">
        <v>1196</v>
      </c>
      <c r="I253" s="125" t="s">
        <v>326</v>
      </c>
      <c r="J253" s="125" t="s">
        <v>331</v>
      </c>
      <c r="K253" s="125" t="s">
        <v>506</v>
      </c>
      <c r="L253" s="138" t="s">
        <v>507</v>
      </c>
      <c r="M253" s="138" t="s">
        <v>508</v>
      </c>
    </row>
    <row r="254" spans="1:13" s="114" customFormat="1" ht="25.5">
      <c r="A254" s="136">
        <v>252</v>
      </c>
      <c r="B254" s="129" t="s">
        <v>1207</v>
      </c>
      <c r="C254" s="129" t="s">
        <v>1198</v>
      </c>
      <c r="D254" s="137" t="s">
        <v>1199</v>
      </c>
      <c r="E254" s="84" t="s">
        <v>1208</v>
      </c>
      <c r="F254" s="113"/>
      <c r="G254" s="131"/>
      <c r="H254" s="186" t="s">
        <v>1209</v>
      </c>
      <c r="I254" s="125" t="s">
        <v>326</v>
      </c>
      <c r="J254" s="125" t="s">
        <v>331</v>
      </c>
      <c r="K254" s="125" t="s">
        <v>1178</v>
      </c>
      <c r="L254" s="138" t="s">
        <v>507</v>
      </c>
      <c r="M254" s="138" t="s">
        <v>508</v>
      </c>
    </row>
    <row r="255" spans="1:13" s="114" customFormat="1" ht="38.25">
      <c r="A255" s="136">
        <v>253</v>
      </c>
      <c r="B255" s="129" t="s">
        <v>1210</v>
      </c>
      <c r="C255" s="129" t="s">
        <v>1198</v>
      </c>
      <c r="D255" s="137" t="s">
        <v>1199</v>
      </c>
      <c r="E255" s="84" t="s">
        <v>1211</v>
      </c>
      <c r="F255" s="113"/>
      <c r="G255" s="131"/>
      <c r="H255" s="186" t="s">
        <v>1196</v>
      </c>
      <c r="I255" s="125" t="s">
        <v>326</v>
      </c>
      <c r="J255" s="125" t="s">
        <v>331</v>
      </c>
      <c r="K255" s="125" t="s">
        <v>506</v>
      </c>
      <c r="L255" s="138" t="s">
        <v>507</v>
      </c>
      <c r="M255" s="138" t="s">
        <v>508</v>
      </c>
    </row>
    <row r="256" spans="1:13" s="114" customFormat="1" ht="25.5">
      <c r="A256" s="136">
        <v>254</v>
      </c>
      <c r="B256" s="129" t="s">
        <v>1209</v>
      </c>
      <c r="C256" s="129" t="s">
        <v>1198</v>
      </c>
      <c r="D256" s="137" t="s">
        <v>1199</v>
      </c>
      <c r="E256" s="84" t="s">
        <v>1212</v>
      </c>
      <c r="F256" s="113"/>
      <c r="G256" s="131"/>
      <c r="H256" s="186" t="s">
        <v>1213</v>
      </c>
      <c r="I256" s="125" t="s">
        <v>326</v>
      </c>
      <c r="J256" s="125" t="s">
        <v>331</v>
      </c>
      <c r="K256" s="125" t="s">
        <v>1178</v>
      </c>
      <c r="L256" s="138" t="s">
        <v>507</v>
      </c>
      <c r="M256" s="138" t="s">
        <v>508</v>
      </c>
    </row>
    <row r="257" spans="1:13" s="114" customFormat="1" ht="38.25">
      <c r="A257" s="136">
        <v>255</v>
      </c>
      <c r="B257" s="129" t="s">
        <v>1214</v>
      </c>
      <c r="C257" s="129" t="s">
        <v>1198</v>
      </c>
      <c r="D257" s="137" t="s">
        <v>1199</v>
      </c>
      <c r="E257" s="84" t="s">
        <v>1215</v>
      </c>
      <c r="F257" s="113"/>
      <c r="G257" s="131"/>
      <c r="H257" s="186" t="s">
        <v>1196</v>
      </c>
      <c r="I257" s="125" t="s">
        <v>326</v>
      </c>
      <c r="J257" s="125" t="s">
        <v>331</v>
      </c>
      <c r="K257" s="125" t="s">
        <v>506</v>
      </c>
      <c r="L257" s="138" t="s">
        <v>507</v>
      </c>
      <c r="M257" s="138" t="s">
        <v>508</v>
      </c>
    </row>
    <row r="258" spans="1:13" s="114" customFormat="1" ht="25.5">
      <c r="A258" s="136">
        <v>256</v>
      </c>
      <c r="B258" s="129" t="s">
        <v>1216</v>
      </c>
      <c r="C258" s="129" t="s">
        <v>1198</v>
      </c>
      <c r="D258" s="137" t="s">
        <v>1199</v>
      </c>
      <c r="E258" s="84" t="s">
        <v>1217</v>
      </c>
      <c r="F258" s="113"/>
      <c r="G258" s="131"/>
      <c r="H258" s="186" t="s">
        <v>1209</v>
      </c>
      <c r="I258" s="125" t="s">
        <v>326</v>
      </c>
      <c r="J258" s="125" t="s">
        <v>331</v>
      </c>
      <c r="K258" s="125" t="s">
        <v>1178</v>
      </c>
      <c r="L258" s="138" t="s">
        <v>507</v>
      </c>
      <c r="M258" s="138" t="s">
        <v>508</v>
      </c>
    </row>
    <row r="259" spans="1:13" s="114" customFormat="1" ht="38.25">
      <c r="A259" s="136">
        <v>257</v>
      </c>
      <c r="B259" s="129" t="s">
        <v>1218</v>
      </c>
      <c r="C259" s="129" t="s">
        <v>1198</v>
      </c>
      <c r="D259" s="137" t="s">
        <v>1199</v>
      </c>
      <c r="E259" s="84" t="s">
        <v>1219</v>
      </c>
      <c r="F259" s="113"/>
      <c r="G259" s="131"/>
      <c r="H259" s="186" t="s">
        <v>1220</v>
      </c>
      <c r="I259" s="125" t="s">
        <v>326</v>
      </c>
      <c r="J259" s="125" t="s">
        <v>331</v>
      </c>
      <c r="K259" s="125" t="s">
        <v>1178</v>
      </c>
      <c r="L259" s="138" t="s">
        <v>507</v>
      </c>
      <c r="M259" s="138" t="s">
        <v>508</v>
      </c>
    </row>
    <row r="260" spans="1:13" s="114" customFormat="1" ht="25.5">
      <c r="A260" s="136">
        <v>258</v>
      </c>
      <c r="B260" s="129" t="s">
        <v>1221</v>
      </c>
      <c r="C260" s="129" t="s">
        <v>1222</v>
      </c>
      <c r="D260" s="137" t="s">
        <v>1223</v>
      </c>
      <c r="E260" s="84" t="s">
        <v>1224</v>
      </c>
      <c r="F260" s="113"/>
      <c r="G260" s="131"/>
      <c r="H260" s="186" t="s">
        <v>1225</v>
      </c>
      <c r="I260" s="125" t="s">
        <v>326</v>
      </c>
      <c r="J260" s="125" t="s">
        <v>331</v>
      </c>
      <c r="K260" s="125" t="s">
        <v>1178</v>
      </c>
      <c r="L260" s="138" t="s">
        <v>507</v>
      </c>
      <c r="M260" s="138" t="s">
        <v>508</v>
      </c>
    </row>
    <row r="261" spans="1:13" s="114" customFormat="1" ht="38.25">
      <c r="A261" s="136">
        <v>259</v>
      </c>
      <c r="B261" s="129" t="s">
        <v>1226</v>
      </c>
      <c r="C261" s="129" t="s">
        <v>1222</v>
      </c>
      <c r="D261" s="137" t="s">
        <v>1223</v>
      </c>
      <c r="E261" s="84" t="s">
        <v>1227</v>
      </c>
      <c r="F261" s="113"/>
      <c r="G261" s="131"/>
      <c r="H261" s="186" t="s">
        <v>1218</v>
      </c>
      <c r="I261" s="125" t="s">
        <v>326</v>
      </c>
      <c r="J261" s="125" t="s">
        <v>331</v>
      </c>
      <c r="K261" s="125" t="s">
        <v>1178</v>
      </c>
      <c r="L261" s="138" t="s">
        <v>507</v>
      </c>
      <c r="M261" s="138" t="s">
        <v>508</v>
      </c>
    </row>
    <row r="262" spans="1:13" s="114" customFormat="1" ht="25.5">
      <c r="A262" s="136">
        <v>260</v>
      </c>
      <c r="B262" s="129" t="s">
        <v>1228</v>
      </c>
      <c r="C262" s="129" t="s">
        <v>1222</v>
      </c>
      <c r="D262" s="137" t="s">
        <v>1223</v>
      </c>
      <c r="E262" s="84" t="s">
        <v>1229</v>
      </c>
      <c r="F262" s="113"/>
      <c r="G262" s="131"/>
      <c r="H262" s="186" t="s">
        <v>1230</v>
      </c>
      <c r="I262" s="125" t="s">
        <v>326</v>
      </c>
      <c r="J262" s="125" t="s">
        <v>331</v>
      </c>
      <c r="K262" s="125" t="s">
        <v>1178</v>
      </c>
      <c r="L262" s="138" t="s">
        <v>507</v>
      </c>
      <c r="M262" s="138" t="s">
        <v>508</v>
      </c>
    </row>
    <row r="263" spans="1:13" s="114" customFormat="1" ht="38.25">
      <c r="A263" s="136">
        <v>261</v>
      </c>
      <c r="B263" s="129" t="s">
        <v>1231</v>
      </c>
      <c r="C263" s="129" t="s">
        <v>1222</v>
      </c>
      <c r="D263" s="137" t="s">
        <v>1223</v>
      </c>
      <c r="E263" s="84" t="s">
        <v>1232</v>
      </c>
      <c r="F263" s="113"/>
      <c r="G263" s="131"/>
      <c r="H263" s="186" t="s">
        <v>1221</v>
      </c>
      <c r="I263" s="125" t="s">
        <v>326</v>
      </c>
      <c r="J263" s="125" t="s">
        <v>331</v>
      </c>
      <c r="K263" s="125" t="s">
        <v>1178</v>
      </c>
      <c r="L263" s="138" t="s">
        <v>507</v>
      </c>
      <c r="M263" s="138" t="s">
        <v>508</v>
      </c>
    </row>
    <row r="264" spans="1:13" s="114" customFormat="1" ht="38.25">
      <c r="A264" s="136">
        <v>262</v>
      </c>
      <c r="B264" s="129" t="s">
        <v>1233</v>
      </c>
      <c r="C264" s="129" t="s">
        <v>1222</v>
      </c>
      <c r="D264" s="137" t="s">
        <v>1223</v>
      </c>
      <c r="E264" s="84" t="s">
        <v>1234</v>
      </c>
      <c r="F264" s="113"/>
      <c r="G264" s="131"/>
      <c r="H264" s="186" t="s">
        <v>1218</v>
      </c>
      <c r="I264" s="125" t="s">
        <v>326</v>
      </c>
      <c r="J264" s="125" t="s">
        <v>331</v>
      </c>
      <c r="K264" s="125" t="s">
        <v>1178</v>
      </c>
      <c r="L264" s="138" t="s">
        <v>507</v>
      </c>
      <c r="M264" s="138" t="s">
        <v>508</v>
      </c>
    </row>
    <row r="265" spans="1:13" s="114" customFormat="1" ht="25.5">
      <c r="A265" s="136">
        <v>263</v>
      </c>
      <c r="B265" s="129" t="s">
        <v>1235</v>
      </c>
      <c r="C265" s="129" t="s">
        <v>1222</v>
      </c>
      <c r="D265" s="137" t="s">
        <v>1223</v>
      </c>
      <c r="E265" s="84" t="s">
        <v>1236</v>
      </c>
      <c r="F265" s="113"/>
      <c r="G265" s="131"/>
      <c r="H265" s="186" t="s">
        <v>1237</v>
      </c>
      <c r="I265" s="125" t="s">
        <v>326</v>
      </c>
      <c r="J265" s="125" t="s">
        <v>331</v>
      </c>
      <c r="K265" s="125" t="s">
        <v>1178</v>
      </c>
      <c r="L265" s="138" t="s">
        <v>507</v>
      </c>
      <c r="M265" s="138" t="s">
        <v>508</v>
      </c>
    </row>
    <row r="266" spans="1:13" s="114" customFormat="1" ht="76.5">
      <c r="A266" s="136">
        <v>264</v>
      </c>
      <c r="B266" s="129" t="s">
        <v>1238</v>
      </c>
      <c r="C266" s="129" t="s">
        <v>1222</v>
      </c>
      <c r="D266" s="137" t="s">
        <v>1223</v>
      </c>
      <c r="E266" s="84" t="s">
        <v>1239</v>
      </c>
      <c r="F266" s="113"/>
      <c r="G266" s="131"/>
      <c r="H266" s="186" t="s">
        <v>1221</v>
      </c>
      <c r="I266" s="125" t="s">
        <v>326</v>
      </c>
      <c r="J266" s="125" t="s">
        <v>331</v>
      </c>
      <c r="K266" s="125" t="s">
        <v>1178</v>
      </c>
      <c r="L266" s="138" t="s">
        <v>507</v>
      </c>
      <c r="M266" s="138" t="s">
        <v>508</v>
      </c>
    </row>
    <row r="267" spans="1:13" s="114" customFormat="1" ht="76.5">
      <c r="A267" s="136">
        <v>265</v>
      </c>
      <c r="B267" s="129" t="s">
        <v>1240</v>
      </c>
      <c r="C267" s="129" t="s">
        <v>1222</v>
      </c>
      <c r="D267" s="137" t="s">
        <v>1223</v>
      </c>
      <c r="E267" s="84" t="s">
        <v>1241</v>
      </c>
      <c r="F267" s="113"/>
      <c r="G267" s="131"/>
      <c r="H267" s="186" t="s">
        <v>1242</v>
      </c>
      <c r="I267" s="125" t="s">
        <v>326</v>
      </c>
      <c r="J267" s="125" t="s">
        <v>331</v>
      </c>
      <c r="K267" s="125" t="s">
        <v>530</v>
      </c>
      <c r="L267" s="138" t="s">
        <v>507</v>
      </c>
      <c r="M267" s="138" t="s">
        <v>508</v>
      </c>
    </row>
    <row r="268" spans="1:13" s="114" customFormat="1" ht="38.25">
      <c r="A268" s="136">
        <v>266</v>
      </c>
      <c r="B268" s="129" t="s">
        <v>1243</v>
      </c>
      <c r="C268" s="129" t="s">
        <v>1222</v>
      </c>
      <c r="D268" s="137" t="s">
        <v>1223</v>
      </c>
      <c r="E268" s="84" t="s">
        <v>1244</v>
      </c>
      <c r="F268" s="113"/>
      <c r="G268" s="131"/>
      <c r="H268" s="186" t="s">
        <v>1209</v>
      </c>
      <c r="I268" s="125" t="s">
        <v>326</v>
      </c>
      <c r="J268" s="125" t="s">
        <v>331</v>
      </c>
      <c r="K268" s="125" t="s">
        <v>1178</v>
      </c>
      <c r="L268" s="138" t="s">
        <v>507</v>
      </c>
      <c r="M268" s="138" t="s">
        <v>508</v>
      </c>
    </row>
    <row r="269" spans="1:13" s="114" customFormat="1" ht="25.5">
      <c r="A269" s="136">
        <v>267</v>
      </c>
      <c r="B269" s="129" t="s">
        <v>1245</v>
      </c>
      <c r="C269" s="129" t="s">
        <v>1222</v>
      </c>
      <c r="D269" s="137" t="s">
        <v>1223</v>
      </c>
      <c r="E269" s="84" t="s">
        <v>1246</v>
      </c>
      <c r="F269" s="113"/>
      <c r="G269" s="131"/>
      <c r="H269" s="186" t="s">
        <v>1221</v>
      </c>
      <c r="I269" s="125" t="s">
        <v>326</v>
      </c>
      <c r="J269" s="125" t="s">
        <v>331</v>
      </c>
      <c r="K269" s="125" t="s">
        <v>1178</v>
      </c>
      <c r="L269" s="138" t="s">
        <v>507</v>
      </c>
      <c r="M269" s="138" t="s">
        <v>508</v>
      </c>
    </row>
    <row r="270" spans="1:13" s="114" customFormat="1" ht="38.25">
      <c r="A270" s="136">
        <v>268</v>
      </c>
      <c r="B270" s="129" t="s">
        <v>1247</v>
      </c>
      <c r="C270" s="129" t="s">
        <v>1222</v>
      </c>
      <c r="D270" s="137" t="s">
        <v>1223</v>
      </c>
      <c r="E270" s="84" t="s">
        <v>1248</v>
      </c>
      <c r="F270" s="113"/>
      <c r="G270" s="131"/>
      <c r="H270" s="186" t="s">
        <v>1221</v>
      </c>
      <c r="I270" s="125" t="s">
        <v>326</v>
      </c>
      <c r="J270" s="125" t="s">
        <v>331</v>
      </c>
      <c r="K270" s="125" t="s">
        <v>1178</v>
      </c>
      <c r="L270" s="138" t="s">
        <v>507</v>
      </c>
      <c r="M270" s="138" t="s">
        <v>508</v>
      </c>
    </row>
    <row r="271" spans="1:13" s="114" customFormat="1" ht="25.5">
      <c r="A271" s="136">
        <v>269</v>
      </c>
      <c r="B271" s="129" t="s">
        <v>1249</v>
      </c>
      <c r="C271" s="129" t="s">
        <v>1222</v>
      </c>
      <c r="D271" s="137" t="s">
        <v>1223</v>
      </c>
      <c r="E271" s="84" t="s">
        <v>1250</v>
      </c>
      <c r="F271" s="113"/>
      <c r="G271" s="131"/>
      <c r="H271" s="186" t="s">
        <v>1218</v>
      </c>
      <c r="I271" s="125" t="s">
        <v>326</v>
      </c>
      <c r="J271" s="125" t="s">
        <v>331</v>
      </c>
      <c r="K271" s="125" t="s">
        <v>1178</v>
      </c>
      <c r="L271" s="138" t="s">
        <v>507</v>
      </c>
      <c r="M271" s="138" t="s">
        <v>508</v>
      </c>
    </row>
    <row r="272" spans="1:13" s="114" customFormat="1" ht="25.5">
      <c r="A272" s="136">
        <v>270</v>
      </c>
      <c r="B272" s="129" t="s">
        <v>1251</v>
      </c>
      <c r="C272" s="129" t="s">
        <v>1222</v>
      </c>
      <c r="D272" s="137" t="s">
        <v>1223</v>
      </c>
      <c r="E272" s="84" t="s">
        <v>1252</v>
      </c>
      <c r="F272" s="113"/>
      <c r="G272" s="131"/>
      <c r="H272" s="186" t="s">
        <v>567</v>
      </c>
      <c r="I272" s="125" t="s">
        <v>326</v>
      </c>
      <c r="J272" s="125" t="s">
        <v>341</v>
      </c>
      <c r="K272" s="125" t="s">
        <v>570</v>
      </c>
      <c r="L272" s="138" t="s">
        <v>507</v>
      </c>
      <c r="M272" s="138" t="s">
        <v>508</v>
      </c>
    </row>
    <row r="273" spans="1:13" s="114" customFormat="1" ht="51">
      <c r="A273" s="136">
        <v>271</v>
      </c>
      <c r="B273" s="129" t="s">
        <v>1253</v>
      </c>
      <c r="C273" s="129" t="s">
        <v>1222</v>
      </c>
      <c r="D273" s="137" t="s">
        <v>1223</v>
      </c>
      <c r="E273" s="84" t="s">
        <v>1254</v>
      </c>
      <c r="F273" s="113"/>
      <c r="G273" s="131"/>
      <c r="H273" s="186" t="s">
        <v>1170</v>
      </c>
      <c r="I273" s="125" t="s">
        <v>326</v>
      </c>
      <c r="J273" s="125" t="s">
        <v>331</v>
      </c>
      <c r="K273" s="125" t="s">
        <v>530</v>
      </c>
      <c r="L273" s="138" t="s">
        <v>507</v>
      </c>
      <c r="M273" s="138" t="s">
        <v>508</v>
      </c>
    </row>
    <row r="274" spans="1:13" s="114" customFormat="1" ht="25.5">
      <c r="A274" s="136">
        <v>272</v>
      </c>
      <c r="B274" s="129" t="s">
        <v>1255</v>
      </c>
      <c r="C274" s="129" t="s">
        <v>1222</v>
      </c>
      <c r="D274" s="137" t="s">
        <v>1223</v>
      </c>
      <c r="E274" s="84" t="s">
        <v>1256</v>
      </c>
      <c r="F274" s="113"/>
      <c r="G274" s="131"/>
      <c r="H274" s="186" t="s">
        <v>1175</v>
      </c>
      <c r="I274" s="125" t="s">
        <v>326</v>
      </c>
      <c r="J274" s="125" t="s">
        <v>331</v>
      </c>
      <c r="K274" s="125" t="s">
        <v>1178</v>
      </c>
      <c r="L274" s="138" t="s">
        <v>507</v>
      </c>
      <c r="M274" s="138" t="s">
        <v>508</v>
      </c>
    </row>
    <row r="275" spans="1:13" s="114" customFormat="1" ht="51">
      <c r="A275" s="136">
        <v>273</v>
      </c>
      <c r="B275" s="129" t="s">
        <v>1257</v>
      </c>
      <c r="C275" s="129" t="s">
        <v>1222</v>
      </c>
      <c r="D275" s="137" t="s">
        <v>1223</v>
      </c>
      <c r="E275" s="84" t="s">
        <v>1258</v>
      </c>
      <c r="F275" s="113"/>
      <c r="G275" s="131"/>
      <c r="H275" s="186" t="s">
        <v>1148</v>
      </c>
      <c r="I275" s="125" t="s">
        <v>326</v>
      </c>
      <c r="J275" s="125" t="s">
        <v>331</v>
      </c>
      <c r="K275" s="125" t="s">
        <v>530</v>
      </c>
      <c r="L275" s="138" t="s">
        <v>507</v>
      </c>
      <c r="M275" s="138" t="s">
        <v>508</v>
      </c>
    </row>
    <row r="276" spans="1:13" s="114" customFormat="1" ht="51">
      <c r="A276" s="136">
        <v>274</v>
      </c>
      <c r="B276" s="129" t="s">
        <v>1259</v>
      </c>
      <c r="C276" s="129" t="s">
        <v>1222</v>
      </c>
      <c r="D276" s="137" t="s">
        <v>1223</v>
      </c>
      <c r="E276" s="84" t="s">
        <v>1260</v>
      </c>
      <c r="F276" s="113"/>
      <c r="G276" s="131"/>
      <c r="H276" s="186" t="s">
        <v>1240</v>
      </c>
      <c r="I276" s="125" t="s">
        <v>326</v>
      </c>
      <c r="J276" s="125" t="s">
        <v>331</v>
      </c>
      <c r="K276" s="125" t="s">
        <v>530</v>
      </c>
      <c r="L276" s="138" t="s">
        <v>507</v>
      </c>
      <c r="M276" s="138" t="s">
        <v>508</v>
      </c>
    </row>
    <row r="277" spans="1:13" s="114" customFormat="1" ht="51">
      <c r="A277" s="136">
        <v>275</v>
      </c>
      <c r="B277" s="129" t="s">
        <v>1261</v>
      </c>
      <c r="C277" s="129" t="s">
        <v>1222</v>
      </c>
      <c r="D277" s="137" t="s">
        <v>1223</v>
      </c>
      <c r="E277" s="84" t="s">
        <v>1262</v>
      </c>
      <c r="F277" s="113"/>
      <c r="G277" s="131"/>
      <c r="H277" s="186" t="s">
        <v>1263</v>
      </c>
      <c r="I277" s="125" t="s">
        <v>326</v>
      </c>
      <c r="J277" s="125" t="s">
        <v>331</v>
      </c>
      <c r="K277" s="125" t="s">
        <v>530</v>
      </c>
      <c r="L277" s="138" t="s">
        <v>507</v>
      </c>
      <c r="M277" s="138" t="s">
        <v>508</v>
      </c>
    </row>
    <row r="278" spans="1:13" s="114" customFormat="1" ht="25.5">
      <c r="A278" s="136">
        <v>276</v>
      </c>
      <c r="B278" s="129" t="s">
        <v>1264</v>
      </c>
      <c r="C278" s="129" t="s">
        <v>1222</v>
      </c>
      <c r="D278" s="137" t="s">
        <v>1223</v>
      </c>
      <c r="E278" s="84" t="s">
        <v>1265</v>
      </c>
      <c r="F278" s="113"/>
      <c r="G278" s="131"/>
      <c r="H278" s="186" t="s">
        <v>1218</v>
      </c>
      <c r="I278" s="125" t="s">
        <v>326</v>
      </c>
      <c r="J278" s="125" t="s">
        <v>331</v>
      </c>
      <c r="K278" s="125" t="s">
        <v>1178</v>
      </c>
      <c r="L278" s="138" t="s">
        <v>507</v>
      </c>
      <c r="M278" s="138" t="s">
        <v>508</v>
      </c>
    </row>
    <row r="279" spans="1:13" s="114" customFormat="1" ht="51">
      <c r="A279" s="136">
        <v>277</v>
      </c>
      <c r="B279" s="129" t="s">
        <v>1266</v>
      </c>
      <c r="C279" s="129" t="s">
        <v>1222</v>
      </c>
      <c r="D279" s="137" t="s">
        <v>1223</v>
      </c>
      <c r="E279" s="84" t="s">
        <v>1267</v>
      </c>
      <c r="F279" s="113"/>
      <c r="G279" s="131"/>
      <c r="H279" s="186" t="s">
        <v>1240</v>
      </c>
      <c r="I279" s="125" t="s">
        <v>326</v>
      </c>
      <c r="J279" s="125" t="s">
        <v>331</v>
      </c>
      <c r="K279" s="125" t="s">
        <v>530</v>
      </c>
      <c r="L279" s="138" t="s">
        <v>507</v>
      </c>
      <c r="M279" s="138" t="s">
        <v>508</v>
      </c>
    </row>
    <row r="280" spans="1:13" s="114" customFormat="1" ht="38.25">
      <c r="A280" s="136">
        <v>278</v>
      </c>
      <c r="B280" s="129" t="s">
        <v>1268</v>
      </c>
      <c r="C280" s="129" t="s">
        <v>1222</v>
      </c>
      <c r="D280" s="137" t="s">
        <v>1223</v>
      </c>
      <c r="E280" s="84" t="s">
        <v>1269</v>
      </c>
      <c r="F280" s="113"/>
      <c r="G280" s="131"/>
      <c r="H280" s="186" t="s">
        <v>905</v>
      </c>
      <c r="I280" s="125" t="s">
        <v>326</v>
      </c>
      <c r="J280" s="125" t="s">
        <v>331</v>
      </c>
      <c r="K280" s="125" t="s">
        <v>506</v>
      </c>
      <c r="L280" s="138" t="s">
        <v>507</v>
      </c>
      <c r="M280" s="138" t="s">
        <v>508</v>
      </c>
    </row>
    <row r="281" spans="1:13" s="114" customFormat="1" ht="38.25">
      <c r="A281" s="136">
        <v>279</v>
      </c>
      <c r="B281" s="129" t="s">
        <v>1270</v>
      </c>
      <c r="C281" s="129" t="s">
        <v>1222</v>
      </c>
      <c r="D281" s="137" t="s">
        <v>1223</v>
      </c>
      <c r="E281" s="84" t="s">
        <v>1271</v>
      </c>
      <c r="F281" s="113"/>
      <c r="G281" s="131"/>
      <c r="H281" s="186" t="s">
        <v>567</v>
      </c>
      <c r="I281" s="125" t="s">
        <v>326</v>
      </c>
      <c r="J281" s="125" t="s">
        <v>341</v>
      </c>
      <c r="K281" s="125" t="s">
        <v>570</v>
      </c>
      <c r="L281" s="138" t="s">
        <v>507</v>
      </c>
      <c r="M281" s="138" t="s">
        <v>508</v>
      </c>
    </row>
    <row r="282" spans="1:13" s="114" customFormat="1" ht="51">
      <c r="A282" s="136">
        <v>280</v>
      </c>
      <c r="B282" s="129" t="s">
        <v>1272</v>
      </c>
      <c r="C282" s="129" t="s">
        <v>1273</v>
      </c>
      <c r="D282" s="137" t="s">
        <v>1274</v>
      </c>
      <c r="E282" s="84" t="s">
        <v>1275</v>
      </c>
      <c r="F282" s="113"/>
      <c r="G282" s="131"/>
      <c r="H282" s="186" t="s">
        <v>1276</v>
      </c>
      <c r="I282" s="125" t="s">
        <v>326</v>
      </c>
      <c r="J282" s="125" t="s">
        <v>331</v>
      </c>
      <c r="K282" s="125" t="s">
        <v>530</v>
      </c>
      <c r="L282" s="138" t="s">
        <v>507</v>
      </c>
      <c r="M282" s="138" t="s">
        <v>508</v>
      </c>
    </row>
    <row r="283" spans="1:13" s="114" customFormat="1" ht="51">
      <c r="A283" s="136">
        <v>281</v>
      </c>
      <c r="B283" s="129" t="s">
        <v>1277</v>
      </c>
      <c r="C283" s="129" t="s">
        <v>1278</v>
      </c>
      <c r="D283" s="137" t="s">
        <v>1279</v>
      </c>
      <c r="E283" s="84" t="s">
        <v>1280</v>
      </c>
      <c r="F283" s="113"/>
      <c r="G283" s="131"/>
      <c r="H283" s="186" t="s">
        <v>707</v>
      </c>
      <c r="I283" s="125" t="s">
        <v>326</v>
      </c>
      <c r="J283" s="125" t="s">
        <v>331</v>
      </c>
      <c r="K283" s="125" t="s">
        <v>530</v>
      </c>
      <c r="L283" s="138" t="s">
        <v>507</v>
      </c>
      <c r="M283" s="138" t="s">
        <v>508</v>
      </c>
    </row>
    <row r="284" spans="1:13" s="114" customFormat="1" ht="38.25">
      <c r="A284" s="136">
        <v>282</v>
      </c>
      <c r="B284" s="129" t="s">
        <v>1281</v>
      </c>
      <c r="C284" s="129" t="s">
        <v>1282</v>
      </c>
      <c r="D284" s="137" t="s">
        <v>1283</v>
      </c>
      <c r="E284" s="84" t="s">
        <v>1284</v>
      </c>
      <c r="F284" s="113"/>
      <c r="G284" s="131"/>
      <c r="H284" s="186" t="s">
        <v>1175</v>
      </c>
      <c r="I284" s="125" t="s">
        <v>326</v>
      </c>
      <c r="J284" s="125" t="s">
        <v>331</v>
      </c>
      <c r="K284" s="125" t="s">
        <v>1178</v>
      </c>
      <c r="L284" s="138" t="s">
        <v>507</v>
      </c>
      <c r="M284" s="138" t="s">
        <v>508</v>
      </c>
    </row>
    <row r="285" spans="1:13" s="114" customFormat="1" ht="38.25">
      <c r="A285" s="136">
        <v>283</v>
      </c>
      <c r="B285" s="129" t="s">
        <v>1285</v>
      </c>
      <c r="C285" s="129" t="s">
        <v>1282</v>
      </c>
      <c r="D285" s="137" t="s">
        <v>1283</v>
      </c>
      <c r="E285" s="84" t="s">
        <v>1286</v>
      </c>
      <c r="F285" s="113"/>
      <c r="G285" s="131"/>
      <c r="H285" s="186" t="s">
        <v>1175</v>
      </c>
      <c r="I285" s="125" t="s">
        <v>326</v>
      </c>
      <c r="J285" s="125" t="s">
        <v>331</v>
      </c>
      <c r="K285" s="125" t="s">
        <v>1178</v>
      </c>
      <c r="L285" s="138" t="s">
        <v>507</v>
      </c>
      <c r="M285" s="138" t="s">
        <v>508</v>
      </c>
    </row>
    <row r="286" spans="1:13" s="114" customFormat="1" ht="51">
      <c r="A286" s="136">
        <v>284</v>
      </c>
      <c r="B286" s="129" t="s">
        <v>1287</v>
      </c>
      <c r="C286" s="129" t="s">
        <v>1282</v>
      </c>
      <c r="D286" s="137" t="s">
        <v>1283</v>
      </c>
      <c r="E286" s="84" t="s">
        <v>1288</v>
      </c>
      <c r="F286" s="113"/>
      <c r="G286" s="131"/>
      <c r="H286" s="186" t="s">
        <v>1272</v>
      </c>
      <c r="I286" s="125" t="s">
        <v>326</v>
      </c>
      <c r="J286" s="125" t="s">
        <v>331</v>
      </c>
      <c r="K286" s="125" t="s">
        <v>530</v>
      </c>
      <c r="L286" s="138" t="s">
        <v>507</v>
      </c>
      <c r="M286" s="138" t="s">
        <v>508</v>
      </c>
    </row>
    <row r="287" spans="1:13" s="114" customFormat="1" ht="38.25">
      <c r="A287" s="136">
        <v>285</v>
      </c>
      <c r="B287" s="129" t="s">
        <v>1289</v>
      </c>
      <c r="C287" s="129" t="s">
        <v>1282</v>
      </c>
      <c r="D287" s="137" t="s">
        <v>1283</v>
      </c>
      <c r="E287" s="84" t="s">
        <v>1290</v>
      </c>
      <c r="F287" s="113"/>
      <c r="G287" s="131"/>
      <c r="H287" s="186" t="s">
        <v>1175</v>
      </c>
      <c r="I287" s="125" t="s">
        <v>326</v>
      </c>
      <c r="J287" s="125" t="s">
        <v>331</v>
      </c>
      <c r="K287" s="125" t="s">
        <v>1178</v>
      </c>
      <c r="L287" s="138" t="s">
        <v>507</v>
      </c>
      <c r="M287" s="138" t="s">
        <v>508</v>
      </c>
    </row>
    <row r="288" spans="1:13" s="114" customFormat="1" ht="51">
      <c r="A288" s="136">
        <v>286</v>
      </c>
      <c r="B288" s="129" t="s">
        <v>1291</v>
      </c>
      <c r="C288" s="129" t="s">
        <v>1282</v>
      </c>
      <c r="D288" s="137" t="s">
        <v>1283</v>
      </c>
      <c r="E288" s="84" t="s">
        <v>1292</v>
      </c>
      <c r="F288" s="113"/>
      <c r="G288" s="131"/>
      <c r="H288" s="186" t="s">
        <v>608</v>
      </c>
      <c r="I288" s="125" t="s">
        <v>326</v>
      </c>
      <c r="J288" s="125" t="s">
        <v>331</v>
      </c>
      <c r="K288" s="125" t="s">
        <v>530</v>
      </c>
      <c r="L288" s="138" t="s">
        <v>507</v>
      </c>
      <c r="M288" s="138" t="s">
        <v>508</v>
      </c>
    </row>
    <row r="289" spans="1:13" s="114" customFormat="1" ht="38.25">
      <c r="A289" s="136">
        <v>287</v>
      </c>
      <c r="B289" s="129" t="s">
        <v>1293</v>
      </c>
      <c r="C289" s="129" t="s">
        <v>1294</v>
      </c>
      <c r="D289" s="137" t="s">
        <v>1295</v>
      </c>
      <c r="E289" s="84" t="s">
        <v>1296</v>
      </c>
      <c r="F289" s="113"/>
      <c r="G289" s="131"/>
      <c r="H289" s="186" t="s">
        <v>905</v>
      </c>
      <c r="I289" s="125" t="s">
        <v>326</v>
      </c>
      <c r="J289" s="125" t="s">
        <v>331</v>
      </c>
      <c r="K289" s="125" t="s">
        <v>506</v>
      </c>
      <c r="L289" s="138" t="s">
        <v>507</v>
      </c>
      <c r="M289" s="138" t="s">
        <v>508</v>
      </c>
    </row>
    <row r="290" spans="1:13" s="114" customFormat="1" ht="51">
      <c r="A290" s="136">
        <v>288</v>
      </c>
      <c r="B290" s="129" t="s">
        <v>1297</v>
      </c>
      <c r="C290" s="129" t="s">
        <v>1294</v>
      </c>
      <c r="D290" s="137" t="s">
        <v>1295</v>
      </c>
      <c r="E290" s="84" t="s">
        <v>1298</v>
      </c>
      <c r="F290" s="113"/>
      <c r="G290" s="131"/>
      <c r="H290" s="186" t="s">
        <v>1148</v>
      </c>
      <c r="I290" s="125" t="s">
        <v>326</v>
      </c>
      <c r="J290" s="125" t="s">
        <v>331</v>
      </c>
      <c r="K290" s="125" t="s">
        <v>530</v>
      </c>
      <c r="L290" s="138" t="s">
        <v>507</v>
      </c>
      <c r="M290" s="138" t="s">
        <v>508</v>
      </c>
    </row>
    <row r="291" spans="1:13" s="114" customFormat="1" ht="51">
      <c r="A291" s="136">
        <v>289</v>
      </c>
      <c r="B291" s="129" t="s">
        <v>1299</v>
      </c>
      <c r="C291" s="129" t="s">
        <v>1300</v>
      </c>
      <c r="D291" s="137" t="s">
        <v>1301</v>
      </c>
      <c r="E291" s="84" t="s">
        <v>1302</v>
      </c>
      <c r="F291" s="113"/>
      <c r="G291" s="131"/>
      <c r="H291" s="186" t="s">
        <v>1303</v>
      </c>
      <c r="I291" s="125" t="s">
        <v>326</v>
      </c>
      <c r="J291" s="125" t="s">
        <v>331</v>
      </c>
      <c r="K291" s="125" t="s">
        <v>530</v>
      </c>
      <c r="L291" s="138" t="s">
        <v>507</v>
      </c>
      <c r="M291" s="138" t="s">
        <v>508</v>
      </c>
    </row>
    <row r="292" spans="1:13" s="114" customFormat="1" ht="51">
      <c r="A292" s="136">
        <v>290</v>
      </c>
      <c r="B292" s="129" t="s">
        <v>1304</v>
      </c>
      <c r="C292" s="125" t="s">
        <v>1305</v>
      </c>
      <c r="D292" s="125" t="s">
        <v>1306</v>
      </c>
      <c r="E292" s="113" t="s">
        <v>1307</v>
      </c>
      <c r="F292" s="113"/>
      <c r="G292" s="131"/>
      <c r="H292" s="186" t="s">
        <v>1308</v>
      </c>
      <c r="I292" s="125" t="s">
        <v>326</v>
      </c>
      <c r="J292" s="125" t="s">
        <v>346</v>
      </c>
      <c r="K292" s="125" t="s">
        <v>1309</v>
      </c>
      <c r="L292" s="125" t="s">
        <v>507</v>
      </c>
      <c r="M292" s="125" t="s">
        <v>508</v>
      </c>
    </row>
    <row r="293" spans="1:13" s="114" customFormat="1" ht="38.25">
      <c r="A293" s="136">
        <v>291</v>
      </c>
      <c r="B293" s="129" t="s">
        <v>1308</v>
      </c>
      <c r="C293" s="129" t="s">
        <v>1310</v>
      </c>
      <c r="D293" s="137" t="s">
        <v>1311</v>
      </c>
      <c r="E293" s="84" t="s">
        <v>1312</v>
      </c>
      <c r="F293" s="113"/>
      <c r="G293" s="131"/>
      <c r="H293" s="186" t="s">
        <v>1313</v>
      </c>
      <c r="I293" s="125" t="s">
        <v>326</v>
      </c>
      <c r="J293" s="125" t="s">
        <v>346</v>
      </c>
      <c r="K293" s="125" t="s">
        <v>1309</v>
      </c>
      <c r="L293" s="138" t="s">
        <v>507</v>
      </c>
      <c r="M293" s="138" t="s">
        <v>508</v>
      </c>
    </row>
    <row r="294" spans="1:13" s="114" customFormat="1" ht="38.25">
      <c r="A294" s="136">
        <v>292</v>
      </c>
      <c r="B294" s="129" t="s">
        <v>1314</v>
      </c>
      <c r="C294" s="129" t="s">
        <v>1305</v>
      </c>
      <c r="D294" s="137" t="s">
        <v>1306</v>
      </c>
      <c r="E294" s="84" t="s">
        <v>1315</v>
      </c>
      <c r="F294" s="113"/>
      <c r="G294" s="131"/>
      <c r="H294" s="186" t="s">
        <v>1308</v>
      </c>
      <c r="I294" s="125" t="s">
        <v>326</v>
      </c>
      <c r="J294" s="125" t="s">
        <v>346</v>
      </c>
      <c r="K294" s="125" t="s">
        <v>1309</v>
      </c>
      <c r="L294" s="138" t="s">
        <v>507</v>
      </c>
      <c r="M294" s="138" t="s">
        <v>508</v>
      </c>
    </row>
    <row r="295" spans="1:13" s="114" customFormat="1" ht="38.25">
      <c r="A295" s="136">
        <v>293</v>
      </c>
      <c r="B295" s="129" t="s">
        <v>1316</v>
      </c>
      <c r="C295" s="125" t="s">
        <v>1305</v>
      </c>
      <c r="D295" s="125" t="s">
        <v>1306</v>
      </c>
      <c r="E295" s="113" t="s">
        <v>1317</v>
      </c>
      <c r="F295" s="113"/>
      <c r="G295" s="131"/>
      <c r="H295" s="186" t="s">
        <v>1308</v>
      </c>
      <c r="I295" s="125" t="s">
        <v>326</v>
      </c>
      <c r="J295" s="125" t="s">
        <v>346</v>
      </c>
      <c r="K295" s="125" t="s">
        <v>1309</v>
      </c>
      <c r="L295" s="125" t="s">
        <v>507</v>
      </c>
      <c r="M295" s="125" t="s">
        <v>508</v>
      </c>
    </row>
    <row r="296" spans="1:13" s="114" customFormat="1" ht="38.25">
      <c r="A296" s="136">
        <v>294</v>
      </c>
      <c r="B296" s="129" t="s">
        <v>1318</v>
      </c>
      <c r="C296" s="125" t="s">
        <v>1305</v>
      </c>
      <c r="D296" s="125" t="s">
        <v>1306</v>
      </c>
      <c r="E296" s="113" t="s">
        <v>1319</v>
      </c>
      <c r="F296" s="113"/>
      <c r="G296" s="131"/>
      <c r="H296" s="186" t="s">
        <v>1308</v>
      </c>
      <c r="I296" s="125" t="s">
        <v>326</v>
      </c>
      <c r="J296" s="125" t="s">
        <v>346</v>
      </c>
      <c r="K296" s="125" t="s">
        <v>1309</v>
      </c>
      <c r="L296" s="125" t="s">
        <v>507</v>
      </c>
      <c r="M296" s="125" t="s">
        <v>508</v>
      </c>
    </row>
    <row r="297" spans="1:13" s="114" customFormat="1" ht="38.25">
      <c r="A297" s="136">
        <v>295</v>
      </c>
      <c r="B297" s="129" t="s">
        <v>1320</v>
      </c>
      <c r="C297" s="125" t="s">
        <v>1321</v>
      </c>
      <c r="D297" s="125" t="s">
        <v>1322</v>
      </c>
      <c r="E297" s="113" t="s">
        <v>1323</v>
      </c>
      <c r="F297" s="113"/>
      <c r="G297" s="131"/>
      <c r="H297" s="186" t="s">
        <v>1308</v>
      </c>
      <c r="I297" s="125" t="s">
        <v>326</v>
      </c>
      <c r="J297" s="125" t="s">
        <v>346</v>
      </c>
      <c r="K297" s="125" t="s">
        <v>1309</v>
      </c>
      <c r="L297" s="125" t="s">
        <v>507</v>
      </c>
      <c r="M297" s="125" t="s">
        <v>508</v>
      </c>
    </row>
    <row r="298" spans="1:13" s="114" customFormat="1" ht="38.25">
      <c r="A298" s="136">
        <v>296</v>
      </c>
      <c r="B298" s="129" t="s">
        <v>1324</v>
      </c>
      <c r="C298" s="125" t="s">
        <v>1325</v>
      </c>
      <c r="D298" s="125" t="s">
        <v>1326</v>
      </c>
      <c r="E298" s="113" t="s">
        <v>1327</v>
      </c>
      <c r="F298" s="113"/>
      <c r="G298" s="131"/>
      <c r="H298" s="186" t="s">
        <v>1308</v>
      </c>
      <c r="I298" s="125" t="s">
        <v>326</v>
      </c>
      <c r="J298" s="125" t="s">
        <v>346</v>
      </c>
      <c r="K298" s="125" t="s">
        <v>1309</v>
      </c>
      <c r="L298" s="125" t="s">
        <v>507</v>
      </c>
      <c r="M298" s="125" t="s">
        <v>508</v>
      </c>
    </row>
    <row r="299" spans="1:13" s="114" customFormat="1" ht="25.5">
      <c r="A299" s="136">
        <v>297</v>
      </c>
      <c r="B299" s="129" t="s">
        <v>1328</v>
      </c>
      <c r="C299" s="129" t="s">
        <v>1305</v>
      </c>
      <c r="D299" s="137" t="s">
        <v>1306</v>
      </c>
      <c r="E299" s="84" t="s">
        <v>1329</v>
      </c>
      <c r="F299" s="113"/>
      <c r="G299" s="131"/>
      <c r="H299" s="186" t="s">
        <v>1330</v>
      </c>
      <c r="I299" s="125" t="s">
        <v>326</v>
      </c>
      <c r="J299" s="125" t="s">
        <v>352</v>
      </c>
      <c r="K299" s="125" t="s">
        <v>781</v>
      </c>
      <c r="L299" s="138" t="s">
        <v>507</v>
      </c>
      <c r="M299" s="138" t="s">
        <v>508</v>
      </c>
    </row>
    <row r="300" spans="1:13" s="114" customFormat="1" ht="25.5">
      <c r="A300" s="136">
        <v>298</v>
      </c>
      <c r="B300" s="129" t="s">
        <v>1331</v>
      </c>
      <c r="C300" s="129" t="s">
        <v>1332</v>
      </c>
      <c r="D300" s="137" t="s">
        <v>1333</v>
      </c>
      <c r="E300" s="84" t="s">
        <v>1334</v>
      </c>
      <c r="F300" s="113"/>
      <c r="G300" s="131"/>
      <c r="H300" s="186" t="s">
        <v>1335</v>
      </c>
      <c r="I300" s="125" t="s">
        <v>326</v>
      </c>
      <c r="J300" s="125" t="s">
        <v>349</v>
      </c>
      <c r="K300" s="125" t="s">
        <v>1336</v>
      </c>
      <c r="L300" s="138" t="s">
        <v>507</v>
      </c>
      <c r="M300" s="138" t="s">
        <v>508</v>
      </c>
    </row>
    <row r="301" spans="1:13" s="114" customFormat="1" ht="38.25">
      <c r="A301" s="136">
        <v>299</v>
      </c>
      <c r="B301" s="129" t="s">
        <v>1337</v>
      </c>
      <c r="C301" s="129" t="s">
        <v>1332</v>
      </c>
      <c r="D301" s="137" t="s">
        <v>1333</v>
      </c>
      <c r="E301" s="84" t="s">
        <v>1338</v>
      </c>
      <c r="F301" s="113"/>
      <c r="G301" s="131"/>
      <c r="H301" s="186" t="s">
        <v>1221</v>
      </c>
      <c r="I301" s="125" t="s">
        <v>326</v>
      </c>
      <c r="J301" s="125" t="s">
        <v>331</v>
      </c>
      <c r="K301" s="125" t="s">
        <v>1178</v>
      </c>
      <c r="L301" s="138" t="s">
        <v>507</v>
      </c>
      <c r="M301" s="138" t="s">
        <v>508</v>
      </c>
    </row>
    <row r="302" spans="1:13" s="114" customFormat="1" ht="25.5">
      <c r="A302" s="136">
        <v>300</v>
      </c>
      <c r="B302" s="129" t="s">
        <v>1339</v>
      </c>
      <c r="C302" s="129" t="s">
        <v>1340</v>
      </c>
      <c r="D302" s="137" t="s">
        <v>1341</v>
      </c>
      <c r="E302" s="84" t="s">
        <v>1342</v>
      </c>
      <c r="F302" s="113"/>
      <c r="G302" s="131"/>
      <c r="H302" s="186" t="s">
        <v>804</v>
      </c>
      <c r="I302" s="125" t="s">
        <v>326</v>
      </c>
      <c r="J302" s="125" t="s">
        <v>352</v>
      </c>
      <c r="K302" s="125" t="s">
        <v>526</v>
      </c>
      <c r="L302" s="138" t="s">
        <v>507</v>
      </c>
      <c r="M302" s="138" t="s">
        <v>508</v>
      </c>
    </row>
    <row r="303" spans="1:13" s="114" customFormat="1" ht="51">
      <c r="A303" s="136">
        <v>301</v>
      </c>
      <c r="B303" s="129" t="s">
        <v>1343</v>
      </c>
      <c r="C303" s="129" t="s">
        <v>1340</v>
      </c>
      <c r="D303" s="137" t="s">
        <v>1341</v>
      </c>
      <c r="E303" s="84" t="s">
        <v>1344</v>
      </c>
      <c r="F303" s="113"/>
      <c r="G303" s="131"/>
      <c r="H303" s="186" t="s">
        <v>1345</v>
      </c>
      <c r="I303" s="125" t="s">
        <v>326</v>
      </c>
      <c r="J303" s="125" t="s">
        <v>349</v>
      </c>
      <c r="K303" s="125" t="s">
        <v>1346</v>
      </c>
      <c r="L303" s="138" t="s">
        <v>507</v>
      </c>
      <c r="M303" s="138" t="s">
        <v>508</v>
      </c>
    </row>
    <row r="304" spans="1:13" s="114" customFormat="1" ht="51">
      <c r="A304" s="136">
        <v>302</v>
      </c>
      <c r="B304" s="129" t="s">
        <v>1347</v>
      </c>
      <c r="C304" s="129" t="s">
        <v>1340</v>
      </c>
      <c r="D304" s="137" t="s">
        <v>1341</v>
      </c>
      <c r="E304" s="84" t="s">
        <v>1348</v>
      </c>
      <c r="F304" s="113"/>
      <c r="G304" s="131"/>
      <c r="H304" s="186" t="s">
        <v>1349</v>
      </c>
      <c r="I304" s="125" t="s">
        <v>326</v>
      </c>
      <c r="J304" s="125" t="s">
        <v>349</v>
      </c>
      <c r="K304" s="125" t="s">
        <v>1346</v>
      </c>
      <c r="L304" s="138" t="s">
        <v>507</v>
      </c>
      <c r="M304" s="138" t="s">
        <v>508</v>
      </c>
    </row>
    <row r="305" spans="1:13" s="114" customFormat="1" ht="25.5">
      <c r="A305" s="136">
        <v>303</v>
      </c>
      <c r="B305" s="129" t="s">
        <v>1350</v>
      </c>
      <c r="C305" s="129" t="s">
        <v>1340</v>
      </c>
      <c r="D305" s="137" t="s">
        <v>1341</v>
      </c>
      <c r="E305" s="84" t="s">
        <v>1351</v>
      </c>
      <c r="F305" s="113"/>
      <c r="G305" s="131"/>
      <c r="H305" s="186" t="s">
        <v>617</v>
      </c>
      <c r="I305" s="125" t="s">
        <v>326</v>
      </c>
      <c r="J305" s="125" t="s">
        <v>331</v>
      </c>
      <c r="K305" s="125" t="s">
        <v>618</v>
      </c>
      <c r="L305" s="138" t="s">
        <v>507</v>
      </c>
      <c r="M305" s="138" t="s">
        <v>508</v>
      </c>
    </row>
    <row r="306" spans="1:13" s="114" customFormat="1" ht="38.25">
      <c r="A306" s="136">
        <v>304</v>
      </c>
      <c r="B306" s="129" t="s">
        <v>1352</v>
      </c>
      <c r="C306" s="129" t="s">
        <v>1340</v>
      </c>
      <c r="D306" s="137" t="s">
        <v>1341</v>
      </c>
      <c r="E306" s="84" t="s">
        <v>1353</v>
      </c>
      <c r="F306" s="113"/>
      <c r="G306" s="131"/>
      <c r="H306" s="186" t="s">
        <v>1343</v>
      </c>
      <c r="I306" s="125" t="s">
        <v>326</v>
      </c>
      <c r="J306" s="125" t="s">
        <v>349</v>
      </c>
      <c r="K306" s="125" t="s">
        <v>1346</v>
      </c>
      <c r="L306" s="138" t="s">
        <v>507</v>
      </c>
      <c r="M306" s="138" t="s">
        <v>508</v>
      </c>
    </row>
    <row r="307" spans="1:13" s="114" customFormat="1" ht="51">
      <c r="A307" s="136">
        <v>305</v>
      </c>
      <c r="B307" s="129" t="s">
        <v>1354</v>
      </c>
      <c r="C307" s="129" t="s">
        <v>1340</v>
      </c>
      <c r="D307" s="137" t="s">
        <v>1341</v>
      </c>
      <c r="E307" s="84" t="s">
        <v>1355</v>
      </c>
      <c r="F307" s="113"/>
      <c r="G307" s="131"/>
      <c r="H307" s="186" t="s">
        <v>1356</v>
      </c>
      <c r="I307" s="125" t="s">
        <v>326</v>
      </c>
      <c r="J307" s="125" t="s">
        <v>331</v>
      </c>
      <c r="K307" s="125" t="s">
        <v>1357</v>
      </c>
      <c r="L307" s="138" t="s">
        <v>314</v>
      </c>
      <c r="M307" s="138" t="s">
        <v>953</v>
      </c>
    </row>
    <row r="308" spans="1:13" s="114" customFormat="1" ht="51">
      <c r="A308" s="136">
        <v>306</v>
      </c>
      <c r="B308" s="129" t="s">
        <v>1356</v>
      </c>
      <c r="C308" s="129" t="s">
        <v>1358</v>
      </c>
      <c r="D308" s="137" t="s">
        <v>1359</v>
      </c>
      <c r="E308" s="84" t="s">
        <v>1360</v>
      </c>
      <c r="F308" s="113"/>
      <c r="G308" s="131"/>
      <c r="H308" s="186" t="s">
        <v>1361</v>
      </c>
      <c r="I308" s="125" t="s">
        <v>326</v>
      </c>
      <c r="J308" s="125" t="s">
        <v>331</v>
      </c>
      <c r="K308" s="125" t="s">
        <v>1357</v>
      </c>
      <c r="L308" s="138" t="s">
        <v>314</v>
      </c>
      <c r="M308" s="138" t="s">
        <v>953</v>
      </c>
    </row>
    <row r="309" spans="1:13" s="114" customFormat="1" ht="51">
      <c r="A309" s="136">
        <v>307</v>
      </c>
      <c r="B309" s="129" t="s">
        <v>1362</v>
      </c>
      <c r="C309" s="129" t="s">
        <v>1358</v>
      </c>
      <c r="D309" s="137" t="s">
        <v>1359</v>
      </c>
      <c r="E309" s="84" t="s">
        <v>1363</v>
      </c>
      <c r="F309" s="113"/>
      <c r="G309" s="131"/>
      <c r="H309" s="186" t="s">
        <v>1356</v>
      </c>
      <c r="I309" s="125" t="s">
        <v>326</v>
      </c>
      <c r="J309" s="125" t="s">
        <v>331</v>
      </c>
      <c r="K309" s="125" t="s">
        <v>1357</v>
      </c>
      <c r="L309" s="138" t="s">
        <v>314</v>
      </c>
      <c r="M309" s="138" t="s">
        <v>953</v>
      </c>
    </row>
    <row r="310" spans="1:13" s="114" customFormat="1" ht="38.25">
      <c r="A310" s="136">
        <v>308</v>
      </c>
      <c r="B310" s="129" t="s">
        <v>1364</v>
      </c>
      <c r="C310" s="129" t="s">
        <v>1358</v>
      </c>
      <c r="D310" s="137" t="s">
        <v>1359</v>
      </c>
      <c r="E310" s="84" t="s">
        <v>1365</v>
      </c>
      <c r="F310" s="113"/>
      <c r="G310" s="131"/>
      <c r="H310" s="186" t="s">
        <v>1331</v>
      </c>
      <c r="I310" s="125" t="s">
        <v>326</v>
      </c>
      <c r="J310" s="125" t="s">
        <v>349</v>
      </c>
      <c r="K310" s="125" t="s">
        <v>1336</v>
      </c>
      <c r="L310" s="138" t="s">
        <v>507</v>
      </c>
      <c r="M310" s="138" t="s">
        <v>508</v>
      </c>
    </row>
    <row r="311" spans="1:13" s="114" customFormat="1" ht="76.5">
      <c r="A311" s="136">
        <v>309</v>
      </c>
      <c r="B311" s="129" t="s">
        <v>1366</v>
      </c>
      <c r="C311" s="129" t="s">
        <v>1358</v>
      </c>
      <c r="D311" s="137" t="s">
        <v>1359</v>
      </c>
      <c r="E311" s="84" t="s">
        <v>1367</v>
      </c>
      <c r="F311" s="113"/>
      <c r="G311" s="131"/>
      <c r="H311" s="186" t="s">
        <v>1331</v>
      </c>
      <c r="I311" s="125" t="s">
        <v>326</v>
      </c>
      <c r="J311" s="125" t="s">
        <v>349</v>
      </c>
      <c r="K311" s="125" t="s">
        <v>1336</v>
      </c>
      <c r="L311" s="138" t="s">
        <v>507</v>
      </c>
      <c r="M311" s="138" t="s">
        <v>508</v>
      </c>
    </row>
    <row r="312" spans="1:13" s="114" customFormat="1" ht="51">
      <c r="A312" s="136">
        <v>310</v>
      </c>
      <c r="B312" s="129" t="s">
        <v>1368</v>
      </c>
      <c r="C312" s="129" t="s">
        <v>1358</v>
      </c>
      <c r="D312" s="137" t="s">
        <v>1359</v>
      </c>
      <c r="E312" s="84" t="s">
        <v>1369</v>
      </c>
      <c r="F312" s="113"/>
      <c r="G312" s="131"/>
      <c r="H312" s="186" t="s">
        <v>1356</v>
      </c>
      <c r="I312" s="125" t="s">
        <v>326</v>
      </c>
      <c r="J312" s="125" t="s">
        <v>331</v>
      </c>
      <c r="K312" s="125" t="s">
        <v>1357</v>
      </c>
      <c r="L312" s="138" t="s">
        <v>314</v>
      </c>
      <c r="M312" s="138" t="s">
        <v>953</v>
      </c>
    </row>
    <row r="313" spans="1:13" s="114" customFormat="1" ht="25.5">
      <c r="A313" s="136">
        <v>311</v>
      </c>
      <c r="B313" s="129" t="s">
        <v>1370</v>
      </c>
      <c r="C313" s="129" t="s">
        <v>1358</v>
      </c>
      <c r="D313" s="137" t="s">
        <v>1359</v>
      </c>
      <c r="E313" s="84" t="s">
        <v>1371</v>
      </c>
      <c r="F313" s="113"/>
      <c r="G313" s="131"/>
      <c r="H313" s="186" t="s">
        <v>1372</v>
      </c>
      <c r="I313" s="125" t="s">
        <v>326</v>
      </c>
      <c r="J313" s="125" t="s">
        <v>349</v>
      </c>
      <c r="K313" s="125" t="s">
        <v>1336</v>
      </c>
      <c r="L313" s="138" t="s">
        <v>507</v>
      </c>
      <c r="M313" s="138" t="s">
        <v>508</v>
      </c>
    </row>
    <row r="314" spans="1:13" s="114" customFormat="1" ht="25.5">
      <c r="A314" s="136">
        <v>312</v>
      </c>
      <c r="B314" s="129" t="s">
        <v>1373</v>
      </c>
      <c r="C314" s="129" t="s">
        <v>1374</v>
      </c>
      <c r="D314" s="137" t="s">
        <v>1375</v>
      </c>
      <c r="E314" s="84" t="s">
        <v>1376</v>
      </c>
      <c r="F314" s="113"/>
      <c r="G314" s="131"/>
      <c r="H314" s="186" t="s">
        <v>1370</v>
      </c>
      <c r="I314" s="125" t="s">
        <v>326</v>
      </c>
      <c r="J314" s="125" t="s">
        <v>349</v>
      </c>
      <c r="K314" s="125" t="s">
        <v>1336</v>
      </c>
      <c r="L314" s="138" t="s">
        <v>507</v>
      </c>
      <c r="M314" s="138" t="s">
        <v>508</v>
      </c>
    </row>
    <row r="315" spans="1:13" s="114" customFormat="1" ht="25.5">
      <c r="A315" s="136">
        <v>313</v>
      </c>
      <c r="B315" s="129" t="s">
        <v>1377</v>
      </c>
      <c r="C315" s="129" t="s">
        <v>1374</v>
      </c>
      <c r="D315" s="137" t="s">
        <v>1375</v>
      </c>
      <c r="E315" s="84" t="s">
        <v>1378</v>
      </c>
      <c r="F315" s="113"/>
      <c r="G315" s="131"/>
      <c r="H315" s="186" t="s">
        <v>1370</v>
      </c>
      <c r="I315" s="125" t="s">
        <v>326</v>
      </c>
      <c r="J315" s="125" t="s">
        <v>349</v>
      </c>
      <c r="K315" s="125" t="s">
        <v>1336</v>
      </c>
      <c r="L315" s="138" t="s">
        <v>507</v>
      </c>
      <c r="M315" s="138" t="s">
        <v>508</v>
      </c>
    </row>
    <row r="316" spans="1:13" s="114" customFormat="1" ht="25.5">
      <c r="A316" s="136">
        <v>314</v>
      </c>
      <c r="B316" s="129" t="s">
        <v>1379</v>
      </c>
      <c r="C316" s="129" t="s">
        <v>1374</v>
      </c>
      <c r="D316" s="137" t="s">
        <v>1375</v>
      </c>
      <c r="E316" s="84" t="s">
        <v>1380</v>
      </c>
      <c r="F316" s="113"/>
      <c r="G316" s="131"/>
      <c r="H316" s="186" t="s">
        <v>776</v>
      </c>
      <c r="I316" s="125" t="s">
        <v>326</v>
      </c>
      <c r="J316" s="125" t="s">
        <v>352</v>
      </c>
      <c r="K316" s="125" t="s">
        <v>781</v>
      </c>
      <c r="L316" s="138" t="s">
        <v>507</v>
      </c>
      <c r="M316" s="138" t="s">
        <v>508</v>
      </c>
    </row>
    <row r="317" spans="1:13" s="114" customFormat="1" ht="38.25">
      <c r="A317" s="136">
        <v>315</v>
      </c>
      <c r="B317" s="129" t="s">
        <v>1381</v>
      </c>
      <c r="C317" s="129" t="s">
        <v>1382</v>
      </c>
      <c r="D317" s="137" t="s">
        <v>1383</v>
      </c>
      <c r="E317" s="84" t="s">
        <v>1384</v>
      </c>
      <c r="F317" s="113"/>
      <c r="G317" s="131"/>
      <c r="H317" s="186" t="s">
        <v>1330</v>
      </c>
      <c r="I317" s="125" t="s">
        <v>326</v>
      </c>
      <c r="J317" s="125" t="s">
        <v>352</v>
      </c>
      <c r="K317" s="125" t="s">
        <v>781</v>
      </c>
      <c r="L317" s="138" t="s">
        <v>507</v>
      </c>
      <c r="M317" s="138" t="s">
        <v>508</v>
      </c>
    </row>
    <row r="318" spans="1:13" s="114" customFormat="1" ht="25.5">
      <c r="A318" s="136">
        <v>316</v>
      </c>
      <c r="B318" s="129" t="s">
        <v>1385</v>
      </c>
      <c r="C318" s="129" t="s">
        <v>1386</v>
      </c>
      <c r="D318" s="137" t="s">
        <v>1387</v>
      </c>
      <c r="E318" s="84" t="s">
        <v>1388</v>
      </c>
      <c r="F318" s="113"/>
      <c r="G318" s="131"/>
      <c r="H318" s="186" t="s">
        <v>776</v>
      </c>
      <c r="I318" s="125" t="s">
        <v>326</v>
      </c>
      <c r="J318" s="125" t="s">
        <v>352</v>
      </c>
      <c r="K318" s="125" t="s">
        <v>781</v>
      </c>
      <c r="L318" s="138" t="s">
        <v>507</v>
      </c>
      <c r="M318" s="138" t="s">
        <v>508</v>
      </c>
    </row>
    <row r="319" spans="1:13" s="114" customFormat="1" ht="25.5">
      <c r="A319" s="136">
        <v>317</v>
      </c>
      <c r="B319" s="129" t="s">
        <v>1330</v>
      </c>
      <c r="C319" s="129" t="s">
        <v>1386</v>
      </c>
      <c r="D319" s="137" t="s">
        <v>1387</v>
      </c>
      <c r="E319" s="84" t="s">
        <v>1389</v>
      </c>
      <c r="F319" s="113"/>
      <c r="G319" s="131"/>
      <c r="H319" s="186" t="s">
        <v>1390</v>
      </c>
      <c r="I319" s="125" t="s">
        <v>326</v>
      </c>
      <c r="J319" s="125" t="s">
        <v>352</v>
      </c>
      <c r="K319" s="125" t="s">
        <v>781</v>
      </c>
      <c r="L319" s="138" t="s">
        <v>507</v>
      </c>
      <c r="M319" s="138" t="s">
        <v>508</v>
      </c>
    </row>
    <row r="320" spans="1:13" s="114" customFormat="1" ht="25.5">
      <c r="A320" s="136">
        <v>318</v>
      </c>
      <c r="B320" s="129" t="s">
        <v>1391</v>
      </c>
      <c r="C320" s="129" t="s">
        <v>1392</v>
      </c>
      <c r="D320" s="137" t="s">
        <v>1393</v>
      </c>
      <c r="E320" s="84" t="s">
        <v>1394</v>
      </c>
      <c r="F320" s="113"/>
      <c r="G320" s="131"/>
      <c r="H320" s="186" t="s">
        <v>1330</v>
      </c>
      <c r="I320" s="125" t="s">
        <v>326</v>
      </c>
      <c r="J320" s="125" t="s">
        <v>352</v>
      </c>
      <c r="K320" s="125" t="s">
        <v>781</v>
      </c>
      <c r="L320" s="138" t="s">
        <v>507</v>
      </c>
      <c r="M320" s="138" t="s">
        <v>508</v>
      </c>
    </row>
    <row r="321" spans="1:13" s="114" customFormat="1" ht="38.25">
      <c r="A321" s="136">
        <v>319</v>
      </c>
      <c r="B321" s="129" t="s">
        <v>1395</v>
      </c>
      <c r="C321" s="129" t="s">
        <v>1396</v>
      </c>
      <c r="D321" s="137" t="s">
        <v>1393</v>
      </c>
      <c r="E321" s="84" t="s">
        <v>1397</v>
      </c>
      <c r="F321" s="113"/>
      <c r="G321" s="131"/>
      <c r="H321" s="186" t="s">
        <v>776</v>
      </c>
      <c r="I321" s="125" t="s">
        <v>326</v>
      </c>
      <c r="J321" s="125" t="s">
        <v>352</v>
      </c>
      <c r="K321" s="125" t="s">
        <v>781</v>
      </c>
      <c r="L321" s="138" t="s">
        <v>507</v>
      </c>
      <c r="M321" s="138" t="s">
        <v>508</v>
      </c>
    </row>
    <row r="322" spans="1:13" s="114" customFormat="1" ht="25.5">
      <c r="A322" s="136">
        <v>320</v>
      </c>
      <c r="B322" s="129" t="s">
        <v>1398</v>
      </c>
      <c r="C322" s="129" t="s">
        <v>1399</v>
      </c>
      <c r="D322" s="137" t="s">
        <v>1393</v>
      </c>
      <c r="E322" s="84" t="s">
        <v>1400</v>
      </c>
      <c r="F322" s="113"/>
      <c r="G322" s="131"/>
      <c r="H322" s="186" t="s">
        <v>1330</v>
      </c>
      <c r="I322" s="125" t="s">
        <v>326</v>
      </c>
      <c r="J322" s="125" t="s">
        <v>352</v>
      </c>
      <c r="K322" s="125" t="s">
        <v>781</v>
      </c>
      <c r="L322" s="138" t="s">
        <v>507</v>
      </c>
      <c r="M322" s="138" t="s">
        <v>508</v>
      </c>
    </row>
    <row r="323" spans="1:13" s="114" customFormat="1" ht="25.5">
      <c r="A323" s="136">
        <v>321</v>
      </c>
      <c r="B323" s="129" t="s">
        <v>1401</v>
      </c>
      <c r="C323" s="129" t="s">
        <v>1392</v>
      </c>
      <c r="D323" s="137" t="s">
        <v>1393</v>
      </c>
      <c r="E323" s="84" t="s">
        <v>1402</v>
      </c>
      <c r="F323" s="113"/>
      <c r="G323" s="131"/>
      <c r="H323" s="186" t="s">
        <v>1330</v>
      </c>
      <c r="I323" s="125" t="s">
        <v>326</v>
      </c>
      <c r="J323" s="125" t="s">
        <v>352</v>
      </c>
      <c r="K323" s="125" t="s">
        <v>781</v>
      </c>
      <c r="L323" s="138" t="s">
        <v>507</v>
      </c>
      <c r="M323" s="138" t="s">
        <v>508</v>
      </c>
    </row>
    <row r="324" spans="1:13" s="114" customFormat="1" ht="51">
      <c r="A324" s="136">
        <v>322</v>
      </c>
      <c r="B324" s="129" t="s">
        <v>1403</v>
      </c>
      <c r="C324" s="129" t="s">
        <v>1392</v>
      </c>
      <c r="D324" s="137" t="s">
        <v>1393</v>
      </c>
      <c r="E324" s="84" t="s">
        <v>1404</v>
      </c>
      <c r="F324" s="113"/>
      <c r="G324" s="131"/>
      <c r="H324" s="186" t="s">
        <v>1405</v>
      </c>
      <c r="I324" s="125" t="s">
        <v>326</v>
      </c>
      <c r="J324" s="125" t="s">
        <v>352</v>
      </c>
      <c r="K324" s="125" t="s">
        <v>781</v>
      </c>
      <c r="L324" s="138" t="s">
        <v>507</v>
      </c>
      <c r="M324" s="138" t="s">
        <v>508</v>
      </c>
    </row>
    <row r="325" spans="1:13" s="114" customFormat="1" ht="38.25">
      <c r="A325" s="136">
        <v>323</v>
      </c>
      <c r="B325" s="129" t="s">
        <v>1406</v>
      </c>
      <c r="C325" s="129" t="s">
        <v>1396</v>
      </c>
      <c r="D325" s="137" t="s">
        <v>1407</v>
      </c>
      <c r="E325" s="84" t="s">
        <v>1408</v>
      </c>
      <c r="F325" s="113"/>
      <c r="G325" s="131"/>
      <c r="H325" s="186" t="s">
        <v>1403</v>
      </c>
      <c r="I325" s="125" t="s">
        <v>326</v>
      </c>
      <c r="J325" s="125" t="s">
        <v>352</v>
      </c>
      <c r="K325" s="125" t="s">
        <v>781</v>
      </c>
      <c r="L325" s="138" t="s">
        <v>507</v>
      </c>
      <c r="M325" s="138" t="s">
        <v>508</v>
      </c>
    </row>
    <row r="326" spans="1:13" s="114" customFormat="1" ht="25.5">
      <c r="A326" s="136">
        <v>324</v>
      </c>
      <c r="B326" s="129" t="s">
        <v>1409</v>
      </c>
      <c r="C326" s="129" t="s">
        <v>1396</v>
      </c>
      <c r="D326" s="137" t="s">
        <v>1407</v>
      </c>
      <c r="E326" s="84" t="s">
        <v>1410</v>
      </c>
      <c r="F326" s="113"/>
      <c r="G326" s="131"/>
      <c r="H326" s="186" t="s">
        <v>776</v>
      </c>
      <c r="I326" s="125" t="s">
        <v>326</v>
      </c>
      <c r="J326" s="125" t="s">
        <v>352</v>
      </c>
      <c r="K326" s="125" t="s">
        <v>781</v>
      </c>
      <c r="L326" s="138" t="s">
        <v>507</v>
      </c>
      <c r="M326" s="138" t="s">
        <v>508</v>
      </c>
    </row>
    <row r="327" spans="1:13" s="114" customFormat="1" ht="38.25">
      <c r="A327" s="136">
        <v>325</v>
      </c>
      <c r="B327" s="129" t="s">
        <v>1411</v>
      </c>
      <c r="C327" s="129" t="s">
        <v>1396</v>
      </c>
      <c r="D327" s="137" t="s">
        <v>1407</v>
      </c>
      <c r="E327" s="84" t="s">
        <v>1412</v>
      </c>
      <c r="F327" s="113"/>
      <c r="G327" s="131"/>
      <c r="H327" s="186" t="s">
        <v>1403</v>
      </c>
      <c r="I327" s="125" t="s">
        <v>326</v>
      </c>
      <c r="J327" s="125" t="s">
        <v>352</v>
      </c>
      <c r="K327" s="125" t="s">
        <v>781</v>
      </c>
      <c r="L327" s="138" t="s">
        <v>507</v>
      </c>
      <c r="M327" s="138" t="s">
        <v>508</v>
      </c>
    </row>
    <row r="328" spans="1:13" s="114" customFormat="1" ht="38.25">
      <c r="A328" s="136">
        <v>326</v>
      </c>
      <c r="B328" s="129" t="s">
        <v>1413</v>
      </c>
      <c r="C328" s="129" t="s">
        <v>1396</v>
      </c>
      <c r="D328" s="137" t="s">
        <v>1407</v>
      </c>
      <c r="E328" s="84" t="s">
        <v>1414</v>
      </c>
      <c r="F328" s="113"/>
      <c r="G328" s="131"/>
      <c r="H328" s="186" t="s">
        <v>776</v>
      </c>
      <c r="I328" s="125" t="s">
        <v>326</v>
      </c>
      <c r="J328" s="125" t="s">
        <v>352</v>
      </c>
      <c r="K328" s="125" t="s">
        <v>781</v>
      </c>
      <c r="L328" s="138" t="s">
        <v>507</v>
      </c>
      <c r="M328" s="138" t="s">
        <v>508</v>
      </c>
    </row>
    <row r="329" spans="1:13" s="114" customFormat="1" ht="25.5">
      <c r="A329" s="136">
        <v>327</v>
      </c>
      <c r="B329" s="129" t="s">
        <v>1415</v>
      </c>
      <c r="C329" s="129" t="s">
        <v>1416</v>
      </c>
      <c r="D329" s="137" t="s">
        <v>1417</v>
      </c>
      <c r="E329" s="84" t="s">
        <v>1418</v>
      </c>
      <c r="F329" s="113"/>
      <c r="G329" s="131"/>
      <c r="H329" s="186" t="s">
        <v>776</v>
      </c>
      <c r="I329" s="125" t="s">
        <v>326</v>
      </c>
      <c r="J329" s="125" t="s">
        <v>352</v>
      </c>
      <c r="K329" s="125" t="s">
        <v>781</v>
      </c>
      <c r="L329" s="138" t="s">
        <v>507</v>
      </c>
      <c r="M329" s="138" t="s">
        <v>508</v>
      </c>
    </row>
    <row r="330" spans="1:13" s="114" customFormat="1" ht="25.5">
      <c r="A330" s="136">
        <v>328</v>
      </c>
      <c r="B330" s="129" t="s">
        <v>1419</v>
      </c>
      <c r="C330" s="129" t="s">
        <v>1416</v>
      </c>
      <c r="D330" s="137" t="s">
        <v>1417</v>
      </c>
      <c r="E330" s="84" t="s">
        <v>1420</v>
      </c>
      <c r="F330" s="113"/>
      <c r="G330" s="131"/>
      <c r="H330" s="186" t="s">
        <v>776</v>
      </c>
      <c r="I330" s="125" t="s">
        <v>326</v>
      </c>
      <c r="J330" s="125" t="s">
        <v>352</v>
      </c>
      <c r="K330" s="125" t="s">
        <v>781</v>
      </c>
      <c r="L330" s="138" t="s">
        <v>507</v>
      </c>
      <c r="M330" s="138" t="s">
        <v>508</v>
      </c>
    </row>
    <row r="331" spans="1:13" s="114" customFormat="1" ht="25.5">
      <c r="A331" s="136">
        <v>329</v>
      </c>
      <c r="B331" s="129" t="s">
        <v>1421</v>
      </c>
      <c r="C331" s="129" t="s">
        <v>1416</v>
      </c>
      <c r="D331" s="137" t="s">
        <v>1417</v>
      </c>
      <c r="E331" s="84" t="s">
        <v>1422</v>
      </c>
      <c r="F331" s="113"/>
      <c r="G331" s="131"/>
      <c r="H331" s="186" t="s">
        <v>1423</v>
      </c>
      <c r="I331" s="125" t="s">
        <v>326</v>
      </c>
      <c r="J331" s="125" t="s">
        <v>352</v>
      </c>
      <c r="K331" s="125" t="s">
        <v>781</v>
      </c>
      <c r="L331" s="138" t="s">
        <v>507</v>
      </c>
      <c r="M331" s="138" t="s">
        <v>508</v>
      </c>
    </row>
    <row r="332" spans="1:13" s="114" customFormat="1" ht="38.25">
      <c r="A332" s="136">
        <v>330</v>
      </c>
      <c r="B332" s="129" t="s">
        <v>1424</v>
      </c>
      <c r="C332" s="129" t="s">
        <v>1425</v>
      </c>
      <c r="D332" s="137" t="s">
        <v>1426</v>
      </c>
      <c r="E332" s="84" t="s">
        <v>1427</v>
      </c>
      <c r="F332" s="113"/>
      <c r="G332" s="131"/>
      <c r="H332" s="186" t="s">
        <v>1421</v>
      </c>
      <c r="I332" s="125" t="s">
        <v>326</v>
      </c>
      <c r="J332" s="125" t="s">
        <v>352</v>
      </c>
      <c r="K332" s="125" t="s">
        <v>781</v>
      </c>
      <c r="L332" s="138" t="s">
        <v>507</v>
      </c>
      <c r="M332" s="138" t="s">
        <v>508</v>
      </c>
    </row>
    <row r="333" spans="1:13" s="114" customFormat="1" ht="38.25">
      <c r="A333" s="136">
        <v>331</v>
      </c>
      <c r="B333" s="129" t="s">
        <v>1428</v>
      </c>
      <c r="C333" s="129" t="s">
        <v>1425</v>
      </c>
      <c r="D333" s="137" t="s">
        <v>1426</v>
      </c>
      <c r="E333" s="84" t="s">
        <v>1429</v>
      </c>
      <c r="F333" s="113"/>
      <c r="G333" s="131"/>
      <c r="H333" s="186" t="s">
        <v>1421</v>
      </c>
      <c r="I333" s="125" t="s">
        <v>326</v>
      </c>
      <c r="J333" s="125" t="s">
        <v>352</v>
      </c>
      <c r="K333" s="125" t="s">
        <v>781</v>
      </c>
      <c r="L333" s="138" t="s">
        <v>507</v>
      </c>
      <c r="M333" s="138" t="s">
        <v>508</v>
      </c>
    </row>
    <row r="334" spans="1:13" s="114" customFormat="1" ht="51">
      <c r="A334" s="136">
        <v>332</v>
      </c>
      <c r="B334" s="129" t="s">
        <v>1430</v>
      </c>
      <c r="C334" s="129" t="s">
        <v>1425</v>
      </c>
      <c r="D334" s="137" t="s">
        <v>1426</v>
      </c>
      <c r="E334" s="84" t="s">
        <v>1431</v>
      </c>
      <c r="F334" s="113"/>
      <c r="G334" s="131"/>
      <c r="H334" s="186" t="s">
        <v>1356</v>
      </c>
      <c r="I334" s="125" t="s">
        <v>326</v>
      </c>
      <c r="J334" s="125" t="s">
        <v>331</v>
      </c>
      <c r="K334" s="125" t="s">
        <v>1357</v>
      </c>
      <c r="L334" s="138" t="s">
        <v>314</v>
      </c>
      <c r="M334" s="138" t="s">
        <v>953</v>
      </c>
    </row>
    <row r="335" spans="1:13" s="114" customFormat="1" ht="25.5">
      <c r="A335" s="136">
        <v>333</v>
      </c>
      <c r="B335" s="129" t="s">
        <v>1432</v>
      </c>
      <c r="C335" s="129" t="s">
        <v>1433</v>
      </c>
      <c r="D335" s="137" t="s">
        <v>1434</v>
      </c>
      <c r="E335" s="84" t="s">
        <v>1435</v>
      </c>
      <c r="F335" s="113"/>
      <c r="G335" s="131"/>
      <c r="H335" s="186" t="s">
        <v>1436</v>
      </c>
      <c r="I335" s="125" t="s">
        <v>326</v>
      </c>
      <c r="J335" s="125" t="s">
        <v>331</v>
      </c>
      <c r="K335" s="125" t="s">
        <v>1357</v>
      </c>
      <c r="L335" s="138" t="s">
        <v>507</v>
      </c>
      <c r="M335" s="138" t="s">
        <v>508</v>
      </c>
    </row>
    <row r="336" spans="1:13" s="114" customFormat="1" ht="51">
      <c r="A336" s="136">
        <v>334</v>
      </c>
      <c r="B336" s="129" t="s">
        <v>1437</v>
      </c>
      <c r="C336" s="129" t="s">
        <v>1433</v>
      </c>
      <c r="D336" s="137" t="s">
        <v>1434</v>
      </c>
      <c r="E336" s="84" t="s">
        <v>1438</v>
      </c>
      <c r="F336" s="113"/>
      <c r="G336" s="131"/>
      <c r="H336" s="186" t="s">
        <v>1439</v>
      </c>
      <c r="I336" s="125" t="s">
        <v>327</v>
      </c>
      <c r="J336" s="125" t="s">
        <v>337</v>
      </c>
      <c r="K336" s="125" t="s">
        <v>1440</v>
      </c>
      <c r="L336" s="138" t="s">
        <v>314</v>
      </c>
      <c r="M336" s="138" t="s">
        <v>953</v>
      </c>
    </row>
    <row r="337" spans="1:13" s="114" customFormat="1" ht="38.25">
      <c r="A337" s="136">
        <v>335</v>
      </c>
      <c r="B337" s="129" t="s">
        <v>1441</v>
      </c>
      <c r="C337" s="129" t="s">
        <v>1442</v>
      </c>
      <c r="D337" s="137" t="s">
        <v>1443</v>
      </c>
      <c r="E337" s="84" t="s">
        <v>1444</v>
      </c>
      <c r="F337" s="113"/>
      <c r="G337" s="131"/>
      <c r="H337" s="186" t="s">
        <v>1445</v>
      </c>
      <c r="I337" s="125" t="s">
        <v>326</v>
      </c>
      <c r="J337" s="125" t="s">
        <v>346</v>
      </c>
      <c r="K337" s="125" t="s">
        <v>1309</v>
      </c>
      <c r="L337" s="138" t="s">
        <v>507</v>
      </c>
      <c r="M337" s="138" t="s">
        <v>508</v>
      </c>
    </row>
    <row r="338" spans="1:13" s="114" customFormat="1" ht="38.25">
      <c r="A338" s="136">
        <v>336</v>
      </c>
      <c r="B338" s="129" t="s">
        <v>1446</v>
      </c>
      <c r="C338" s="129" t="s">
        <v>1447</v>
      </c>
      <c r="D338" s="137" t="s">
        <v>1448</v>
      </c>
      <c r="E338" s="84" t="s">
        <v>1449</v>
      </c>
      <c r="F338" s="113"/>
      <c r="G338" s="131"/>
      <c r="H338" s="186" t="s">
        <v>1441</v>
      </c>
      <c r="I338" s="125" t="s">
        <v>326</v>
      </c>
      <c r="J338" s="125" t="s">
        <v>346</v>
      </c>
      <c r="K338" s="125" t="s">
        <v>1309</v>
      </c>
      <c r="L338" s="138" t="s">
        <v>507</v>
      </c>
      <c r="M338" s="138" t="s">
        <v>508</v>
      </c>
    </row>
    <row r="339" spans="1:13" s="114" customFormat="1" ht="76.5">
      <c r="A339" s="136">
        <v>337</v>
      </c>
      <c r="B339" s="129" t="s">
        <v>1450</v>
      </c>
      <c r="C339" s="129" t="s">
        <v>1451</v>
      </c>
      <c r="D339" s="137" t="s">
        <v>1448</v>
      </c>
      <c r="E339" s="84" t="s">
        <v>1452</v>
      </c>
      <c r="F339" s="113"/>
      <c r="G339" s="131"/>
      <c r="H339" s="186" t="s">
        <v>1453</v>
      </c>
      <c r="I339" s="125" t="s">
        <v>326</v>
      </c>
      <c r="J339" s="125" t="s">
        <v>346</v>
      </c>
      <c r="K339" s="125" t="s">
        <v>984</v>
      </c>
      <c r="L339" s="138" t="s">
        <v>507</v>
      </c>
      <c r="M339" s="138" t="s">
        <v>508</v>
      </c>
    </row>
    <row r="340" spans="1:13" s="114" customFormat="1" ht="51">
      <c r="A340" s="136">
        <v>338</v>
      </c>
      <c r="B340" s="129" t="s">
        <v>1454</v>
      </c>
      <c r="C340" s="129" t="s">
        <v>1455</v>
      </c>
      <c r="D340" s="137" t="s">
        <v>1456</v>
      </c>
      <c r="E340" s="84" t="s">
        <v>1457</v>
      </c>
      <c r="F340" s="113"/>
      <c r="G340" s="131"/>
      <c r="H340" s="186" t="s">
        <v>1450</v>
      </c>
      <c r="I340" s="125" t="s">
        <v>326</v>
      </c>
      <c r="J340" s="125" t="s">
        <v>346</v>
      </c>
      <c r="K340" s="125" t="s">
        <v>984</v>
      </c>
      <c r="L340" s="138" t="s">
        <v>507</v>
      </c>
      <c r="M340" s="138" t="s">
        <v>508</v>
      </c>
    </row>
    <row r="341" spans="1:13" s="114" customFormat="1" ht="51">
      <c r="A341" s="136">
        <v>339</v>
      </c>
      <c r="B341" s="129" t="s">
        <v>1458</v>
      </c>
      <c r="C341" s="129" t="s">
        <v>1455</v>
      </c>
      <c r="D341" s="137" t="s">
        <v>1456</v>
      </c>
      <c r="E341" s="84" t="s">
        <v>1459</v>
      </c>
      <c r="F341" s="113"/>
      <c r="G341" s="131"/>
      <c r="H341" s="186" t="s">
        <v>1450</v>
      </c>
      <c r="I341" s="125" t="s">
        <v>326</v>
      </c>
      <c r="J341" s="125" t="s">
        <v>346</v>
      </c>
      <c r="K341" s="125" t="s">
        <v>984</v>
      </c>
      <c r="L341" s="138" t="s">
        <v>507</v>
      </c>
      <c r="M341" s="138" t="s">
        <v>508</v>
      </c>
    </row>
    <row r="342" spans="1:13" s="114" customFormat="1" ht="51">
      <c r="A342" s="136">
        <v>340</v>
      </c>
      <c r="B342" s="129" t="s">
        <v>1460</v>
      </c>
      <c r="C342" s="129" t="s">
        <v>1455</v>
      </c>
      <c r="D342" s="137" t="s">
        <v>1456</v>
      </c>
      <c r="E342" s="84" t="s">
        <v>1461</v>
      </c>
      <c r="F342" s="113"/>
      <c r="G342" s="131"/>
      <c r="H342" s="186" t="s">
        <v>1450</v>
      </c>
      <c r="I342" s="125" t="s">
        <v>326</v>
      </c>
      <c r="J342" s="125" t="s">
        <v>346</v>
      </c>
      <c r="K342" s="125" t="s">
        <v>984</v>
      </c>
      <c r="L342" s="138" t="s">
        <v>507</v>
      </c>
      <c r="M342" s="138" t="s">
        <v>508</v>
      </c>
    </row>
    <row r="343" spans="1:13" s="114" customFormat="1" ht="25.5">
      <c r="A343" s="136">
        <v>341</v>
      </c>
      <c r="B343" s="129" t="s">
        <v>1462</v>
      </c>
      <c r="C343" s="129" t="s">
        <v>1455</v>
      </c>
      <c r="D343" s="137" t="s">
        <v>1456</v>
      </c>
      <c r="E343" s="84" t="s">
        <v>1463</v>
      </c>
      <c r="F343" s="113"/>
      <c r="G343" s="131"/>
      <c r="H343" s="186" t="s">
        <v>1464</v>
      </c>
      <c r="I343" s="125" t="s">
        <v>326</v>
      </c>
      <c r="J343" s="125" t="s">
        <v>346</v>
      </c>
      <c r="K343" s="125" t="s">
        <v>1465</v>
      </c>
      <c r="L343" s="138" t="s">
        <v>507</v>
      </c>
      <c r="M343" s="138" t="s">
        <v>508</v>
      </c>
    </row>
    <row r="344" spans="1:13" s="114" customFormat="1" ht="25.5">
      <c r="A344" s="136">
        <v>342</v>
      </c>
      <c r="B344" s="129" t="s">
        <v>1466</v>
      </c>
      <c r="C344" s="129" t="s">
        <v>1467</v>
      </c>
      <c r="D344" s="137" t="s">
        <v>1468</v>
      </c>
      <c r="E344" s="84" t="s">
        <v>1469</v>
      </c>
      <c r="F344" s="113"/>
      <c r="G344" s="131"/>
      <c r="H344" s="186" t="s">
        <v>1462</v>
      </c>
      <c r="I344" s="125" t="s">
        <v>326</v>
      </c>
      <c r="J344" s="125" t="s">
        <v>346</v>
      </c>
      <c r="K344" s="125" t="s">
        <v>1465</v>
      </c>
      <c r="L344" s="138" t="s">
        <v>507</v>
      </c>
      <c r="M344" s="138" t="s">
        <v>508</v>
      </c>
    </row>
    <row r="345" spans="1:13" s="114" customFormat="1" ht="25.5">
      <c r="A345" s="136">
        <v>343</v>
      </c>
      <c r="B345" s="129" t="s">
        <v>1470</v>
      </c>
      <c r="C345" s="129" t="s">
        <v>1467</v>
      </c>
      <c r="D345" s="137" t="s">
        <v>1468</v>
      </c>
      <c r="E345" s="84" t="s">
        <v>1471</v>
      </c>
      <c r="F345" s="113"/>
      <c r="G345" s="131"/>
      <c r="H345" s="186" t="s">
        <v>1462</v>
      </c>
      <c r="I345" s="125" t="s">
        <v>326</v>
      </c>
      <c r="J345" s="125" t="s">
        <v>346</v>
      </c>
      <c r="K345" s="125" t="s">
        <v>1465</v>
      </c>
      <c r="L345" s="138" t="s">
        <v>507</v>
      </c>
      <c r="M345" s="138" t="s">
        <v>508</v>
      </c>
    </row>
    <row r="346" spans="1:13" s="114" customFormat="1" ht="25.5">
      <c r="A346" s="136">
        <v>344</v>
      </c>
      <c r="B346" s="129" t="s">
        <v>1472</v>
      </c>
      <c r="C346" s="129" t="s">
        <v>1467</v>
      </c>
      <c r="D346" s="137" t="s">
        <v>1468</v>
      </c>
      <c r="E346" s="84" t="s">
        <v>1473</v>
      </c>
      <c r="F346" s="113"/>
      <c r="G346" s="131"/>
      <c r="H346" s="186" t="s">
        <v>1462</v>
      </c>
      <c r="I346" s="125" t="s">
        <v>326</v>
      </c>
      <c r="J346" s="125" t="s">
        <v>346</v>
      </c>
      <c r="K346" s="125" t="s">
        <v>1465</v>
      </c>
      <c r="L346" s="138" t="s">
        <v>507</v>
      </c>
      <c r="M346" s="138" t="s">
        <v>508</v>
      </c>
    </row>
    <row r="347" spans="1:13" s="114" customFormat="1" ht="38.25">
      <c r="A347" s="136">
        <v>345</v>
      </c>
      <c r="B347" s="129" t="s">
        <v>1474</v>
      </c>
      <c r="C347" s="129" t="s">
        <v>1467</v>
      </c>
      <c r="D347" s="137" t="s">
        <v>1468</v>
      </c>
      <c r="E347" s="84" t="s">
        <v>1475</v>
      </c>
      <c r="F347" s="113"/>
      <c r="G347" s="131"/>
      <c r="H347" s="186" t="s">
        <v>1476</v>
      </c>
      <c r="I347" s="125" t="s">
        <v>326</v>
      </c>
      <c r="J347" s="125" t="s">
        <v>341</v>
      </c>
      <c r="K347" s="125" t="s">
        <v>580</v>
      </c>
      <c r="L347" s="138" t="s">
        <v>507</v>
      </c>
      <c r="M347" s="138" t="s">
        <v>508</v>
      </c>
    </row>
    <row r="348" spans="1:13" s="114" customFormat="1" ht="38.25">
      <c r="A348" s="136">
        <v>346</v>
      </c>
      <c r="B348" s="129" t="s">
        <v>1477</v>
      </c>
      <c r="C348" s="129" t="s">
        <v>1478</v>
      </c>
      <c r="D348" s="137" t="s">
        <v>1479</v>
      </c>
      <c r="E348" s="84" t="s">
        <v>1480</v>
      </c>
      <c r="F348" s="113"/>
      <c r="G348" s="131"/>
      <c r="H348" s="186" t="s">
        <v>1481</v>
      </c>
      <c r="I348" s="125" t="s">
        <v>326</v>
      </c>
      <c r="J348" s="125" t="s">
        <v>341</v>
      </c>
      <c r="K348" s="125" t="s">
        <v>1482</v>
      </c>
      <c r="L348" s="138" t="s">
        <v>507</v>
      </c>
      <c r="M348" s="138" t="s">
        <v>508</v>
      </c>
    </row>
    <row r="349" spans="1:13" s="114" customFormat="1" ht="38.25">
      <c r="A349" s="136">
        <v>347</v>
      </c>
      <c r="B349" s="129" t="s">
        <v>1483</v>
      </c>
      <c r="C349" s="129" t="s">
        <v>1478</v>
      </c>
      <c r="D349" s="137" t="s">
        <v>1479</v>
      </c>
      <c r="E349" s="84" t="s">
        <v>1484</v>
      </c>
      <c r="F349" s="113"/>
      <c r="G349" s="131"/>
      <c r="H349" s="186" t="s">
        <v>1485</v>
      </c>
      <c r="I349" s="125" t="s">
        <v>326</v>
      </c>
      <c r="J349" s="125" t="s">
        <v>346</v>
      </c>
      <c r="K349" s="125" t="s">
        <v>998</v>
      </c>
      <c r="L349" s="138" t="s">
        <v>314</v>
      </c>
      <c r="M349" s="138" t="s">
        <v>508</v>
      </c>
    </row>
    <row r="350" spans="1:13" s="114" customFormat="1" ht="25.5">
      <c r="A350" s="136">
        <v>348</v>
      </c>
      <c r="B350" s="129" t="s">
        <v>1486</v>
      </c>
      <c r="C350" s="129" t="s">
        <v>1478</v>
      </c>
      <c r="D350" s="137" t="s">
        <v>1479</v>
      </c>
      <c r="E350" s="84" t="s">
        <v>1487</v>
      </c>
      <c r="F350" s="113"/>
      <c r="G350" s="131"/>
      <c r="H350" s="186" t="s">
        <v>995</v>
      </c>
      <c r="I350" s="125" t="s">
        <v>326</v>
      </c>
      <c r="J350" s="125" t="s">
        <v>346</v>
      </c>
      <c r="K350" s="125" t="s">
        <v>998</v>
      </c>
      <c r="L350" s="138" t="s">
        <v>314</v>
      </c>
      <c r="M350" s="138" t="s">
        <v>508</v>
      </c>
    </row>
    <row r="351" spans="1:13" s="114" customFormat="1" ht="38.25">
      <c r="A351" s="136">
        <v>349</v>
      </c>
      <c r="B351" s="129" t="s">
        <v>1488</v>
      </c>
      <c r="C351" s="129" t="s">
        <v>1478</v>
      </c>
      <c r="D351" s="137" t="s">
        <v>1479</v>
      </c>
      <c r="E351" s="84" t="s">
        <v>1489</v>
      </c>
      <c r="F351" s="113"/>
      <c r="G351" s="131"/>
      <c r="H351" s="186" t="s">
        <v>995</v>
      </c>
      <c r="I351" s="125" t="s">
        <v>326</v>
      </c>
      <c r="J351" s="125" t="s">
        <v>346</v>
      </c>
      <c r="K351" s="125" t="s">
        <v>998</v>
      </c>
      <c r="L351" s="138" t="s">
        <v>314</v>
      </c>
      <c r="M351" s="138" t="s">
        <v>508</v>
      </c>
    </row>
    <row r="352" spans="1:13" s="114" customFormat="1" ht="25.5">
      <c r="A352" s="136">
        <v>350</v>
      </c>
      <c r="B352" s="129" t="s">
        <v>1490</v>
      </c>
      <c r="C352" s="129" t="s">
        <v>1478</v>
      </c>
      <c r="D352" s="137" t="s">
        <v>1479</v>
      </c>
      <c r="E352" s="84" t="s">
        <v>1491</v>
      </c>
      <c r="F352" s="113"/>
      <c r="G352" s="131"/>
      <c r="H352" s="186" t="s">
        <v>1492</v>
      </c>
      <c r="I352" s="125" t="s">
        <v>326</v>
      </c>
      <c r="J352" s="125" t="s">
        <v>346</v>
      </c>
      <c r="K352" s="125" t="s">
        <v>761</v>
      </c>
      <c r="L352" s="138" t="s">
        <v>314</v>
      </c>
      <c r="M352" s="138" t="s">
        <v>508</v>
      </c>
    </row>
    <row r="353" spans="1:13" s="114" customFormat="1" ht="38.25">
      <c r="A353" s="136">
        <v>351</v>
      </c>
      <c r="B353" s="129" t="s">
        <v>1493</v>
      </c>
      <c r="C353" s="129" t="s">
        <v>1494</v>
      </c>
      <c r="D353" s="137" t="s">
        <v>1495</v>
      </c>
      <c r="E353" s="84" t="s">
        <v>1496</v>
      </c>
      <c r="F353" s="113"/>
      <c r="G353" s="131"/>
      <c r="H353" s="186" t="s">
        <v>1490</v>
      </c>
      <c r="I353" s="125" t="s">
        <v>326</v>
      </c>
      <c r="J353" s="125" t="s">
        <v>346</v>
      </c>
      <c r="K353" s="125" t="s">
        <v>761</v>
      </c>
      <c r="L353" s="138" t="s">
        <v>314</v>
      </c>
      <c r="M353" s="138" t="s">
        <v>508</v>
      </c>
    </row>
    <row r="354" spans="1:13" s="114" customFormat="1" ht="25.5">
      <c r="A354" s="136">
        <v>352</v>
      </c>
      <c r="B354" s="129" t="s">
        <v>1497</v>
      </c>
      <c r="C354" s="129" t="s">
        <v>1494</v>
      </c>
      <c r="D354" s="137" t="s">
        <v>1495</v>
      </c>
      <c r="E354" s="84" t="s">
        <v>1498</v>
      </c>
      <c r="F354" s="113"/>
      <c r="G354" s="131"/>
      <c r="H354" s="186" t="s">
        <v>1024</v>
      </c>
      <c r="I354" s="125" t="s">
        <v>326</v>
      </c>
      <c r="J354" s="125" t="s">
        <v>341</v>
      </c>
      <c r="K354" s="125" t="s">
        <v>580</v>
      </c>
      <c r="L354" s="138" t="s">
        <v>507</v>
      </c>
      <c r="M354" s="138" t="s">
        <v>508</v>
      </c>
    </row>
    <row r="355" spans="1:13" s="114" customFormat="1" ht="51">
      <c r="A355" s="136">
        <v>353</v>
      </c>
      <c r="B355" s="129" t="s">
        <v>1499</v>
      </c>
      <c r="C355" s="129" t="s">
        <v>1500</v>
      </c>
      <c r="D355" s="137" t="s">
        <v>1501</v>
      </c>
      <c r="E355" s="84" t="s">
        <v>1502</v>
      </c>
      <c r="F355" s="113"/>
      <c r="G355" s="131"/>
      <c r="H355" s="186" t="s">
        <v>1450</v>
      </c>
      <c r="I355" s="125" t="s">
        <v>326</v>
      </c>
      <c r="J355" s="125" t="s">
        <v>346</v>
      </c>
      <c r="K355" s="125" t="s">
        <v>984</v>
      </c>
      <c r="L355" s="138" t="s">
        <v>507</v>
      </c>
      <c r="M355" s="138" t="s">
        <v>508</v>
      </c>
    </row>
    <row r="356" spans="1:13" s="114" customFormat="1" ht="51">
      <c r="A356" s="136">
        <v>354</v>
      </c>
      <c r="B356" s="129" t="s">
        <v>1503</v>
      </c>
      <c r="C356" s="129" t="s">
        <v>1504</v>
      </c>
      <c r="D356" s="137" t="s">
        <v>1505</v>
      </c>
      <c r="E356" s="84" t="s">
        <v>1506</v>
      </c>
      <c r="F356" s="113"/>
      <c r="G356" s="131"/>
      <c r="H356" s="186" t="s">
        <v>1450</v>
      </c>
      <c r="I356" s="125" t="s">
        <v>326</v>
      </c>
      <c r="J356" s="125" t="s">
        <v>346</v>
      </c>
      <c r="K356" s="125" t="s">
        <v>984</v>
      </c>
      <c r="L356" s="138" t="s">
        <v>507</v>
      </c>
      <c r="M356" s="138" t="s">
        <v>508</v>
      </c>
    </row>
    <row r="357" spans="1:13" s="114" customFormat="1" ht="51">
      <c r="A357" s="136">
        <v>355</v>
      </c>
      <c r="B357" s="129" t="s">
        <v>1507</v>
      </c>
      <c r="C357" s="129" t="s">
        <v>1504</v>
      </c>
      <c r="D357" s="137" t="s">
        <v>1505</v>
      </c>
      <c r="E357" s="84" t="s">
        <v>1508</v>
      </c>
      <c r="F357" s="113"/>
      <c r="G357" s="131"/>
      <c r="H357" s="186" t="s">
        <v>1450</v>
      </c>
      <c r="I357" s="125" t="s">
        <v>326</v>
      </c>
      <c r="J357" s="125" t="s">
        <v>346</v>
      </c>
      <c r="K357" s="125" t="s">
        <v>984</v>
      </c>
      <c r="L357" s="138" t="s">
        <v>507</v>
      </c>
      <c r="M357" s="138" t="s">
        <v>508</v>
      </c>
    </row>
    <row r="358" spans="1:13" s="114" customFormat="1" ht="51">
      <c r="A358" s="136">
        <v>356</v>
      </c>
      <c r="B358" s="129" t="s">
        <v>1509</v>
      </c>
      <c r="C358" s="129" t="s">
        <v>1504</v>
      </c>
      <c r="D358" s="137" t="s">
        <v>1505</v>
      </c>
      <c r="E358" s="84" t="s">
        <v>1510</v>
      </c>
      <c r="F358" s="113"/>
      <c r="G358" s="131"/>
      <c r="H358" s="186" t="s">
        <v>1450</v>
      </c>
      <c r="I358" s="125" t="s">
        <v>326</v>
      </c>
      <c r="J358" s="125" t="s">
        <v>346</v>
      </c>
      <c r="K358" s="125" t="s">
        <v>984</v>
      </c>
      <c r="L358" s="138" t="s">
        <v>507</v>
      </c>
      <c r="M358" s="138" t="s">
        <v>508</v>
      </c>
    </row>
    <row r="359" spans="1:13" s="114" customFormat="1" ht="51">
      <c r="A359" s="136">
        <v>357</v>
      </c>
      <c r="B359" s="129" t="s">
        <v>1511</v>
      </c>
      <c r="C359" s="129" t="s">
        <v>1504</v>
      </c>
      <c r="D359" s="137" t="s">
        <v>1505</v>
      </c>
      <c r="E359" s="84" t="s">
        <v>1512</v>
      </c>
      <c r="F359" s="113"/>
      <c r="G359" s="131"/>
      <c r="H359" s="186" t="s">
        <v>1450</v>
      </c>
      <c r="I359" s="125" t="s">
        <v>326</v>
      </c>
      <c r="J359" s="125" t="s">
        <v>346</v>
      </c>
      <c r="K359" s="125" t="s">
        <v>984</v>
      </c>
      <c r="L359" s="138" t="s">
        <v>507</v>
      </c>
      <c r="M359" s="138" t="s">
        <v>508</v>
      </c>
    </row>
    <row r="360" spans="1:13" s="114" customFormat="1" ht="25.5">
      <c r="A360" s="136">
        <v>358</v>
      </c>
      <c r="B360" s="129" t="s">
        <v>1513</v>
      </c>
      <c r="C360" s="129" t="s">
        <v>1504</v>
      </c>
      <c r="D360" s="137" t="s">
        <v>1505</v>
      </c>
      <c r="E360" s="84" t="s">
        <v>1514</v>
      </c>
      <c r="F360" s="113"/>
      <c r="G360" s="131"/>
      <c r="H360" s="186" t="s">
        <v>1024</v>
      </c>
      <c r="I360" s="125" t="s">
        <v>326</v>
      </c>
      <c r="J360" s="125" t="s">
        <v>341</v>
      </c>
      <c r="K360" s="125" t="s">
        <v>580</v>
      </c>
      <c r="L360" s="138" t="s">
        <v>507</v>
      </c>
      <c r="M360" s="138" t="s">
        <v>508</v>
      </c>
    </row>
    <row r="361" spans="1:13" s="114" customFormat="1" ht="38.25">
      <c r="A361" s="136">
        <v>359</v>
      </c>
      <c r="B361" s="129" t="s">
        <v>1515</v>
      </c>
      <c r="C361" s="129" t="s">
        <v>1516</v>
      </c>
      <c r="D361" s="137" t="s">
        <v>1517</v>
      </c>
      <c r="E361" s="84" t="s">
        <v>1518</v>
      </c>
      <c r="F361" s="113"/>
      <c r="G361" s="131"/>
      <c r="H361" s="186" t="s">
        <v>1024</v>
      </c>
      <c r="I361" s="125" t="s">
        <v>326</v>
      </c>
      <c r="J361" s="125" t="s">
        <v>341</v>
      </c>
      <c r="K361" s="125" t="s">
        <v>580</v>
      </c>
      <c r="L361" s="138" t="s">
        <v>507</v>
      </c>
      <c r="M361" s="138" t="s">
        <v>508</v>
      </c>
    </row>
    <row r="362" spans="1:13" s="114" customFormat="1" ht="25.5">
      <c r="A362" s="136">
        <v>360</v>
      </c>
      <c r="B362" s="129" t="s">
        <v>1519</v>
      </c>
      <c r="C362" s="129" t="s">
        <v>1516</v>
      </c>
      <c r="D362" s="137" t="s">
        <v>1517</v>
      </c>
      <c r="E362" s="84" t="s">
        <v>1520</v>
      </c>
      <c r="F362" s="113"/>
      <c r="G362" s="131"/>
      <c r="H362" s="186" t="s">
        <v>995</v>
      </c>
      <c r="I362" s="125" t="s">
        <v>326</v>
      </c>
      <c r="J362" s="125" t="s">
        <v>346</v>
      </c>
      <c r="K362" s="125" t="s">
        <v>998</v>
      </c>
      <c r="L362" s="138" t="s">
        <v>314</v>
      </c>
      <c r="M362" s="138" t="s">
        <v>508</v>
      </c>
    </row>
    <row r="363" spans="1:13" s="114" customFormat="1" ht="25.5">
      <c r="A363" s="136">
        <v>361</v>
      </c>
      <c r="B363" s="129" t="s">
        <v>1521</v>
      </c>
      <c r="C363" s="129" t="s">
        <v>1522</v>
      </c>
      <c r="D363" s="137" t="s">
        <v>1523</v>
      </c>
      <c r="E363" s="84" t="s">
        <v>1524</v>
      </c>
      <c r="F363" s="113"/>
      <c r="G363" s="131"/>
      <c r="H363" s="186" t="s">
        <v>1525</v>
      </c>
      <c r="I363" s="125" t="s">
        <v>326</v>
      </c>
      <c r="J363" s="125" t="s">
        <v>341</v>
      </c>
      <c r="K363" s="125" t="s">
        <v>1526</v>
      </c>
      <c r="L363" s="138" t="s">
        <v>507</v>
      </c>
      <c r="M363" s="138" t="s">
        <v>508</v>
      </c>
    </row>
    <row r="364" spans="1:13" s="114" customFormat="1" ht="25.5">
      <c r="A364" s="136">
        <v>362</v>
      </c>
      <c r="B364" s="129" t="s">
        <v>1527</v>
      </c>
      <c r="C364" s="129" t="s">
        <v>1522</v>
      </c>
      <c r="D364" s="137" t="s">
        <v>1523</v>
      </c>
      <c r="E364" s="84" t="s">
        <v>1528</v>
      </c>
      <c r="F364" s="113"/>
      <c r="G364" s="131"/>
      <c r="H364" s="186" t="s">
        <v>1462</v>
      </c>
      <c r="I364" s="125" t="s">
        <v>326</v>
      </c>
      <c r="J364" s="125" t="s">
        <v>346</v>
      </c>
      <c r="K364" s="125" t="s">
        <v>1465</v>
      </c>
      <c r="L364" s="138" t="s">
        <v>507</v>
      </c>
      <c r="M364" s="138" t="s">
        <v>508</v>
      </c>
    </row>
    <row r="365" spans="1:13" s="114" customFormat="1" ht="25.5">
      <c r="A365" s="136">
        <v>363</v>
      </c>
      <c r="B365" s="129" t="s">
        <v>1529</v>
      </c>
      <c r="C365" s="129" t="s">
        <v>1522</v>
      </c>
      <c r="D365" s="137" t="s">
        <v>1523</v>
      </c>
      <c r="E365" s="84" t="s">
        <v>1530</v>
      </c>
      <c r="F365" s="113"/>
      <c r="G365" s="131"/>
      <c r="H365" s="186" t="s">
        <v>1531</v>
      </c>
      <c r="I365" s="125" t="s">
        <v>326</v>
      </c>
      <c r="J365" s="125" t="s">
        <v>346</v>
      </c>
      <c r="K365" s="125" t="s">
        <v>761</v>
      </c>
      <c r="L365" s="138" t="s">
        <v>507</v>
      </c>
      <c r="M365" s="138" t="s">
        <v>508</v>
      </c>
    </row>
    <row r="366" spans="1:13" s="114" customFormat="1" ht="38.25">
      <c r="A366" s="136">
        <v>364</v>
      </c>
      <c r="B366" s="129" t="s">
        <v>1532</v>
      </c>
      <c r="C366" s="129" t="s">
        <v>1533</v>
      </c>
      <c r="D366" s="137" t="s">
        <v>1534</v>
      </c>
      <c r="E366" s="84" t="s">
        <v>1535</v>
      </c>
      <c r="F366" s="113"/>
      <c r="G366" s="131"/>
      <c r="H366" s="186" t="s">
        <v>1531</v>
      </c>
      <c r="I366" s="125" t="s">
        <v>326</v>
      </c>
      <c r="J366" s="125" t="s">
        <v>346</v>
      </c>
      <c r="K366" s="125" t="s">
        <v>761</v>
      </c>
      <c r="L366" s="138" t="s">
        <v>507</v>
      </c>
      <c r="M366" s="138" t="s">
        <v>508</v>
      </c>
    </row>
    <row r="367" spans="1:13" s="114" customFormat="1" ht="38.25">
      <c r="A367" s="136">
        <v>365</v>
      </c>
      <c r="B367" s="129" t="s">
        <v>1536</v>
      </c>
      <c r="C367" s="129" t="s">
        <v>1537</v>
      </c>
      <c r="D367" s="137" t="s">
        <v>1538</v>
      </c>
      <c r="E367" s="84" t="s">
        <v>1539</v>
      </c>
      <c r="F367" s="113"/>
      <c r="G367" s="131"/>
      <c r="H367" s="186" t="s">
        <v>1540</v>
      </c>
      <c r="I367" s="125" t="s">
        <v>326</v>
      </c>
      <c r="J367" s="125" t="s">
        <v>331</v>
      </c>
      <c r="K367" s="125" t="s">
        <v>512</v>
      </c>
      <c r="L367" s="138" t="s">
        <v>507</v>
      </c>
      <c r="M367" s="138" t="s">
        <v>508</v>
      </c>
    </row>
    <row r="368" spans="1:13" s="114" customFormat="1" ht="38.25">
      <c r="A368" s="136">
        <v>366</v>
      </c>
      <c r="B368" s="129" t="s">
        <v>1541</v>
      </c>
      <c r="C368" s="129" t="s">
        <v>1542</v>
      </c>
      <c r="D368" s="137" t="s">
        <v>1543</v>
      </c>
      <c r="E368" s="84" t="s">
        <v>1544</v>
      </c>
      <c r="F368" s="113"/>
      <c r="G368" s="131"/>
      <c r="H368" s="186" t="s">
        <v>633</v>
      </c>
      <c r="I368" s="125" t="s">
        <v>326</v>
      </c>
      <c r="J368" s="125" t="s">
        <v>331</v>
      </c>
      <c r="K368" s="125" t="s">
        <v>512</v>
      </c>
      <c r="L368" s="138" t="s">
        <v>507</v>
      </c>
      <c r="M368" s="138" t="s">
        <v>508</v>
      </c>
    </row>
    <row r="369" spans="1:13" s="114" customFormat="1" ht="38.25">
      <c r="A369" s="136">
        <v>367</v>
      </c>
      <c r="B369" s="129" t="s">
        <v>1540</v>
      </c>
      <c r="C369" s="129" t="s">
        <v>1542</v>
      </c>
      <c r="D369" s="137" t="s">
        <v>1543</v>
      </c>
      <c r="E369" s="84" t="s">
        <v>1545</v>
      </c>
      <c r="F369" s="113"/>
      <c r="G369" s="131"/>
      <c r="H369" s="186" t="s">
        <v>1546</v>
      </c>
      <c r="I369" s="125" t="s">
        <v>326</v>
      </c>
      <c r="J369" s="125" t="s">
        <v>331</v>
      </c>
      <c r="K369" s="125" t="s">
        <v>512</v>
      </c>
      <c r="L369" s="138" t="s">
        <v>507</v>
      </c>
      <c r="M369" s="138" t="s">
        <v>508</v>
      </c>
    </row>
    <row r="370" spans="1:13" s="114" customFormat="1" ht="25.5">
      <c r="A370" s="136">
        <v>368</v>
      </c>
      <c r="B370" s="129" t="s">
        <v>1547</v>
      </c>
      <c r="C370" s="129" t="s">
        <v>1548</v>
      </c>
      <c r="D370" s="137" t="s">
        <v>1549</v>
      </c>
      <c r="E370" s="84" t="s">
        <v>1550</v>
      </c>
      <c r="F370" s="113"/>
      <c r="G370" s="131"/>
      <c r="H370" s="186" t="s">
        <v>1551</v>
      </c>
      <c r="I370" s="125" t="s">
        <v>326</v>
      </c>
      <c r="J370" s="125" t="s">
        <v>346</v>
      </c>
      <c r="K370" s="125" t="s">
        <v>761</v>
      </c>
      <c r="L370" s="138" t="s">
        <v>507</v>
      </c>
      <c r="M370" s="138" t="s">
        <v>508</v>
      </c>
    </row>
    <row r="371" spans="1:13" s="114" customFormat="1" ht="38.25">
      <c r="A371" s="136">
        <v>369</v>
      </c>
      <c r="B371" s="129" t="s">
        <v>1552</v>
      </c>
      <c r="C371" s="129" t="s">
        <v>1548</v>
      </c>
      <c r="D371" s="137" t="s">
        <v>1549</v>
      </c>
      <c r="E371" s="84" t="s">
        <v>1553</v>
      </c>
      <c r="F371" s="113"/>
      <c r="G371" s="131"/>
      <c r="H371" s="186" t="s">
        <v>1540</v>
      </c>
      <c r="I371" s="125" t="s">
        <v>326</v>
      </c>
      <c r="J371" s="125" t="s">
        <v>331</v>
      </c>
      <c r="K371" s="125" t="s">
        <v>512</v>
      </c>
      <c r="L371" s="138" t="s">
        <v>507</v>
      </c>
      <c r="M371" s="138" t="s">
        <v>508</v>
      </c>
    </row>
    <row r="372" spans="1:13" s="114" customFormat="1" ht="38.25">
      <c r="A372" s="136">
        <v>370</v>
      </c>
      <c r="B372" s="129" t="s">
        <v>1554</v>
      </c>
      <c r="C372" s="129" t="s">
        <v>1548</v>
      </c>
      <c r="D372" s="137" t="s">
        <v>1549</v>
      </c>
      <c r="E372" s="84" t="s">
        <v>1555</v>
      </c>
      <c r="F372" s="113"/>
      <c r="G372" s="131"/>
      <c r="H372" s="186" t="s">
        <v>1041</v>
      </c>
      <c r="I372" s="125" t="s">
        <v>326</v>
      </c>
      <c r="J372" s="125" t="s">
        <v>352</v>
      </c>
      <c r="K372" s="125" t="s">
        <v>1044</v>
      </c>
      <c r="L372" s="138" t="s">
        <v>507</v>
      </c>
      <c r="M372" s="138" t="s">
        <v>508</v>
      </c>
    </row>
    <row r="373" spans="1:13" s="114" customFormat="1" ht="25.5">
      <c r="A373" s="136">
        <v>371</v>
      </c>
      <c r="B373" s="129" t="s">
        <v>1531</v>
      </c>
      <c r="C373" s="129" t="s">
        <v>1548</v>
      </c>
      <c r="D373" s="137" t="s">
        <v>1549</v>
      </c>
      <c r="E373" s="84" t="s">
        <v>1556</v>
      </c>
      <c r="F373" s="113"/>
      <c r="G373" s="131"/>
      <c r="H373" s="186" t="s">
        <v>1557</v>
      </c>
      <c r="I373" s="125" t="s">
        <v>326</v>
      </c>
      <c r="J373" s="125" t="s">
        <v>346</v>
      </c>
      <c r="K373" s="125" t="s">
        <v>761</v>
      </c>
      <c r="L373" s="138" t="s">
        <v>507</v>
      </c>
      <c r="M373" s="138" t="s">
        <v>508</v>
      </c>
    </row>
    <row r="374" spans="1:13" s="114" customFormat="1" ht="38.25">
      <c r="A374" s="136">
        <v>372</v>
      </c>
      <c r="B374" s="129" t="s">
        <v>1558</v>
      </c>
      <c r="C374" s="129" t="s">
        <v>1548</v>
      </c>
      <c r="D374" s="137" t="s">
        <v>1549</v>
      </c>
      <c r="E374" s="84" t="s">
        <v>1559</v>
      </c>
      <c r="F374" s="113"/>
      <c r="G374" s="131"/>
      <c r="H374" s="186" t="s">
        <v>1531</v>
      </c>
      <c r="I374" s="125" t="s">
        <v>326</v>
      </c>
      <c r="J374" s="125" t="s">
        <v>346</v>
      </c>
      <c r="K374" s="125" t="s">
        <v>761</v>
      </c>
      <c r="L374" s="138" t="s">
        <v>507</v>
      </c>
      <c r="M374" s="138" t="s">
        <v>508</v>
      </c>
    </row>
    <row r="375" spans="1:13" s="114" customFormat="1" ht="38.25">
      <c r="A375" s="136">
        <v>373</v>
      </c>
      <c r="B375" s="129" t="s">
        <v>1560</v>
      </c>
      <c r="C375" s="129" t="s">
        <v>1548</v>
      </c>
      <c r="D375" s="137" t="s">
        <v>1549</v>
      </c>
      <c r="E375" s="84" t="s">
        <v>1561</v>
      </c>
      <c r="F375" s="113"/>
      <c r="G375" s="131"/>
      <c r="H375" s="186" t="s">
        <v>543</v>
      </c>
      <c r="I375" s="125" t="s">
        <v>326</v>
      </c>
      <c r="J375" s="125" t="s">
        <v>331</v>
      </c>
      <c r="K375" s="125" t="s">
        <v>512</v>
      </c>
      <c r="L375" s="138" t="s">
        <v>507</v>
      </c>
      <c r="M375" s="138" t="s">
        <v>508</v>
      </c>
    </row>
    <row r="376" spans="1:13" s="114" customFormat="1" ht="38.25">
      <c r="A376" s="136">
        <v>374</v>
      </c>
      <c r="B376" s="129" t="s">
        <v>1562</v>
      </c>
      <c r="C376" s="129" t="s">
        <v>1563</v>
      </c>
      <c r="D376" s="137" t="s">
        <v>1564</v>
      </c>
      <c r="E376" s="84" t="s">
        <v>1565</v>
      </c>
      <c r="F376" s="113"/>
      <c r="G376" s="131"/>
      <c r="H376" s="186" t="s">
        <v>543</v>
      </c>
      <c r="I376" s="125" t="s">
        <v>326</v>
      </c>
      <c r="J376" s="125" t="s">
        <v>331</v>
      </c>
      <c r="K376" s="125" t="s">
        <v>512</v>
      </c>
      <c r="L376" s="138" t="s">
        <v>507</v>
      </c>
      <c r="M376" s="138" t="s">
        <v>508</v>
      </c>
    </row>
    <row r="377" spans="1:13" s="114" customFormat="1" ht="25.5">
      <c r="A377" s="136">
        <v>375</v>
      </c>
      <c r="B377" s="129" t="s">
        <v>1566</v>
      </c>
      <c r="C377" s="129" t="s">
        <v>1563</v>
      </c>
      <c r="D377" s="137" t="s">
        <v>1564</v>
      </c>
      <c r="E377" s="84" t="s">
        <v>1567</v>
      </c>
      <c r="F377" s="113"/>
      <c r="G377" s="131"/>
      <c r="H377" s="186" t="s">
        <v>1568</v>
      </c>
      <c r="I377" s="125" t="s">
        <v>326</v>
      </c>
      <c r="J377" s="125" t="s">
        <v>346</v>
      </c>
      <c r="K377" s="125" t="s">
        <v>761</v>
      </c>
      <c r="L377" s="138" t="s">
        <v>507</v>
      </c>
      <c r="M377" s="138" t="s">
        <v>508</v>
      </c>
    </row>
    <row r="378" spans="1:13" s="114" customFormat="1" ht="25.5">
      <c r="A378" s="136">
        <v>376</v>
      </c>
      <c r="B378" s="129" t="s">
        <v>1569</v>
      </c>
      <c r="C378" s="129" t="s">
        <v>1570</v>
      </c>
      <c r="D378" s="137" t="s">
        <v>1571</v>
      </c>
      <c r="E378" s="84" t="s">
        <v>1572</v>
      </c>
      <c r="F378" s="113"/>
      <c r="G378" s="131"/>
      <c r="H378" s="186" t="s">
        <v>1568</v>
      </c>
      <c r="I378" s="125" t="s">
        <v>326</v>
      </c>
      <c r="J378" s="125" t="s">
        <v>346</v>
      </c>
      <c r="K378" s="125" t="s">
        <v>761</v>
      </c>
      <c r="L378" s="138" t="s">
        <v>507</v>
      </c>
      <c r="M378" s="138" t="s">
        <v>508</v>
      </c>
    </row>
    <row r="379" spans="1:13" s="114" customFormat="1" ht="51">
      <c r="A379" s="136">
        <v>377</v>
      </c>
      <c r="B379" s="129" t="s">
        <v>1573</v>
      </c>
      <c r="C379" s="129" t="s">
        <v>1570</v>
      </c>
      <c r="D379" s="137" t="s">
        <v>1571</v>
      </c>
      <c r="E379" s="84" t="s">
        <v>1574</v>
      </c>
      <c r="F379" s="113"/>
      <c r="G379" s="131"/>
      <c r="H379" s="186" t="s">
        <v>1575</v>
      </c>
      <c r="I379" s="125" t="s">
        <v>326</v>
      </c>
      <c r="J379" s="125" t="s">
        <v>341</v>
      </c>
      <c r="K379" s="125" t="s">
        <v>1576</v>
      </c>
      <c r="L379" s="138" t="s">
        <v>314</v>
      </c>
      <c r="M379" s="138" t="s">
        <v>953</v>
      </c>
    </row>
    <row r="380" spans="1:13" s="114" customFormat="1" ht="38.25">
      <c r="A380" s="136">
        <v>378</v>
      </c>
      <c r="B380" s="129" t="s">
        <v>1577</v>
      </c>
      <c r="C380" s="129" t="s">
        <v>1570</v>
      </c>
      <c r="D380" s="137" t="s">
        <v>1571</v>
      </c>
      <c r="E380" s="84" t="s">
        <v>1578</v>
      </c>
      <c r="F380" s="113"/>
      <c r="G380" s="131"/>
      <c r="H380" s="186" t="s">
        <v>1579</v>
      </c>
      <c r="I380" s="125" t="s">
        <v>327</v>
      </c>
      <c r="J380" s="125" t="s">
        <v>337</v>
      </c>
      <c r="K380" s="125" t="s">
        <v>1440</v>
      </c>
      <c r="L380" s="138" t="s">
        <v>507</v>
      </c>
      <c r="M380" s="138" t="s">
        <v>508</v>
      </c>
    </row>
    <row r="381" spans="1:13" s="114" customFormat="1" ht="25.5">
      <c r="A381" s="136">
        <v>379</v>
      </c>
      <c r="B381" s="129" t="s">
        <v>1575</v>
      </c>
      <c r="C381" s="129" t="s">
        <v>1570</v>
      </c>
      <c r="D381" s="137" t="s">
        <v>1571</v>
      </c>
      <c r="E381" s="84" t="s">
        <v>1580</v>
      </c>
      <c r="F381" s="113"/>
      <c r="G381" s="131"/>
      <c r="H381" s="186" t="s">
        <v>1581</v>
      </c>
      <c r="I381" s="125" t="s">
        <v>326</v>
      </c>
      <c r="J381" s="125" t="s">
        <v>341</v>
      </c>
      <c r="K381" s="125" t="s">
        <v>1576</v>
      </c>
      <c r="L381" s="138" t="s">
        <v>314</v>
      </c>
      <c r="M381" s="138" t="s">
        <v>508</v>
      </c>
    </row>
    <row r="382" spans="1:13" s="114" customFormat="1" ht="51">
      <c r="A382" s="136">
        <v>380</v>
      </c>
      <c r="B382" s="129" t="s">
        <v>1582</v>
      </c>
      <c r="C382" s="129" t="s">
        <v>1583</v>
      </c>
      <c r="D382" s="137" t="s">
        <v>1584</v>
      </c>
      <c r="E382" s="84" t="s">
        <v>1585</v>
      </c>
      <c r="F382" s="113"/>
      <c r="G382" s="131"/>
      <c r="H382" s="186" t="s">
        <v>1586</v>
      </c>
      <c r="I382" s="125" t="s">
        <v>326</v>
      </c>
      <c r="J382" s="125" t="s">
        <v>331</v>
      </c>
      <c r="K382" s="125" t="s">
        <v>1191</v>
      </c>
      <c r="L382" s="138" t="s">
        <v>314</v>
      </c>
      <c r="M382" s="138" t="s">
        <v>953</v>
      </c>
    </row>
    <row r="383" spans="1:13" s="114" customFormat="1" ht="51">
      <c r="A383" s="136">
        <v>381</v>
      </c>
      <c r="B383" s="129" t="s">
        <v>1587</v>
      </c>
      <c r="C383" s="129" t="s">
        <v>1588</v>
      </c>
      <c r="D383" s="137" t="s">
        <v>1589</v>
      </c>
      <c r="E383" s="84" t="s">
        <v>1590</v>
      </c>
      <c r="F383" s="113"/>
      <c r="G383" s="131"/>
      <c r="H383" s="186" t="s">
        <v>974</v>
      </c>
      <c r="I383" s="125" t="s">
        <v>326</v>
      </c>
      <c r="J383" s="125" t="s">
        <v>352</v>
      </c>
      <c r="K383" s="125" t="s">
        <v>597</v>
      </c>
      <c r="L383" s="138" t="s">
        <v>314</v>
      </c>
      <c r="M383" s="138" t="s">
        <v>953</v>
      </c>
    </row>
    <row r="384" spans="1:13" s="114" customFormat="1" ht="51">
      <c r="A384" s="136">
        <v>382</v>
      </c>
      <c r="B384" s="129" t="s">
        <v>1591</v>
      </c>
      <c r="C384" s="129" t="s">
        <v>1588</v>
      </c>
      <c r="D384" s="137" t="s">
        <v>1589</v>
      </c>
      <c r="E384" s="84" t="s">
        <v>1592</v>
      </c>
      <c r="F384" s="113"/>
      <c r="G384" s="131"/>
      <c r="H384" s="186" t="s">
        <v>971</v>
      </c>
      <c r="I384" s="125" t="s">
        <v>326</v>
      </c>
      <c r="J384" s="125" t="s">
        <v>352</v>
      </c>
      <c r="K384" s="125" t="s">
        <v>597</v>
      </c>
      <c r="L384" s="138" t="s">
        <v>314</v>
      </c>
      <c r="M384" s="138" t="s">
        <v>953</v>
      </c>
    </row>
    <row r="385" spans="1:13" s="114" customFormat="1" ht="38.25">
      <c r="A385" s="136">
        <v>383</v>
      </c>
      <c r="B385" s="129" t="s">
        <v>1593</v>
      </c>
      <c r="C385" s="129" t="s">
        <v>1588</v>
      </c>
      <c r="D385" s="137" t="s">
        <v>1589</v>
      </c>
      <c r="E385" s="84" t="s">
        <v>1594</v>
      </c>
      <c r="F385" s="113"/>
      <c r="G385" s="131"/>
      <c r="H385" s="186" t="s">
        <v>617</v>
      </c>
      <c r="I385" s="125" t="s">
        <v>326</v>
      </c>
      <c r="J385" s="125" t="s">
        <v>331</v>
      </c>
      <c r="K385" s="125" t="s">
        <v>618</v>
      </c>
      <c r="L385" s="138" t="s">
        <v>507</v>
      </c>
      <c r="M385" s="138" t="s">
        <v>508</v>
      </c>
    </row>
    <row r="386" spans="1:13" s="114" customFormat="1" ht="51">
      <c r="A386" s="136">
        <v>384</v>
      </c>
      <c r="B386" s="129" t="s">
        <v>1595</v>
      </c>
      <c r="C386" s="129" t="s">
        <v>1588</v>
      </c>
      <c r="D386" s="137" t="s">
        <v>1589</v>
      </c>
      <c r="E386" s="84" t="s">
        <v>1596</v>
      </c>
      <c r="F386" s="113"/>
      <c r="G386" s="131"/>
      <c r="H386" s="186" t="s">
        <v>971</v>
      </c>
      <c r="I386" s="125" t="s">
        <v>326</v>
      </c>
      <c r="J386" s="125" t="s">
        <v>352</v>
      </c>
      <c r="K386" s="125" t="s">
        <v>597</v>
      </c>
      <c r="L386" s="138" t="s">
        <v>314</v>
      </c>
      <c r="M386" s="138" t="s">
        <v>953</v>
      </c>
    </row>
    <row r="387" spans="1:13" s="114" customFormat="1" ht="51">
      <c r="A387" s="136">
        <v>385</v>
      </c>
      <c r="B387" s="129" t="s">
        <v>1597</v>
      </c>
      <c r="C387" s="129" t="s">
        <v>1588</v>
      </c>
      <c r="D387" s="137" t="s">
        <v>1589</v>
      </c>
      <c r="E387" s="84" t="s">
        <v>1598</v>
      </c>
      <c r="F387" s="113"/>
      <c r="G387" s="131"/>
      <c r="H387" s="186" t="s">
        <v>1579</v>
      </c>
      <c r="I387" s="125" t="s">
        <v>327</v>
      </c>
      <c r="J387" s="125" t="s">
        <v>337</v>
      </c>
      <c r="K387" s="125" t="s">
        <v>1440</v>
      </c>
      <c r="L387" s="138" t="s">
        <v>314</v>
      </c>
      <c r="M387" s="138" t="s">
        <v>953</v>
      </c>
    </row>
    <row r="388" spans="1:13" s="114" customFormat="1" ht="51">
      <c r="A388" s="136">
        <v>386</v>
      </c>
      <c r="B388" s="129" t="s">
        <v>1599</v>
      </c>
      <c r="C388" s="129" t="s">
        <v>1588</v>
      </c>
      <c r="D388" s="137" t="s">
        <v>1589</v>
      </c>
      <c r="E388" s="84" t="s">
        <v>1600</v>
      </c>
      <c r="F388" s="113"/>
      <c r="G388" s="131"/>
      <c r="H388" s="186" t="s">
        <v>971</v>
      </c>
      <c r="I388" s="125" t="s">
        <v>326</v>
      </c>
      <c r="J388" s="125" t="s">
        <v>352</v>
      </c>
      <c r="K388" s="125" t="s">
        <v>597</v>
      </c>
      <c r="L388" s="138" t="s">
        <v>314</v>
      </c>
      <c r="M388" s="138" t="s">
        <v>953</v>
      </c>
    </row>
    <row r="389" spans="1:13" s="114" customFormat="1" ht="51">
      <c r="A389" s="136">
        <v>387</v>
      </c>
      <c r="B389" s="129" t="s">
        <v>1601</v>
      </c>
      <c r="C389" s="129" t="s">
        <v>1588</v>
      </c>
      <c r="D389" s="137" t="s">
        <v>1589</v>
      </c>
      <c r="E389" s="84" t="s">
        <v>1602</v>
      </c>
      <c r="F389" s="113"/>
      <c r="G389" s="131"/>
      <c r="H389" s="186" t="s">
        <v>971</v>
      </c>
      <c r="I389" s="125" t="s">
        <v>326</v>
      </c>
      <c r="J389" s="125" t="s">
        <v>352</v>
      </c>
      <c r="K389" s="125" t="s">
        <v>597</v>
      </c>
      <c r="L389" s="138" t="s">
        <v>314</v>
      </c>
      <c r="M389" s="138" t="s">
        <v>953</v>
      </c>
    </row>
    <row r="390" spans="1:13" s="114" customFormat="1" ht="25.5">
      <c r="A390" s="136">
        <v>388</v>
      </c>
      <c r="B390" s="129" t="s">
        <v>1603</v>
      </c>
      <c r="C390" s="129" t="s">
        <v>1588</v>
      </c>
      <c r="D390" s="137" t="s">
        <v>1589</v>
      </c>
      <c r="E390" s="84" t="s">
        <v>1604</v>
      </c>
      <c r="F390" s="113"/>
      <c r="G390" s="131"/>
      <c r="H390" s="186" t="s">
        <v>1605</v>
      </c>
      <c r="I390" s="125" t="s">
        <v>326</v>
      </c>
      <c r="J390" s="125" t="s">
        <v>352</v>
      </c>
      <c r="K390" s="125" t="s">
        <v>597</v>
      </c>
      <c r="L390" s="138" t="s">
        <v>507</v>
      </c>
      <c r="M390" s="138" t="s">
        <v>508</v>
      </c>
    </row>
    <row r="391" spans="1:13" s="114" customFormat="1" ht="51">
      <c r="A391" s="136">
        <v>389</v>
      </c>
      <c r="B391" s="129" t="s">
        <v>1606</v>
      </c>
      <c r="C391" s="129" t="s">
        <v>1588</v>
      </c>
      <c r="D391" s="137" t="s">
        <v>1589</v>
      </c>
      <c r="E391" s="84" t="s">
        <v>1607</v>
      </c>
      <c r="F391" s="113"/>
      <c r="G391" s="131"/>
      <c r="H391" s="186" t="s">
        <v>1586</v>
      </c>
      <c r="I391" s="125" t="s">
        <v>326</v>
      </c>
      <c r="J391" s="125" t="s">
        <v>331</v>
      </c>
      <c r="K391" s="125" t="s">
        <v>1191</v>
      </c>
      <c r="L391" s="138" t="s">
        <v>314</v>
      </c>
      <c r="M391" s="138" t="s">
        <v>953</v>
      </c>
    </row>
    <row r="392" spans="1:13" s="114" customFormat="1" ht="25.5">
      <c r="A392" s="136">
        <v>390</v>
      </c>
      <c r="B392" s="129" t="s">
        <v>1608</v>
      </c>
      <c r="C392" s="129" t="s">
        <v>1588</v>
      </c>
      <c r="D392" s="137" t="s">
        <v>1589</v>
      </c>
      <c r="E392" s="84" t="s">
        <v>1609</v>
      </c>
      <c r="F392" s="113"/>
      <c r="G392" s="131"/>
      <c r="H392" s="186" t="s">
        <v>1610</v>
      </c>
      <c r="I392" s="125" t="s">
        <v>326</v>
      </c>
      <c r="J392" s="125" t="s">
        <v>352</v>
      </c>
      <c r="K392" s="125" t="s">
        <v>597</v>
      </c>
      <c r="L392" s="138" t="s">
        <v>507</v>
      </c>
      <c r="M392" s="138" t="s">
        <v>508</v>
      </c>
    </row>
    <row r="393" spans="1:13" s="114" customFormat="1" ht="25.5">
      <c r="A393" s="136">
        <v>391</v>
      </c>
      <c r="B393" s="129" t="s">
        <v>1611</v>
      </c>
      <c r="C393" s="129" t="s">
        <v>1588</v>
      </c>
      <c r="D393" s="137" t="s">
        <v>1589</v>
      </c>
      <c r="E393" s="84" t="s">
        <v>1612</v>
      </c>
      <c r="F393" s="113"/>
      <c r="G393" s="131"/>
      <c r="H393" s="186" t="s">
        <v>974</v>
      </c>
      <c r="I393" s="125" t="s">
        <v>326</v>
      </c>
      <c r="J393" s="125" t="s">
        <v>352</v>
      </c>
      <c r="K393" s="125" t="s">
        <v>597</v>
      </c>
      <c r="L393" s="138" t="s">
        <v>314</v>
      </c>
      <c r="M393" s="138" t="s">
        <v>508</v>
      </c>
    </row>
    <row r="394" spans="1:13" s="114" customFormat="1" ht="51">
      <c r="A394" s="136">
        <v>392</v>
      </c>
      <c r="B394" s="129" t="s">
        <v>1613</v>
      </c>
      <c r="C394" s="129" t="s">
        <v>1588</v>
      </c>
      <c r="D394" s="137" t="s">
        <v>1589</v>
      </c>
      <c r="E394" s="84" t="s">
        <v>1614</v>
      </c>
      <c r="F394" s="113"/>
      <c r="G394" s="131"/>
      <c r="H394" s="186" t="s">
        <v>971</v>
      </c>
      <c r="I394" s="125" t="s">
        <v>326</v>
      </c>
      <c r="J394" s="125" t="s">
        <v>352</v>
      </c>
      <c r="K394" s="125" t="s">
        <v>597</v>
      </c>
      <c r="L394" s="138" t="s">
        <v>314</v>
      </c>
      <c r="M394" s="138" t="s">
        <v>953</v>
      </c>
    </row>
    <row r="395" spans="1:13" s="114" customFormat="1" ht="38.25">
      <c r="A395" s="136">
        <v>393</v>
      </c>
      <c r="B395" s="129" t="s">
        <v>1615</v>
      </c>
      <c r="C395" s="129" t="s">
        <v>1588</v>
      </c>
      <c r="D395" s="137" t="s">
        <v>1589</v>
      </c>
      <c r="E395" s="84" t="s">
        <v>1616</v>
      </c>
      <c r="F395" s="113"/>
      <c r="G395" s="131"/>
      <c r="H395" s="186" t="s">
        <v>1617</v>
      </c>
      <c r="I395" s="125" t="s">
        <v>326</v>
      </c>
      <c r="J395" s="125" t="s">
        <v>352</v>
      </c>
      <c r="K395" s="125" t="s">
        <v>561</v>
      </c>
      <c r="L395" s="138" t="s">
        <v>507</v>
      </c>
      <c r="M395" s="138" t="s">
        <v>508</v>
      </c>
    </row>
    <row r="396" spans="1:13" s="114" customFormat="1" ht="51">
      <c r="A396" s="136">
        <v>394</v>
      </c>
      <c r="B396" s="129" t="s">
        <v>1618</v>
      </c>
      <c r="C396" s="129" t="s">
        <v>1588</v>
      </c>
      <c r="D396" s="137" t="s">
        <v>1589</v>
      </c>
      <c r="E396" s="84" t="s">
        <v>1619</v>
      </c>
      <c r="F396" s="113"/>
      <c r="G396" s="131"/>
      <c r="H396" s="186" t="s">
        <v>971</v>
      </c>
      <c r="I396" s="125" t="s">
        <v>326</v>
      </c>
      <c r="J396" s="125" t="s">
        <v>352</v>
      </c>
      <c r="K396" s="125" t="s">
        <v>597</v>
      </c>
      <c r="L396" s="138" t="s">
        <v>314</v>
      </c>
      <c r="M396" s="138" t="s">
        <v>953</v>
      </c>
    </row>
    <row r="397" spans="1:13" s="114" customFormat="1" ht="25.5">
      <c r="A397" s="136">
        <v>395</v>
      </c>
      <c r="B397" s="129" t="s">
        <v>1586</v>
      </c>
      <c r="C397" s="129" t="s">
        <v>1588</v>
      </c>
      <c r="D397" s="137" t="s">
        <v>1589</v>
      </c>
      <c r="E397" s="84" t="s">
        <v>1620</v>
      </c>
      <c r="F397" s="113"/>
      <c r="G397" s="131"/>
      <c r="H397" s="186" t="s">
        <v>1621</v>
      </c>
      <c r="I397" s="125" t="s">
        <v>326</v>
      </c>
      <c r="J397" s="125" t="s">
        <v>331</v>
      </c>
      <c r="K397" s="125" t="s">
        <v>1191</v>
      </c>
      <c r="L397" s="138" t="s">
        <v>314</v>
      </c>
      <c r="M397" s="138" t="s">
        <v>508</v>
      </c>
    </row>
    <row r="398" spans="1:13" s="114" customFormat="1" ht="25.5">
      <c r="A398" s="136">
        <v>396</v>
      </c>
      <c r="B398" s="129" t="s">
        <v>1622</v>
      </c>
      <c r="C398" s="129" t="s">
        <v>1588</v>
      </c>
      <c r="D398" s="137" t="s">
        <v>1589</v>
      </c>
      <c r="E398" s="84" t="s">
        <v>1623</v>
      </c>
      <c r="F398" s="113"/>
      <c r="G398" s="131"/>
      <c r="H398" s="186" t="s">
        <v>1586</v>
      </c>
      <c r="I398" s="125" t="s">
        <v>326</v>
      </c>
      <c r="J398" s="125" t="s">
        <v>331</v>
      </c>
      <c r="K398" s="125" t="s">
        <v>1191</v>
      </c>
      <c r="L398" s="138" t="s">
        <v>314</v>
      </c>
      <c r="M398" s="138" t="s">
        <v>508</v>
      </c>
    </row>
    <row r="399" spans="1:13" s="114" customFormat="1" ht="25.5">
      <c r="A399" s="136">
        <v>397</v>
      </c>
      <c r="B399" s="129" t="s">
        <v>1624</v>
      </c>
      <c r="C399" s="129" t="s">
        <v>1588</v>
      </c>
      <c r="D399" s="137" t="s">
        <v>1589</v>
      </c>
      <c r="E399" s="84" t="s">
        <v>1625</v>
      </c>
      <c r="F399" s="113"/>
      <c r="G399" s="131"/>
      <c r="H399" s="186" t="s">
        <v>1188</v>
      </c>
      <c r="I399" s="125" t="s">
        <v>326</v>
      </c>
      <c r="J399" s="125" t="s">
        <v>331</v>
      </c>
      <c r="K399" s="125" t="s">
        <v>1191</v>
      </c>
      <c r="L399" s="138" t="s">
        <v>507</v>
      </c>
      <c r="M399" s="138" t="s">
        <v>508</v>
      </c>
    </row>
    <row r="400" spans="1:13" s="114" customFormat="1" ht="51">
      <c r="A400" s="136">
        <v>398</v>
      </c>
      <c r="B400" s="129" t="s">
        <v>1626</v>
      </c>
      <c r="C400" s="129" t="s">
        <v>1588</v>
      </c>
      <c r="D400" s="137" t="s">
        <v>1589</v>
      </c>
      <c r="E400" s="84" t="s">
        <v>1627</v>
      </c>
      <c r="F400" s="113"/>
      <c r="G400" s="131"/>
      <c r="H400" s="186" t="s">
        <v>971</v>
      </c>
      <c r="I400" s="125" t="s">
        <v>326</v>
      </c>
      <c r="J400" s="125" t="s">
        <v>352</v>
      </c>
      <c r="K400" s="125" t="s">
        <v>597</v>
      </c>
      <c r="L400" s="138" t="s">
        <v>314</v>
      </c>
      <c r="M400" s="138" t="s">
        <v>953</v>
      </c>
    </row>
    <row r="401" spans="1:13" s="114" customFormat="1" ht="12.75">
      <c r="A401" s="136">
        <v>399</v>
      </c>
      <c r="B401" s="129" t="s">
        <v>1628</v>
      </c>
      <c r="C401" s="129" t="s">
        <v>1588</v>
      </c>
      <c r="D401" s="137" t="s">
        <v>1589</v>
      </c>
      <c r="E401" s="84" t="s">
        <v>1629</v>
      </c>
      <c r="F401" s="113"/>
      <c r="G401" s="131"/>
      <c r="H401" s="186" t="s">
        <v>600</v>
      </c>
      <c r="I401" s="125" t="s">
        <v>326</v>
      </c>
      <c r="J401" s="125" t="s">
        <v>341</v>
      </c>
      <c r="K401" s="125" t="s">
        <v>601</v>
      </c>
      <c r="L401" s="138" t="s">
        <v>507</v>
      </c>
      <c r="M401" s="138" t="s">
        <v>508</v>
      </c>
    </row>
    <row r="402" spans="1:13" s="114" customFormat="1" ht="63.75">
      <c r="A402" s="136">
        <v>400</v>
      </c>
      <c r="B402" s="129" t="s">
        <v>1630</v>
      </c>
      <c r="C402" s="129" t="s">
        <v>1631</v>
      </c>
      <c r="D402" s="137" t="s">
        <v>1632</v>
      </c>
      <c r="E402" s="84" t="s">
        <v>1633</v>
      </c>
      <c r="F402" s="113"/>
      <c r="G402" s="131"/>
      <c r="H402" s="186" t="s">
        <v>1024</v>
      </c>
      <c r="I402" s="125" t="s">
        <v>326</v>
      </c>
      <c r="J402" s="125" t="s">
        <v>341</v>
      </c>
      <c r="K402" s="125" t="s">
        <v>580</v>
      </c>
      <c r="L402" s="138" t="s">
        <v>507</v>
      </c>
      <c r="M402" s="138" t="s">
        <v>508</v>
      </c>
    </row>
    <row r="403" spans="1:13" s="114" customFormat="1" ht="38.25">
      <c r="A403" s="136">
        <v>401</v>
      </c>
      <c r="B403" s="129" t="s">
        <v>1634</v>
      </c>
      <c r="C403" s="129" t="s">
        <v>1631</v>
      </c>
      <c r="D403" s="137" t="s">
        <v>1632</v>
      </c>
      <c r="E403" s="84" t="s">
        <v>1635</v>
      </c>
      <c r="F403" s="113"/>
      <c r="G403" s="131"/>
      <c r="H403" s="186" t="s">
        <v>600</v>
      </c>
      <c r="I403" s="125" t="s">
        <v>326</v>
      </c>
      <c r="J403" s="125" t="s">
        <v>341</v>
      </c>
      <c r="K403" s="125" t="s">
        <v>601</v>
      </c>
      <c r="L403" s="138" t="s">
        <v>507</v>
      </c>
      <c r="M403" s="138" t="s">
        <v>508</v>
      </c>
    </row>
    <row r="404" spans="1:13" s="114" customFormat="1" ht="38.25">
      <c r="A404" s="136">
        <v>402</v>
      </c>
      <c r="B404" s="129" t="s">
        <v>1636</v>
      </c>
      <c r="C404" s="129" t="s">
        <v>1631</v>
      </c>
      <c r="D404" s="137" t="s">
        <v>1632</v>
      </c>
      <c r="E404" s="84" t="s">
        <v>1637</v>
      </c>
      <c r="F404" s="113"/>
      <c r="G404" s="131"/>
      <c r="H404" s="186" t="s">
        <v>896</v>
      </c>
      <c r="I404" s="125" t="s">
        <v>326</v>
      </c>
      <c r="J404" s="125" t="s">
        <v>341</v>
      </c>
      <c r="K404" s="125" t="s">
        <v>580</v>
      </c>
      <c r="L404" s="138" t="s">
        <v>507</v>
      </c>
      <c r="M404" s="138" t="s">
        <v>508</v>
      </c>
    </row>
    <row r="405" spans="1:13" s="114" customFormat="1" ht="38.25">
      <c r="A405" s="136">
        <v>403</v>
      </c>
      <c r="B405" s="129" t="s">
        <v>1638</v>
      </c>
      <c r="C405" s="129" t="s">
        <v>1631</v>
      </c>
      <c r="D405" s="137" t="s">
        <v>1632</v>
      </c>
      <c r="E405" s="84" t="s">
        <v>1639</v>
      </c>
      <c r="F405" s="113"/>
      <c r="G405" s="131"/>
      <c r="H405" s="186" t="s">
        <v>600</v>
      </c>
      <c r="I405" s="125" t="s">
        <v>326</v>
      </c>
      <c r="J405" s="125" t="s">
        <v>341</v>
      </c>
      <c r="K405" s="125" t="s">
        <v>601</v>
      </c>
      <c r="L405" s="138" t="s">
        <v>507</v>
      </c>
      <c r="M405" s="138" t="s">
        <v>508</v>
      </c>
    </row>
    <row r="406" spans="1:13" s="114" customFormat="1" ht="38.25">
      <c r="A406" s="136">
        <v>404</v>
      </c>
      <c r="B406" s="129" t="s">
        <v>1640</v>
      </c>
      <c r="C406" s="129" t="s">
        <v>1631</v>
      </c>
      <c r="D406" s="137" t="s">
        <v>1632</v>
      </c>
      <c r="E406" s="84" t="s">
        <v>1641</v>
      </c>
      <c r="F406" s="113"/>
      <c r="G406" s="131"/>
      <c r="H406" s="186" t="s">
        <v>974</v>
      </c>
      <c r="I406" s="125" t="s">
        <v>326</v>
      </c>
      <c r="J406" s="125" t="s">
        <v>352</v>
      </c>
      <c r="K406" s="125" t="s">
        <v>597</v>
      </c>
      <c r="L406" s="138" t="s">
        <v>507</v>
      </c>
      <c r="M406" s="138" t="s">
        <v>508</v>
      </c>
    </row>
    <row r="407" spans="1:13" s="114" customFormat="1" ht="51">
      <c r="A407" s="136">
        <v>405</v>
      </c>
      <c r="B407" s="129" t="s">
        <v>1642</v>
      </c>
      <c r="C407" s="129" t="s">
        <v>1643</v>
      </c>
      <c r="D407" s="137" t="s">
        <v>1644</v>
      </c>
      <c r="E407" s="84" t="s">
        <v>1645</v>
      </c>
      <c r="F407" s="113"/>
      <c r="G407" s="131"/>
      <c r="H407" s="186" t="s">
        <v>596</v>
      </c>
      <c r="I407" s="125" t="s">
        <v>326</v>
      </c>
      <c r="J407" s="125" t="s">
        <v>352</v>
      </c>
      <c r="K407" s="125" t="s">
        <v>597</v>
      </c>
      <c r="L407" s="138" t="s">
        <v>314</v>
      </c>
      <c r="M407" s="138" t="s">
        <v>953</v>
      </c>
    </row>
    <row r="408" spans="1:13" s="114" customFormat="1" ht="51">
      <c r="A408" s="136">
        <v>406</v>
      </c>
      <c r="B408" s="129" t="s">
        <v>1646</v>
      </c>
      <c r="C408" s="129" t="s">
        <v>1647</v>
      </c>
      <c r="D408" s="137" t="s">
        <v>1648</v>
      </c>
      <c r="E408" s="84" t="s">
        <v>1649</v>
      </c>
      <c r="F408" s="113"/>
      <c r="G408" s="131"/>
      <c r="H408" s="186" t="s">
        <v>596</v>
      </c>
      <c r="I408" s="125" t="s">
        <v>326</v>
      </c>
      <c r="J408" s="125" t="s">
        <v>352</v>
      </c>
      <c r="K408" s="125" t="s">
        <v>597</v>
      </c>
      <c r="L408" s="138" t="s">
        <v>314</v>
      </c>
      <c r="M408" s="138" t="s">
        <v>953</v>
      </c>
    </row>
    <row r="409" spans="1:13" s="114" customFormat="1" ht="38.25">
      <c r="A409" s="136">
        <v>407</v>
      </c>
      <c r="B409" s="129" t="s">
        <v>1650</v>
      </c>
      <c r="C409" s="129" t="s">
        <v>1647</v>
      </c>
      <c r="D409" s="137" t="s">
        <v>1648</v>
      </c>
      <c r="E409" s="84" t="s">
        <v>1651</v>
      </c>
      <c r="F409" s="113"/>
      <c r="G409" s="131"/>
      <c r="H409" s="186" t="s">
        <v>1652</v>
      </c>
      <c r="I409" s="125" t="s">
        <v>326</v>
      </c>
      <c r="J409" s="125" t="s">
        <v>341</v>
      </c>
      <c r="K409" s="125" t="s">
        <v>580</v>
      </c>
      <c r="L409" s="138" t="s">
        <v>507</v>
      </c>
      <c r="M409" s="138" t="s">
        <v>508</v>
      </c>
    </row>
    <row r="410" spans="1:13" s="114" customFormat="1" ht="38.25">
      <c r="A410" s="136">
        <v>408</v>
      </c>
      <c r="B410" s="129" t="s">
        <v>1653</v>
      </c>
      <c r="C410" s="129" t="s">
        <v>1654</v>
      </c>
      <c r="D410" s="137" t="s">
        <v>1655</v>
      </c>
      <c r="E410" s="84" t="s">
        <v>1656</v>
      </c>
      <c r="F410" s="113"/>
      <c r="G410" s="131"/>
      <c r="H410" s="186" t="s">
        <v>1617</v>
      </c>
      <c r="I410" s="125" t="s">
        <v>326</v>
      </c>
      <c r="J410" s="125" t="s">
        <v>352</v>
      </c>
      <c r="K410" s="125" t="s">
        <v>561</v>
      </c>
      <c r="L410" s="138" t="s">
        <v>507</v>
      </c>
      <c r="M410" s="138" t="s">
        <v>508</v>
      </c>
    </row>
    <row r="411" spans="1:13" s="114" customFormat="1" ht="38.25">
      <c r="A411" s="136">
        <v>409</v>
      </c>
      <c r="B411" s="129" t="s">
        <v>1657</v>
      </c>
      <c r="C411" s="129" t="s">
        <v>1654</v>
      </c>
      <c r="D411" s="137" t="s">
        <v>1655</v>
      </c>
      <c r="E411" s="84" t="s">
        <v>1658</v>
      </c>
      <c r="F411" s="113"/>
      <c r="G411" s="131"/>
      <c r="H411" s="186" t="s">
        <v>1650</v>
      </c>
      <c r="I411" s="125" t="s">
        <v>326</v>
      </c>
      <c r="J411" s="125" t="s">
        <v>341</v>
      </c>
      <c r="K411" s="125" t="s">
        <v>580</v>
      </c>
      <c r="L411" s="138" t="s">
        <v>507</v>
      </c>
      <c r="M411" s="138" t="s">
        <v>508</v>
      </c>
    </row>
    <row r="412" spans="1:13" s="114" customFormat="1" ht="38.25">
      <c r="A412" s="136">
        <v>410</v>
      </c>
      <c r="B412" s="129" t="s">
        <v>1659</v>
      </c>
      <c r="C412" s="129" t="s">
        <v>1654</v>
      </c>
      <c r="D412" s="137" t="s">
        <v>1655</v>
      </c>
      <c r="E412" s="84" t="s">
        <v>1660</v>
      </c>
      <c r="F412" s="113"/>
      <c r="G412" s="131"/>
      <c r="H412" s="186" t="s">
        <v>1650</v>
      </c>
      <c r="I412" s="125" t="s">
        <v>326</v>
      </c>
      <c r="J412" s="125" t="s">
        <v>341</v>
      </c>
      <c r="K412" s="125" t="s">
        <v>580</v>
      </c>
      <c r="L412" s="138" t="s">
        <v>507</v>
      </c>
      <c r="M412" s="138" t="s">
        <v>508</v>
      </c>
    </row>
    <row r="413" spans="1:13" s="114" customFormat="1" ht="38.25">
      <c r="A413" s="136">
        <v>411</v>
      </c>
      <c r="B413" s="129" t="s">
        <v>1661</v>
      </c>
      <c r="C413" s="129" t="s">
        <v>1654</v>
      </c>
      <c r="D413" s="137" t="s">
        <v>1655</v>
      </c>
      <c r="E413" s="84" t="s">
        <v>1662</v>
      </c>
      <c r="F413" s="113"/>
      <c r="G413" s="131"/>
      <c r="H413" s="186" t="s">
        <v>896</v>
      </c>
      <c r="I413" s="125" t="s">
        <v>326</v>
      </c>
      <c r="J413" s="125" t="s">
        <v>341</v>
      </c>
      <c r="K413" s="125" t="s">
        <v>580</v>
      </c>
      <c r="L413" s="138" t="s">
        <v>507</v>
      </c>
      <c r="M413" s="138" t="s">
        <v>508</v>
      </c>
    </row>
    <row r="414" spans="1:13" s="114" customFormat="1" ht="38.25">
      <c r="A414" s="136">
        <v>412</v>
      </c>
      <c r="B414" s="129" t="s">
        <v>1663</v>
      </c>
      <c r="C414" s="129" t="s">
        <v>1664</v>
      </c>
      <c r="D414" s="137" t="s">
        <v>1665</v>
      </c>
      <c r="E414" s="84" t="s">
        <v>1666</v>
      </c>
      <c r="F414" s="113"/>
      <c r="G414" s="131"/>
      <c r="H414" s="186" t="s">
        <v>566</v>
      </c>
      <c r="I414" s="125" t="s">
        <v>326</v>
      </c>
      <c r="J414" s="125" t="s">
        <v>331</v>
      </c>
      <c r="K414" s="125" t="s">
        <v>512</v>
      </c>
      <c r="L414" s="138" t="s">
        <v>507</v>
      </c>
      <c r="M414" s="138" t="s">
        <v>508</v>
      </c>
    </row>
    <row r="415" spans="1:13" s="114" customFormat="1" ht="25.5">
      <c r="A415" s="136">
        <v>413</v>
      </c>
      <c r="B415" s="129" t="s">
        <v>1667</v>
      </c>
      <c r="C415" s="129" t="s">
        <v>1668</v>
      </c>
      <c r="D415" s="137" t="s">
        <v>1669</v>
      </c>
      <c r="E415" s="84" t="s">
        <v>1670</v>
      </c>
      <c r="F415" s="113"/>
      <c r="G415" s="131"/>
      <c r="H415" s="186" t="s">
        <v>1671</v>
      </c>
      <c r="I415" s="125" t="s">
        <v>326</v>
      </c>
      <c r="J415" s="125" t="s">
        <v>341</v>
      </c>
      <c r="K415" s="125" t="s">
        <v>580</v>
      </c>
      <c r="L415" s="138" t="s">
        <v>507</v>
      </c>
      <c r="M415" s="138" t="s">
        <v>508</v>
      </c>
    </row>
    <row r="416" spans="1:13" s="114" customFormat="1" ht="25.5">
      <c r="A416" s="136">
        <v>414</v>
      </c>
      <c r="B416" s="129" t="s">
        <v>1672</v>
      </c>
      <c r="C416" s="129" t="s">
        <v>1668</v>
      </c>
      <c r="D416" s="137" t="s">
        <v>1669</v>
      </c>
      <c r="E416" s="84" t="s">
        <v>1673</v>
      </c>
      <c r="F416" s="113"/>
      <c r="G416" s="131"/>
      <c r="H416" s="186" t="s">
        <v>1674</v>
      </c>
      <c r="I416" s="125" t="s">
        <v>326</v>
      </c>
      <c r="J416" s="125" t="s">
        <v>341</v>
      </c>
      <c r="K416" s="125" t="s">
        <v>580</v>
      </c>
      <c r="L416" s="138" t="s">
        <v>507</v>
      </c>
      <c r="M416" s="138" t="s">
        <v>508</v>
      </c>
    </row>
    <row r="417" spans="1:13" s="114" customFormat="1" ht="51">
      <c r="A417" s="136">
        <v>415</v>
      </c>
      <c r="B417" s="129" t="s">
        <v>1675</v>
      </c>
      <c r="C417" s="129" t="s">
        <v>1676</v>
      </c>
      <c r="D417" s="137" t="s">
        <v>1677</v>
      </c>
      <c r="E417" s="84" t="s">
        <v>1678</v>
      </c>
      <c r="F417" s="113"/>
      <c r="G417" s="131"/>
      <c r="H417" s="186" t="s">
        <v>1679</v>
      </c>
      <c r="I417" s="125" t="s">
        <v>327</v>
      </c>
      <c r="J417" s="125" t="s">
        <v>337</v>
      </c>
      <c r="K417" s="125" t="s">
        <v>1680</v>
      </c>
      <c r="L417" s="138" t="s">
        <v>507</v>
      </c>
      <c r="M417" s="138" t="s">
        <v>508</v>
      </c>
    </row>
    <row r="418" spans="1:13" s="114" customFormat="1" ht="25.5">
      <c r="A418" s="136">
        <v>416</v>
      </c>
      <c r="B418" s="129" t="s">
        <v>1679</v>
      </c>
      <c r="C418" s="129" t="s">
        <v>1681</v>
      </c>
      <c r="D418" s="137" t="s">
        <v>1682</v>
      </c>
      <c r="E418" s="84" t="s">
        <v>1683</v>
      </c>
      <c r="F418" s="113"/>
      <c r="G418" s="131"/>
      <c r="H418" s="186" t="s">
        <v>1684</v>
      </c>
      <c r="I418" s="125" t="s">
        <v>327</v>
      </c>
      <c r="J418" s="125" t="s">
        <v>337</v>
      </c>
      <c r="K418" s="125" t="s">
        <v>1680</v>
      </c>
      <c r="L418" s="138" t="s">
        <v>507</v>
      </c>
      <c r="M418" s="138" t="s">
        <v>508</v>
      </c>
    </row>
    <row r="419" spans="1:13" s="114" customFormat="1" ht="12.75">
      <c r="A419" s="136">
        <v>417</v>
      </c>
      <c r="B419" s="129" t="s">
        <v>1685</v>
      </c>
      <c r="C419" s="129" t="s">
        <v>1681</v>
      </c>
      <c r="D419" s="137" t="s">
        <v>1682</v>
      </c>
      <c r="E419" s="84" t="s">
        <v>1686</v>
      </c>
      <c r="F419" s="113"/>
      <c r="G419" s="131"/>
      <c r="H419" s="186" t="s">
        <v>1679</v>
      </c>
      <c r="I419" s="125" t="s">
        <v>327</v>
      </c>
      <c r="J419" s="125" t="s">
        <v>337</v>
      </c>
      <c r="K419" s="125" t="s">
        <v>1680</v>
      </c>
      <c r="L419" s="138" t="s">
        <v>507</v>
      </c>
      <c r="M419" s="138" t="s">
        <v>508</v>
      </c>
    </row>
    <row r="420" spans="1:13" s="114" customFormat="1" ht="38.25">
      <c r="A420" s="136">
        <v>418</v>
      </c>
      <c r="B420" s="129" t="s">
        <v>1687</v>
      </c>
      <c r="C420" s="129" t="s">
        <v>1681</v>
      </c>
      <c r="D420" s="137" t="s">
        <v>1682</v>
      </c>
      <c r="E420" s="84" t="s">
        <v>1688</v>
      </c>
      <c r="F420" s="113"/>
      <c r="G420" s="131"/>
      <c r="H420" s="186" t="s">
        <v>1679</v>
      </c>
      <c r="I420" s="125" t="s">
        <v>327</v>
      </c>
      <c r="J420" s="125" t="s">
        <v>337</v>
      </c>
      <c r="K420" s="125" t="s">
        <v>1680</v>
      </c>
      <c r="L420" s="138" t="s">
        <v>507</v>
      </c>
      <c r="M420" s="138" t="s">
        <v>508</v>
      </c>
    </row>
    <row r="421" spans="1:13" s="114" customFormat="1" ht="25.5">
      <c r="A421" s="136">
        <v>419</v>
      </c>
      <c r="B421" s="129" t="s">
        <v>1689</v>
      </c>
      <c r="C421" s="129" t="s">
        <v>1681</v>
      </c>
      <c r="D421" s="137" t="s">
        <v>1682</v>
      </c>
      <c r="E421" s="84" t="s">
        <v>1690</v>
      </c>
      <c r="F421" s="113"/>
      <c r="G421" s="131"/>
      <c r="H421" s="186" t="s">
        <v>1679</v>
      </c>
      <c r="I421" s="125" t="s">
        <v>327</v>
      </c>
      <c r="J421" s="125" t="s">
        <v>337</v>
      </c>
      <c r="K421" s="125" t="s">
        <v>1680</v>
      </c>
      <c r="L421" s="138" t="s">
        <v>507</v>
      </c>
      <c r="M421" s="138" t="s">
        <v>508</v>
      </c>
    </row>
    <row r="422" spans="1:13" s="114" customFormat="1" ht="38.25">
      <c r="A422" s="136">
        <v>420</v>
      </c>
      <c r="B422" s="129" t="s">
        <v>1691</v>
      </c>
      <c r="C422" s="129" t="s">
        <v>1681</v>
      </c>
      <c r="D422" s="137" t="s">
        <v>1682</v>
      </c>
      <c r="E422" s="84" t="s">
        <v>1692</v>
      </c>
      <c r="F422" s="113"/>
      <c r="G422" s="131"/>
      <c r="H422" s="186" t="s">
        <v>1672</v>
      </c>
      <c r="I422" s="125" t="s">
        <v>326</v>
      </c>
      <c r="J422" s="125" t="s">
        <v>341</v>
      </c>
      <c r="K422" s="125" t="s">
        <v>580</v>
      </c>
      <c r="L422" s="138" t="s">
        <v>507</v>
      </c>
      <c r="M422" s="138" t="s">
        <v>508</v>
      </c>
    </row>
    <row r="423" spans="1:13" s="114" customFormat="1" ht="38.25">
      <c r="A423" s="136">
        <v>421</v>
      </c>
      <c r="B423" s="129" t="s">
        <v>1693</v>
      </c>
      <c r="C423" s="129" t="s">
        <v>1694</v>
      </c>
      <c r="D423" s="137" t="s">
        <v>1695</v>
      </c>
      <c r="E423" s="84" t="s">
        <v>1696</v>
      </c>
      <c r="F423" s="113"/>
      <c r="G423" s="131"/>
      <c r="H423" s="186" t="s">
        <v>1024</v>
      </c>
      <c r="I423" s="125" t="s">
        <v>326</v>
      </c>
      <c r="J423" s="125" t="s">
        <v>341</v>
      </c>
      <c r="K423" s="125" t="s">
        <v>580</v>
      </c>
      <c r="L423" s="138" t="s">
        <v>507</v>
      </c>
      <c r="M423" s="138" t="s">
        <v>508</v>
      </c>
    </row>
    <row r="424" spans="1:13" s="114" customFormat="1" ht="38.25">
      <c r="A424" s="136">
        <v>422</v>
      </c>
      <c r="B424" s="129" t="s">
        <v>1697</v>
      </c>
      <c r="C424" s="129" t="s">
        <v>1694</v>
      </c>
      <c r="D424" s="137" t="s">
        <v>1695</v>
      </c>
      <c r="E424" s="84" t="s">
        <v>1698</v>
      </c>
      <c r="F424" s="113"/>
      <c r="G424" s="131"/>
      <c r="H424" s="186" t="s">
        <v>1024</v>
      </c>
      <c r="I424" s="125" t="s">
        <v>326</v>
      </c>
      <c r="J424" s="125" t="s">
        <v>341</v>
      </c>
      <c r="K424" s="125" t="s">
        <v>580</v>
      </c>
      <c r="L424" s="138" t="s">
        <v>507</v>
      </c>
      <c r="M424" s="138" t="s">
        <v>508</v>
      </c>
    </row>
    <row r="425" spans="1:13" s="114" customFormat="1" ht="51">
      <c r="A425" s="136">
        <v>423</v>
      </c>
      <c r="B425" s="129" t="s">
        <v>1699</v>
      </c>
      <c r="C425" s="129" t="s">
        <v>1700</v>
      </c>
      <c r="D425" s="137" t="s">
        <v>1701</v>
      </c>
      <c r="E425" s="84" t="s">
        <v>1702</v>
      </c>
      <c r="F425" s="113"/>
      <c r="G425" s="131"/>
      <c r="H425" s="186" t="s">
        <v>1617</v>
      </c>
      <c r="I425" s="125" t="s">
        <v>326</v>
      </c>
      <c r="J425" s="125" t="s">
        <v>352</v>
      </c>
      <c r="K425" s="125" t="s">
        <v>561</v>
      </c>
      <c r="L425" s="138" t="s">
        <v>507</v>
      </c>
      <c r="M425" s="138" t="s">
        <v>508</v>
      </c>
    </row>
    <row r="426" spans="1:13" s="114" customFormat="1" ht="51">
      <c r="A426" s="136">
        <v>424</v>
      </c>
      <c r="B426" s="129" t="s">
        <v>1703</v>
      </c>
      <c r="C426" s="129" t="s">
        <v>1704</v>
      </c>
      <c r="D426" s="137" t="s">
        <v>1705</v>
      </c>
      <c r="E426" s="84" t="s">
        <v>1706</v>
      </c>
      <c r="F426" s="113"/>
      <c r="G426" s="131"/>
      <c r="H426" s="186" t="s">
        <v>974</v>
      </c>
      <c r="I426" s="125" t="s">
        <v>326</v>
      </c>
      <c r="J426" s="125" t="s">
        <v>352</v>
      </c>
      <c r="K426" s="125" t="s">
        <v>597</v>
      </c>
      <c r="L426" s="138" t="s">
        <v>507</v>
      </c>
      <c r="M426" s="138" t="s">
        <v>508</v>
      </c>
    </row>
    <row r="427" spans="1:13" s="114" customFormat="1" ht="51">
      <c r="A427" s="136">
        <v>425</v>
      </c>
      <c r="B427" s="129" t="s">
        <v>1707</v>
      </c>
      <c r="C427" s="129" t="s">
        <v>1708</v>
      </c>
      <c r="D427" s="137" t="s">
        <v>1709</v>
      </c>
      <c r="E427" s="84" t="s">
        <v>1710</v>
      </c>
      <c r="F427" s="113"/>
      <c r="G427" s="131"/>
      <c r="H427" s="186" t="s">
        <v>527</v>
      </c>
      <c r="I427" s="125" t="s">
        <v>326</v>
      </c>
      <c r="J427" s="125" t="s">
        <v>331</v>
      </c>
      <c r="K427" s="125" t="s">
        <v>530</v>
      </c>
      <c r="L427" s="138" t="s">
        <v>507</v>
      </c>
      <c r="M427" s="138" t="s">
        <v>508</v>
      </c>
    </row>
    <row r="428" spans="1:13" s="114" customFormat="1" ht="51">
      <c r="A428" s="136">
        <v>426</v>
      </c>
      <c r="B428" s="129" t="s">
        <v>1711</v>
      </c>
      <c r="C428" s="129" t="s">
        <v>1708</v>
      </c>
      <c r="D428" s="137" t="s">
        <v>1709</v>
      </c>
      <c r="E428" s="84" t="s">
        <v>1712</v>
      </c>
      <c r="F428" s="113"/>
      <c r="G428" s="131"/>
      <c r="H428" s="186" t="s">
        <v>684</v>
      </c>
      <c r="I428" s="125" t="s">
        <v>326</v>
      </c>
      <c r="J428" s="125" t="s">
        <v>331</v>
      </c>
      <c r="K428" s="125" t="s">
        <v>530</v>
      </c>
      <c r="L428" s="138" t="s">
        <v>507</v>
      </c>
      <c r="M428" s="138" t="s">
        <v>508</v>
      </c>
    </row>
    <row r="429" spans="1:13" s="114" customFormat="1" ht="25.5">
      <c r="A429" s="136">
        <v>427</v>
      </c>
      <c r="B429" s="129" t="s">
        <v>1713</v>
      </c>
      <c r="C429" s="129" t="s">
        <v>1708</v>
      </c>
      <c r="D429" s="137" t="s">
        <v>1709</v>
      </c>
      <c r="E429" s="84" t="s">
        <v>1714</v>
      </c>
      <c r="F429" s="113"/>
      <c r="G429" s="131"/>
      <c r="H429" s="186" t="s">
        <v>1672</v>
      </c>
      <c r="I429" s="125" t="s">
        <v>326</v>
      </c>
      <c r="J429" s="125" t="s">
        <v>341</v>
      </c>
      <c r="K429" s="125" t="s">
        <v>580</v>
      </c>
      <c r="L429" s="138" t="s">
        <v>507</v>
      </c>
      <c r="M429" s="138" t="s">
        <v>508</v>
      </c>
    </row>
    <row r="430" spans="1:13" s="114" customFormat="1" ht="38.25">
      <c r="A430" s="136">
        <v>428</v>
      </c>
      <c r="B430" s="129" t="s">
        <v>560</v>
      </c>
      <c r="C430" s="129" t="s">
        <v>1708</v>
      </c>
      <c r="D430" s="137" t="s">
        <v>1709</v>
      </c>
      <c r="E430" s="84" t="s">
        <v>1715</v>
      </c>
      <c r="F430" s="113"/>
      <c r="G430" s="131"/>
      <c r="H430" s="186" t="s">
        <v>1716</v>
      </c>
      <c r="I430" s="125" t="s">
        <v>326</v>
      </c>
      <c r="J430" s="125" t="s">
        <v>352</v>
      </c>
      <c r="K430" s="125" t="s">
        <v>561</v>
      </c>
      <c r="L430" s="138" t="s">
        <v>507</v>
      </c>
      <c r="M430" s="138" t="s">
        <v>508</v>
      </c>
    </row>
    <row r="431" spans="1:13" s="114" customFormat="1" ht="25.5">
      <c r="A431" s="136">
        <v>429</v>
      </c>
      <c r="B431" s="129" t="s">
        <v>1717</v>
      </c>
      <c r="C431" s="129" t="s">
        <v>1718</v>
      </c>
      <c r="D431" s="137" t="s">
        <v>1719</v>
      </c>
      <c r="E431" s="84" t="s">
        <v>1720</v>
      </c>
      <c r="F431" s="113"/>
      <c r="G431" s="131"/>
      <c r="H431" s="186" t="s">
        <v>1041</v>
      </c>
      <c r="I431" s="125" t="s">
        <v>326</v>
      </c>
      <c r="J431" s="125" t="s">
        <v>352</v>
      </c>
      <c r="K431" s="125" t="s">
        <v>1044</v>
      </c>
      <c r="L431" s="138" t="s">
        <v>507</v>
      </c>
      <c r="M431" s="138" t="s">
        <v>508</v>
      </c>
    </row>
    <row r="432" spans="1:13" s="114" customFormat="1" ht="51">
      <c r="A432" s="136">
        <v>430</v>
      </c>
      <c r="B432" s="129" t="s">
        <v>1721</v>
      </c>
      <c r="C432" s="129" t="s">
        <v>1722</v>
      </c>
      <c r="D432" s="137" t="s">
        <v>1723</v>
      </c>
      <c r="E432" s="84" t="s">
        <v>1724</v>
      </c>
      <c r="F432" s="113"/>
      <c r="G432" s="131"/>
      <c r="H432" s="186" t="s">
        <v>1725</v>
      </c>
      <c r="I432" s="125" t="s">
        <v>326</v>
      </c>
      <c r="J432" s="125" t="s">
        <v>346</v>
      </c>
      <c r="K432" s="125" t="s">
        <v>761</v>
      </c>
      <c r="L432" s="138" t="s">
        <v>314</v>
      </c>
      <c r="M432" s="138" t="s">
        <v>953</v>
      </c>
    </row>
    <row r="433" spans="1:13" s="114" customFormat="1" ht="51">
      <c r="A433" s="136">
        <v>431</v>
      </c>
      <c r="B433" s="129" t="s">
        <v>1726</v>
      </c>
      <c r="C433" s="129" t="s">
        <v>1727</v>
      </c>
      <c r="D433" s="137" t="s">
        <v>1728</v>
      </c>
      <c r="E433" s="84" t="s">
        <v>1729</v>
      </c>
      <c r="F433" s="113"/>
      <c r="G433" s="131"/>
      <c r="H433" s="186" t="s">
        <v>1730</v>
      </c>
      <c r="I433" s="125" t="s">
        <v>326</v>
      </c>
      <c r="J433" s="125" t="s">
        <v>346</v>
      </c>
      <c r="K433" s="125" t="s">
        <v>984</v>
      </c>
      <c r="L433" s="138" t="s">
        <v>507</v>
      </c>
      <c r="M433" s="138" t="s">
        <v>508</v>
      </c>
    </row>
    <row r="434" spans="1:13" s="114" customFormat="1" ht="25.5">
      <c r="A434" s="136">
        <v>432</v>
      </c>
      <c r="B434" s="129" t="s">
        <v>1731</v>
      </c>
      <c r="C434" s="129" t="s">
        <v>1732</v>
      </c>
      <c r="D434" s="137" t="s">
        <v>1733</v>
      </c>
      <c r="E434" s="84" t="s">
        <v>1734</v>
      </c>
      <c r="F434" s="113"/>
      <c r="G434" s="131"/>
      <c r="H434" s="186" t="s">
        <v>1735</v>
      </c>
      <c r="I434" s="125" t="s">
        <v>326</v>
      </c>
      <c r="J434" s="125" t="s">
        <v>341</v>
      </c>
      <c r="K434" s="125" t="s">
        <v>1736</v>
      </c>
      <c r="L434" s="138" t="s">
        <v>507</v>
      </c>
      <c r="M434" s="138" t="s">
        <v>508</v>
      </c>
    </row>
    <row r="435" spans="1:13" s="114" customFormat="1" ht="25.5">
      <c r="A435" s="136">
        <v>433</v>
      </c>
      <c r="B435" s="129" t="s">
        <v>896</v>
      </c>
      <c r="C435" s="129" t="s">
        <v>1737</v>
      </c>
      <c r="D435" s="137" t="s">
        <v>1738</v>
      </c>
      <c r="E435" s="84" t="s">
        <v>1739</v>
      </c>
      <c r="F435" s="113"/>
      <c r="G435" s="131"/>
      <c r="H435" s="186" t="s">
        <v>1740</v>
      </c>
      <c r="I435" s="125" t="s">
        <v>326</v>
      </c>
      <c r="J435" s="125" t="s">
        <v>341</v>
      </c>
      <c r="K435" s="125" t="s">
        <v>580</v>
      </c>
      <c r="L435" s="138" t="s">
        <v>507</v>
      </c>
      <c r="M435" s="138" t="s">
        <v>508</v>
      </c>
    </row>
    <row r="436" spans="1:13" s="114" customFormat="1" ht="25.5">
      <c r="A436" s="136">
        <v>434</v>
      </c>
      <c r="B436" s="129" t="s">
        <v>1741</v>
      </c>
      <c r="C436" s="129" t="s">
        <v>1737</v>
      </c>
      <c r="D436" s="137" t="s">
        <v>1738</v>
      </c>
      <c r="E436" s="84" t="s">
        <v>1742</v>
      </c>
      <c r="F436" s="113"/>
      <c r="G436" s="131"/>
      <c r="H436" s="186" t="s">
        <v>931</v>
      </c>
      <c r="I436" s="125" t="s">
        <v>326</v>
      </c>
      <c r="J436" s="125" t="s">
        <v>341</v>
      </c>
      <c r="K436" s="125" t="s">
        <v>570</v>
      </c>
      <c r="L436" s="138" t="s">
        <v>507</v>
      </c>
      <c r="M436" s="138" t="s">
        <v>508</v>
      </c>
    </row>
    <row r="437" spans="1:13" s="114" customFormat="1" ht="51">
      <c r="A437" s="136">
        <v>435</v>
      </c>
      <c r="B437" s="129" t="s">
        <v>1743</v>
      </c>
      <c r="C437" s="129" t="s">
        <v>1737</v>
      </c>
      <c r="D437" s="137" t="s">
        <v>1738</v>
      </c>
      <c r="E437" s="84" t="s">
        <v>1744</v>
      </c>
      <c r="F437" s="113"/>
      <c r="G437" s="131"/>
      <c r="H437" s="186" t="s">
        <v>1726</v>
      </c>
      <c r="I437" s="125" t="s">
        <v>326</v>
      </c>
      <c r="J437" s="125" t="s">
        <v>346</v>
      </c>
      <c r="K437" s="125" t="s">
        <v>984</v>
      </c>
      <c r="L437" s="138" t="s">
        <v>507</v>
      </c>
      <c r="M437" s="138" t="s">
        <v>508</v>
      </c>
    </row>
    <row r="438" spans="1:13" s="114" customFormat="1" ht="51">
      <c r="A438" s="136">
        <v>436</v>
      </c>
      <c r="B438" s="129" t="s">
        <v>1745</v>
      </c>
      <c r="C438" s="129" t="s">
        <v>1746</v>
      </c>
      <c r="D438" s="137" t="s">
        <v>1747</v>
      </c>
      <c r="E438" s="84" t="s">
        <v>1748</v>
      </c>
      <c r="F438" s="113"/>
      <c r="G438" s="131"/>
      <c r="H438" s="186" t="s">
        <v>1726</v>
      </c>
      <c r="I438" s="125" t="s">
        <v>326</v>
      </c>
      <c r="J438" s="125" t="s">
        <v>346</v>
      </c>
      <c r="K438" s="125" t="s">
        <v>984</v>
      </c>
      <c r="L438" s="138" t="s">
        <v>507</v>
      </c>
      <c r="M438" s="138" t="s">
        <v>508</v>
      </c>
    </row>
    <row r="439" spans="1:13" s="114" customFormat="1" ht="51">
      <c r="A439" s="136">
        <v>437</v>
      </c>
      <c r="B439" s="129" t="s">
        <v>1725</v>
      </c>
      <c r="C439" s="129" t="s">
        <v>1746</v>
      </c>
      <c r="D439" s="137" t="s">
        <v>1747</v>
      </c>
      <c r="E439" s="84" t="s">
        <v>1749</v>
      </c>
      <c r="F439" s="113"/>
      <c r="G439" s="131"/>
      <c r="H439" s="186" t="s">
        <v>1750</v>
      </c>
      <c r="I439" s="125" t="s">
        <v>326</v>
      </c>
      <c r="J439" s="125" t="s">
        <v>346</v>
      </c>
      <c r="K439" s="125" t="s">
        <v>761</v>
      </c>
      <c r="L439" s="138" t="s">
        <v>314</v>
      </c>
      <c r="M439" s="138" t="s">
        <v>953</v>
      </c>
    </row>
    <row r="440" spans="1:13" s="114" customFormat="1" ht="51">
      <c r="A440" s="136">
        <v>438</v>
      </c>
      <c r="B440" s="129" t="s">
        <v>1751</v>
      </c>
      <c r="C440" s="129" t="s">
        <v>1752</v>
      </c>
      <c r="D440" s="137" t="s">
        <v>1753</v>
      </c>
      <c r="E440" s="84" t="s">
        <v>1754</v>
      </c>
      <c r="F440" s="113"/>
      <c r="G440" s="131"/>
      <c r="H440" s="186" t="s">
        <v>1725</v>
      </c>
      <c r="I440" s="125" t="s">
        <v>326</v>
      </c>
      <c r="J440" s="125" t="s">
        <v>346</v>
      </c>
      <c r="K440" s="125" t="s">
        <v>761</v>
      </c>
      <c r="L440" s="138" t="s">
        <v>314</v>
      </c>
      <c r="M440" s="138" t="s">
        <v>953</v>
      </c>
    </row>
    <row r="441" spans="1:13" s="114" customFormat="1" ht="51">
      <c r="A441" s="136">
        <v>439</v>
      </c>
      <c r="B441" s="129" t="s">
        <v>1755</v>
      </c>
      <c r="C441" s="129" t="s">
        <v>1752</v>
      </c>
      <c r="D441" s="137" t="s">
        <v>1753</v>
      </c>
      <c r="E441" s="84" t="s">
        <v>1756</v>
      </c>
      <c r="F441" s="113"/>
      <c r="G441" s="131"/>
      <c r="H441" s="186" t="s">
        <v>1725</v>
      </c>
      <c r="I441" s="125" t="s">
        <v>326</v>
      </c>
      <c r="J441" s="125" t="s">
        <v>346</v>
      </c>
      <c r="K441" s="125" t="s">
        <v>761</v>
      </c>
      <c r="L441" s="138" t="s">
        <v>314</v>
      </c>
      <c r="M441" s="138" t="s">
        <v>953</v>
      </c>
    </row>
    <row r="442" spans="1:13" s="114" customFormat="1" ht="51">
      <c r="A442" s="136">
        <v>440</v>
      </c>
      <c r="B442" s="129" t="s">
        <v>1757</v>
      </c>
      <c r="C442" s="129" t="s">
        <v>1752</v>
      </c>
      <c r="D442" s="137" t="s">
        <v>1753</v>
      </c>
      <c r="E442" s="84" t="s">
        <v>1758</v>
      </c>
      <c r="F442" s="113"/>
      <c r="G442" s="131"/>
      <c r="H442" s="186" t="s">
        <v>1725</v>
      </c>
      <c r="I442" s="125" t="s">
        <v>326</v>
      </c>
      <c r="J442" s="125" t="s">
        <v>346</v>
      </c>
      <c r="K442" s="125" t="s">
        <v>761</v>
      </c>
      <c r="L442" s="138" t="s">
        <v>314</v>
      </c>
      <c r="M442" s="138" t="s">
        <v>953</v>
      </c>
    </row>
    <row r="443" spans="1:13" s="114" customFormat="1" ht="51">
      <c r="A443" s="136">
        <v>441</v>
      </c>
      <c r="B443" s="129" t="s">
        <v>1759</v>
      </c>
      <c r="C443" s="129" t="s">
        <v>1752</v>
      </c>
      <c r="D443" s="137" t="s">
        <v>1753</v>
      </c>
      <c r="E443" s="84" t="s">
        <v>1760</v>
      </c>
      <c r="F443" s="113"/>
      <c r="G443" s="131"/>
      <c r="H443" s="186" t="s">
        <v>1725</v>
      </c>
      <c r="I443" s="125" t="s">
        <v>326</v>
      </c>
      <c r="J443" s="125" t="s">
        <v>346</v>
      </c>
      <c r="K443" s="125" t="s">
        <v>761</v>
      </c>
      <c r="L443" s="138" t="s">
        <v>314</v>
      </c>
      <c r="M443" s="138" t="s">
        <v>953</v>
      </c>
    </row>
    <row r="444" spans="1:13" s="114" customFormat="1" ht="25.5">
      <c r="A444" s="136">
        <v>442</v>
      </c>
      <c r="B444" s="129" t="s">
        <v>1761</v>
      </c>
      <c r="C444" s="129" t="s">
        <v>1752</v>
      </c>
      <c r="D444" s="137" t="s">
        <v>1753</v>
      </c>
      <c r="E444" s="84" t="s">
        <v>1762</v>
      </c>
      <c r="F444" s="113"/>
      <c r="G444" s="131"/>
      <c r="H444" s="186" t="s">
        <v>1763</v>
      </c>
      <c r="I444" s="125" t="s">
        <v>326</v>
      </c>
      <c r="J444" s="125" t="s">
        <v>352</v>
      </c>
      <c r="K444" s="125" t="s">
        <v>597</v>
      </c>
      <c r="L444" s="138" t="s">
        <v>507</v>
      </c>
      <c r="M444" s="138" t="s">
        <v>508</v>
      </c>
    </row>
    <row r="445" spans="1:13" s="114" customFormat="1" ht="25.5">
      <c r="A445" s="136">
        <v>443</v>
      </c>
      <c r="B445" s="129" t="s">
        <v>1763</v>
      </c>
      <c r="C445" s="129" t="s">
        <v>1764</v>
      </c>
      <c r="D445" s="137" t="s">
        <v>1765</v>
      </c>
      <c r="E445" s="84" t="s">
        <v>1766</v>
      </c>
      <c r="F445" s="113"/>
      <c r="G445" s="131"/>
      <c r="H445" s="186" t="s">
        <v>1767</v>
      </c>
      <c r="I445" s="125" t="s">
        <v>326</v>
      </c>
      <c r="J445" s="125" t="s">
        <v>352</v>
      </c>
      <c r="K445" s="125" t="s">
        <v>597</v>
      </c>
      <c r="L445" s="138" t="s">
        <v>507</v>
      </c>
      <c r="M445" s="138" t="s">
        <v>508</v>
      </c>
    </row>
    <row r="446" spans="1:13" s="114" customFormat="1" ht="25.5">
      <c r="A446" s="136">
        <v>444</v>
      </c>
      <c r="B446" s="129" t="s">
        <v>1768</v>
      </c>
      <c r="C446" s="129" t="s">
        <v>1764</v>
      </c>
      <c r="D446" s="137" t="s">
        <v>1765</v>
      </c>
      <c r="E446" s="84" t="s">
        <v>1769</v>
      </c>
      <c r="F446" s="113"/>
      <c r="G446" s="131"/>
      <c r="H446" s="186" t="s">
        <v>1763</v>
      </c>
      <c r="I446" s="125" t="s">
        <v>326</v>
      </c>
      <c r="J446" s="125" t="s">
        <v>352</v>
      </c>
      <c r="K446" s="125" t="s">
        <v>597</v>
      </c>
      <c r="L446" s="138" t="s">
        <v>507</v>
      </c>
      <c r="M446" s="138" t="s">
        <v>508</v>
      </c>
    </row>
    <row r="447" spans="1:13" s="114" customFormat="1" ht="38.25">
      <c r="A447" s="136">
        <v>445</v>
      </c>
      <c r="B447" s="129" t="s">
        <v>1770</v>
      </c>
      <c r="C447" s="129" t="s">
        <v>1764</v>
      </c>
      <c r="D447" s="137" t="s">
        <v>1765</v>
      </c>
      <c r="E447" s="84" t="s">
        <v>1771</v>
      </c>
      <c r="F447" s="113"/>
      <c r="G447" s="131"/>
      <c r="H447" s="186" t="s">
        <v>1617</v>
      </c>
      <c r="I447" s="125" t="s">
        <v>326</v>
      </c>
      <c r="J447" s="125" t="s">
        <v>352</v>
      </c>
      <c r="K447" s="125" t="s">
        <v>561</v>
      </c>
      <c r="L447" s="138" t="s">
        <v>507</v>
      </c>
      <c r="M447" s="138" t="s">
        <v>508</v>
      </c>
    </row>
    <row r="448" spans="1:13" s="114" customFormat="1" ht="25.5">
      <c r="A448" s="136">
        <v>446</v>
      </c>
      <c r="B448" s="129" t="s">
        <v>1772</v>
      </c>
      <c r="C448" s="129" t="s">
        <v>1773</v>
      </c>
      <c r="D448" s="137" t="s">
        <v>1774</v>
      </c>
      <c r="E448" s="84" t="s">
        <v>1775</v>
      </c>
      <c r="F448" s="113"/>
      <c r="G448" s="131"/>
      <c r="H448" s="186" t="s">
        <v>1671</v>
      </c>
      <c r="I448" s="125" t="s">
        <v>326</v>
      </c>
      <c r="J448" s="125" t="s">
        <v>341</v>
      </c>
      <c r="K448" s="125" t="s">
        <v>580</v>
      </c>
      <c r="L448" s="138" t="s">
        <v>507</v>
      </c>
      <c r="M448" s="138" t="s">
        <v>508</v>
      </c>
    </row>
    <row r="449" spans="1:13" s="114" customFormat="1" ht="25.5">
      <c r="A449" s="136">
        <v>447</v>
      </c>
      <c r="B449" s="129" t="s">
        <v>1776</v>
      </c>
      <c r="C449" s="129" t="s">
        <v>1777</v>
      </c>
      <c r="D449" s="137" t="s">
        <v>1778</v>
      </c>
      <c r="E449" s="84" t="s">
        <v>1779</v>
      </c>
      <c r="F449" s="113"/>
      <c r="G449" s="131"/>
      <c r="H449" s="186" t="s">
        <v>567</v>
      </c>
      <c r="I449" s="125" t="s">
        <v>326</v>
      </c>
      <c r="J449" s="125" t="s">
        <v>341</v>
      </c>
      <c r="K449" s="125" t="s">
        <v>570</v>
      </c>
      <c r="L449" s="138" t="s">
        <v>507</v>
      </c>
      <c r="M449" s="138" t="s">
        <v>508</v>
      </c>
    </row>
    <row r="450" spans="1:13" s="114" customFormat="1" ht="25.5">
      <c r="A450" s="136">
        <v>448</v>
      </c>
      <c r="B450" s="129" t="s">
        <v>1780</v>
      </c>
      <c r="C450" s="129" t="s">
        <v>1777</v>
      </c>
      <c r="D450" s="137" t="s">
        <v>1778</v>
      </c>
      <c r="E450" s="84" t="s">
        <v>1781</v>
      </c>
      <c r="F450" s="113"/>
      <c r="G450" s="131"/>
      <c r="H450" s="186" t="s">
        <v>1671</v>
      </c>
      <c r="I450" s="125" t="s">
        <v>326</v>
      </c>
      <c r="J450" s="125" t="s">
        <v>341</v>
      </c>
      <c r="K450" s="125" t="s">
        <v>580</v>
      </c>
      <c r="L450" s="138" t="s">
        <v>507</v>
      </c>
      <c r="M450" s="138" t="s">
        <v>508</v>
      </c>
    </row>
    <row r="451" spans="1:13" s="114" customFormat="1" ht="25.5">
      <c r="A451" s="136">
        <v>449</v>
      </c>
      <c r="B451" s="129" t="s">
        <v>1481</v>
      </c>
      <c r="C451" s="129" t="s">
        <v>1777</v>
      </c>
      <c r="D451" s="137" t="s">
        <v>1778</v>
      </c>
      <c r="E451" s="84" t="s">
        <v>1782</v>
      </c>
      <c r="F451" s="113"/>
      <c r="G451" s="131"/>
      <c r="H451" s="186" t="s">
        <v>1783</v>
      </c>
      <c r="I451" s="125" t="s">
        <v>326</v>
      </c>
      <c r="J451" s="125" t="s">
        <v>341</v>
      </c>
      <c r="K451" s="125" t="s">
        <v>1482</v>
      </c>
      <c r="L451" s="138" t="s">
        <v>507</v>
      </c>
      <c r="M451" s="138" t="s">
        <v>508</v>
      </c>
    </row>
    <row r="452" spans="1:13" s="114" customFormat="1" ht="38.25">
      <c r="A452" s="136">
        <v>450</v>
      </c>
      <c r="B452" s="129" t="s">
        <v>1784</v>
      </c>
      <c r="C452" s="129" t="s">
        <v>1777</v>
      </c>
      <c r="D452" s="137" t="s">
        <v>1778</v>
      </c>
      <c r="E452" s="84" t="s">
        <v>1785</v>
      </c>
      <c r="F452" s="113"/>
      <c r="G452" s="131"/>
      <c r="H452" s="186" t="s">
        <v>1481</v>
      </c>
      <c r="I452" s="125" t="s">
        <v>326</v>
      </c>
      <c r="J452" s="125" t="s">
        <v>341</v>
      </c>
      <c r="K452" s="125" t="s">
        <v>1482</v>
      </c>
      <c r="L452" s="138" t="s">
        <v>507</v>
      </c>
      <c r="M452" s="138" t="s">
        <v>508</v>
      </c>
    </row>
    <row r="453" spans="1:13" s="114" customFormat="1" ht="51">
      <c r="A453" s="136">
        <v>451</v>
      </c>
      <c r="B453" s="129" t="s">
        <v>1786</v>
      </c>
      <c r="C453" s="129" t="s">
        <v>1777</v>
      </c>
      <c r="D453" s="137" t="s">
        <v>1778</v>
      </c>
      <c r="E453" s="84" t="s">
        <v>1787</v>
      </c>
      <c r="F453" s="113"/>
      <c r="G453" s="131"/>
      <c r="H453" s="186" t="s">
        <v>1070</v>
      </c>
      <c r="I453" s="125" t="s">
        <v>327</v>
      </c>
      <c r="J453" s="125" t="s">
        <v>337</v>
      </c>
      <c r="K453" s="125" t="s">
        <v>1071</v>
      </c>
      <c r="L453" s="138" t="s">
        <v>314</v>
      </c>
      <c r="M453" s="138" t="s">
        <v>953</v>
      </c>
    </row>
    <row r="454" spans="1:13" s="114" customFormat="1" ht="38.25">
      <c r="A454" s="136">
        <v>452</v>
      </c>
      <c r="B454" s="129" t="s">
        <v>1788</v>
      </c>
      <c r="C454" s="129" t="s">
        <v>1789</v>
      </c>
      <c r="D454" s="137" t="s">
        <v>1790</v>
      </c>
      <c r="E454" s="84" t="s">
        <v>1791</v>
      </c>
      <c r="F454" s="113"/>
      <c r="G454" s="131"/>
      <c r="H454" s="186" t="s">
        <v>1617</v>
      </c>
      <c r="I454" s="125" t="s">
        <v>326</v>
      </c>
      <c r="J454" s="125" t="s">
        <v>352</v>
      </c>
      <c r="K454" s="125" t="s">
        <v>561</v>
      </c>
      <c r="L454" s="138" t="s">
        <v>507</v>
      </c>
      <c r="M454" s="138" t="s">
        <v>508</v>
      </c>
    </row>
    <row r="455" spans="1:13" s="114" customFormat="1" ht="38.25">
      <c r="A455" s="136">
        <v>453</v>
      </c>
      <c r="B455" s="129" t="s">
        <v>1792</v>
      </c>
      <c r="C455" s="129" t="s">
        <v>1793</v>
      </c>
      <c r="D455" s="137" t="s">
        <v>1794</v>
      </c>
      <c r="E455" s="84" t="s">
        <v>1795</v>
      </c>
      <c r="F455" s="113"/>
      <c r="G455" s="131"/>
      <c r="H455" s="186" t="s">
        <v>1617</v>
      </c>
      <c r="I455" s="125" t="s">
        <v>326</v>
      </c>
      <c r="J455" s="125" t="s">
        <v>352</v>
      </c>
      <c r="K455" s="125" t="s">
        <v>561</v>
      </c>
      <c r="L455" s="138" t="s">
        <v>507</v>
      </c>
      <c r="M455" s="138" t="s">
        <v>508</v>
      </c>
    </row>
    <row r="456" spans="1:13" s="114" customFormat="1" ht="38.25">
      <c r="A456" s="136">
        <v>454</v>
      </c>
      <c r="B456" s="129" t="s">
        <v>1796</v>
      </c>
      <c r="C456" s="129" t="s">
        <v>1793</v>
      </c>
      <c r="D456" s="137" t="s">
        <v>1794</v>
      </c>
      <c r="E456" s="84" t="s">
        <v>1797</v>
      </c>
      <c r="F456" s="113"/>
      <c r="G456" s="131"/>
      <c r="H456" s="186" t="s">
        <v>1798</v>
      </c>
      <c r="I456" s="125" t="s">
        <v>326</v>
      </c>
      <c r="J456" s="125" t="s">
        <v>352</v>
      </c>
      <c r="K456" s="125" t="s">
        <v>597</v>
      </c>
      <c r="L456" s="138" t="s">
        <v>507</v>
      </c>
      <c r="M456" s="138" t="s">
        <v>508</v>
      </c>
    </row>
    <row r="457" spans="1:13" s="114" customFormat="1" ht="25.5">
      <c r="A457" s="136">
        <v>455</v>
      </c>
      <c r="B457" s="129" t="s">
        <v>1799</v>
      </c>
      <c r="C457" s="129" t="s">
        <v>1800</v>
      </c>
      <c r="D457" s="137" t="s">
        <v>1801</v>
      </c>
      <c r="E457" s="84" t="s">
        <v>1802</v>
      </c>
      <c r="F457" s="113"/>
      <c r="G457" s="131"/>
      <c r="H457" s="186" t="s">
        <v>1803</v>
      </c>
      <c r="I457" s="125" t="s">
        <v>326</v>
      </c>
      <c r="J457" s="125" t="s">
        <v>346</v>
      </c>
      <c r="K457" s="125" t="s">
        <v>761</v>
      </c>
      <c r="L457" s="138" t="s">
        <v>507</v>
      </c>
      <c r="M457" s="138" t="s">
        <v>508</v>
      </c>
    </row>
    <row r="458" spans="1:13" s="114" customFormat="1" ht="25.5">
      <c r="A458" s="136">
        <v>456</v>
      </c>
      <c r="B458" s="129" t="s">
        <v>1804</v>
      </c>
      <c r="C458" s="129" t="s">
        <v>1805</v>
      </c>
      <c r="D458" s="137" t="s">
        <v>1806</v>
      </c>
      <c r="E458" s="84" t="s">
        <v>1807</v>
      </c>
      <c r="F458" s="113"/>
      <c r="G458" s="131"/>
      <c r="H458" s="186" t="s">
        <v>1547</v>
      </c>
      <c r="I458" s="125" t="s">
        <v>326</v>
      </c>
      <c r="J458" s="125" t="s">
        <v>346</v>
      </c>
      <c r="K458" s="125" t="s">
        <v>761</v>
      </c>
      <c r="L458" s="138" t="s">
        <v>507</v>
      </c>
      <c r="M458" s="138" t="s">
        <v>508</v>
      </c>
    </row>
    <row r="459" spans="1:13" s="114" customFormat="1" ht="25.5">
      <c r="A459" s="136">
        <v>457</v>
      </c>
      <c r="B459" s="129" t="s">
        <v>1808</v>
      </c>
      <c r="C459" s="129" t="s">
        <v>1805</v>
      </c>
      <c r="D459" s="137" t="s">
        <v>1806</v>
      </c>
      <c r="E459" s="84" t="s">
        <v>1809</v>
      </c>
      <c r="F459" s="113"/>
      <c r="G459" s="131"/>
      <c r="H459" s="186" t="s">
        <v>1799</v>
      </c>
      <c r="I459" s="125" t="s">
        <v>326</v>
      </c>
      <c r="J459" s="125" t="s">
        <v>346</v>
      </c>
      <c r="K459" s="125" t="s">
        <v>761</v>
      </c>
      <c r="L459" s="138" t="s">
        <v>507</v>
      </c>
      <c r="M459" s="138" t="s">
        <v>508</v>
      </c>
    </row>
    <row r="460" spans="1:13" s="114" customFormat="1" ht="25.5">
      <c r="A460" s="136">
        <v>458</v>
      </c>
      <c r="B460" s="129" t="s">
        <v>1810</v>
      </c>
      <c r="C460" s="129" t="s">
        <v>1805</v>
      </c>
      <c r="D460" s="137" t="s">
        <v>1806</v>
      </c>
      <c r="E460" s="84" t="s">
        <v>1811</v>
      </c>
      <c r="F460" s="113"/>
      <c r="G460" s="131"/>
      <c r="H460" s="186" t="s">
        <v>1436</v>
      </c>
      <c r="I460" s="125" t="s">
        <v>326</v>
      </c>
      <c r="J460" s="125" t="s">
        <v>331</v>
      </c>
      <c r="K460" s="125" t="s">
        <v>1357</v>
      </c>
      <c r="L460" s="138" t="s">
        <v>507</v>
      </c>
      <c r="M460" s="138" t="s">
        <v>508</v>
      </c>
    </row>
    <row r="461" spans="1:13" s="114" customFormat="1" ht="25.5">
      <c r="A461" s="136">
        <v>459</v>
      </c>
      <c r="B461" s="129" t="s">
        <v>1812</v>
      </c>
      <c r="C461" s="129" t="s">
        <v>1813</v>
      </c>
      <c r="D461" s="137" t="s">
        <v>1814</v>
      </c>
      <c r="E461" s="84" t="s">
        <v>1815</v>
      </c>
      <c r="F461" s="113"/>
      <c r="G461" s="131"/>
      <c r="H461" s="186" t="s">
        <v>567</v>
      </c>
      <c r="I461" s="125" t="s">
        <v>326</v>
      </c>
      <c r="J461" s="125" t="s">
        <v>341</v>
      </c>
      <c r="K461" s="125" t="s">
        <v>570</v>
      </c>
      <c r="L461" s="138" t="s">
        <v>507</v>
      </c>
      <c r="M461" s="138" t="s">
        <v>508</v>
      </c>
    </row>
    <row r="462" spans="1:13" s="114" customFormat="1" ht="25.5">
      <c r="A462" s="136">
        <v>460</v>
      </c>
      <c r="B462" s="129" t="s">
        <v>1816</v>
      </c>
      <c r="C462" s="129" t="s">
        <v>1817</v>
      </c>
      <c r="D462" s="137" t="s">
        <v>1818</v>
      </c>
      <c r="E462" s="84" t="s">
        <v>1819</v>
      </c>
      <c r="F462" s="113"/>
      <c r="G462" s="131"/>
      <c r="H462" s="186" t="s">
        <v>567</v>
      </c>
      <c r="I462" s="125" t="s">
        <v>326</v>
      </c>
      <c r="J462" s="125" t="s">
        <v>341</v>
      </c>
      <c r="K462" s="125" t="s">
        <v>570</v>
      </c>
      <c r="L462" s="138" t="s">
        <v>507</v>
      </c>
      <c r="M462" s="138" t="s">
        <v>508</v>
      </c>
    </row>
    <row r="463" spans="1:13" s="114" customFormat="1" ht="38.25">
      <c r="A463" s="136">
        <v>461</v>
      </c>
      <c r="B463" s="129" t="s">
        <v>1820</v>
      </c>
      <c r="C463" s="129" t="s">
        <v>1817</v>
      </c>
      <c r="D463" s="137" t="s">
        <v>1818</v>
      </c>
      <c r="E463" s="84" t="s">
        <v>1821</v>
      </c>
      <c r="F463" s="113"/>
      <c r="G463" s="131"/>
      <c r="H463" s="186" t="s">
        <v>513</v>
      </c>
      <c r="I463" s="125" t="s">
        <v>326</v>
      </c>
      <c r="J463" s="125" t="s">
        <v>331</v>
      </c>
      <c r="K463" s="125" t="s">
        <v>512</v>
      </c>
      <c r="L463" s="138" t="s">
        <v>507</v>
      </c>
      <c r="M463" s="138" t="s">
        <v>508</v>
      </c>
    </row>
    <row r="464" spans="1:13" s="114" customFormat="1" ht="25.5">
      <c r="A464" s="136">
        <v>462</v>
      </c>
      <c r="B464" s="129" t="s">
        <v>1822</v>
      </c>
      <c r="C464" s="129" t="s">
        <v>1823</v>
      </c>
      <c r="D464" s="137" t="s">
        <v>1824</v>
      </c>
      <c r="E464" s="84" t="s">
        <v>1825</v>
      </c>
      <c r="F464" s="113"/>
      <c r="G464" s="131"/>
      <c r="H464" s="186" t="s">
        <v>1826</v>
      </c>
      <c r="I464" s="125" t="s">
        <v>327</v>
      </c>
      <c r="J464" s="125" t="s">
        <v>337</v>
      </c>
      <c r="K464" s="125" t="s">
        <v>1827</v>
      </c>
      <c r="L464" s="138" t="s">
        <v>507</v>
      </c>
      <c r="M464" s="138" t="s">
        <v>508</v>
      </c>
    </row>
    <row r="465" spans="1:13" s="114" customFormat="1" ht="25.5">
      <c r="A465" s="136">
        <v>463</v>
      </c>
      <c r="B465" s="129" t="s">
        <v>1828</v>
      </c>
      <c r="C465" s="129" t="s">
        <v>1829</v>
      </c>
      <c r="D465" s="137" t="s">
        <v>1830</v>
      </c>
      <c r="E465" s="84" t="s">
        <v>1831</v>
      </c>
      <c r="F465" s="113"/>
      <c r="G465" s="131"/>
      <c r="H465" s="186" t="s">
        <v>1370</v>
      </c>
      <c r="I465" s="125" t="s">
        <v>326</v>
      </c>
      <c r="J465" s="125" t="s">
        <v>349</v>
      </c>
      <c r="K465" s="125" t="s">
        <v>1336</v>
      </c>
      <c r="L465" s="138" t="s">
        <v>507</v>
      </c>
      <c r="M465" s="138" t="s">
        <v>508</v>
      </c>
    </row>
    <row r="466" spans="1:13" s="114" customFormat="1" ht="25.5">
      <c r="A466" s="136">
        <v>464</v>
      </c>
      <c r="B466" s="129" t="s">
        <v>1832</v>
      </c>
      <c r="C466" s="129" t="s">
        <v>1833</v>
      </c>
      <c r="D466" s="137" t="s">
        <v>1834</v>
      </c>
      <c r="E466" s="84" t="s">
        <v>1835</v>
      </c>
      <c r="F466" s="113"/>
      <c r="G466" s="131"/>
      <c r="H466" s="186" t="s">
        <v>1836</v>
      </c>
      <c r="I466" s="125" t="s">
        <v>326</v>
      </c>
      <c r="J466" s="125" t="s">
        <v>349</v>
      </c>
      <c r="K466" s="125" t="s">
        <v>1336</v>
      </c>
      <c r="L466" s="138" t="s">
        <v>507</v>
      </c>
      <c r="M466" s="138" t="s">
        <v>508</v>
      </c>
    </row>
    <row r="467" spans="1:13" s="114" customFormat="1" ht="25.5">
      <c r="A467" s="136">
        <v>465</v>
      </c>
      <c r="B467" s="129" t="s">
        <v>1836</v>
      </c>
      <c r="C467" s="129" t="s">
        <v>1833</v>
      </c>
      <c r="D467" s="137" t="s">
        <v>1834</v>
      </c>
      <c r="E467" s="84" t="s">
        <v>1837</v>
      </c>
      <c r="F467" s="113"/>
      <c r="G467" s="131"/>
      <c r="H467" s="186" t="s">
        <v>1838</v>
      </c>
      <c r="I467" s="125" t="s">
        <v>326</v>
      </c>
      <c r="J467" s="125" t="s">
        <v>349</v>
      </c>
      <c r="K467" s="125" t="s">
        <v>1336</v>
      </c>
      <c r="L467" s="138" t="s">
        <v>507</v>
      </c>
      <c r="M467" s="138" t="s">
        <v>508</v>
      </c>
    </row>
    <row r="468" spans="1:13" s="114" customFormat="1" ht="25.5">
      <c r="A468" s="136">
        <v>466</v>
      </c>
      <c r="B468" s="129" t="s">
        <v>1839</v>
      </c>
      <c r="C468" s="129" t="s">
        <v>1833</v>
      </c>
      <c r="D468" s="137" t="s">
        <v>1834</v>
      </c>
      <c r="E468" s="84" t="s">
        <v>1840</v>
      </c>
      <c r="F468" s="113"/>
      <c r="G468" s="131"/>
      <c r="H468" s="186" t="s">
        <v>1826</v>
      </c>
      <c r="I468" s="125" t="s">
        <v>327</v>
      </c>
      <c r="J468" s="125" t="s">
        <v>337</v>
      </c>
      <c r="K468" s="125" t="s">
        <v>1827</v>
      </c>
      <c r="L468" s="138" t="s">
        <v>507</v>
      </c>
      <c r="M468" s="138" t="s">
        <v>508</v>
      </c>
    </row>
    <row r="469" spans="1:13" s="114" customFormat="1" ht="38.25">
      <c r="A469" s="136">
        <v>467</v>
      </c>
      <c r="B469" s="129" t="s">
        <v>1841</v>
      </c>
      <c r="C469" s="129" t="s">
        <v>1842</v>
      </c>
      <c r="D469" s="137" t="s">
        <v>1843</v>
      </c>
      <c r="E469" s="84" t="s">
        <v>1844</v>
      </c>
      <c r="F469" s="113"/>
      <c r="G469" s="131"/>
      <c r="H469" s="186" t="s">
        <v>1826</v>
      </c>
      <c r="I469" s="125" t="s">
        <v>327</v>
      </c>
      <c r="J469" s="125" t="s">
        <v>337</v>
      </c>
      <c r="K469" s="125" t="s">
        <v>1827</v>
      </c>
      <c r="L469" s="138" t="s">
        <v>507</v>
      </c>
      <c r="M469" s="138" t="s">
        <v>508</v>
      </c>
    </row>
    <row r="470" spans="1:13" s="114" customFormat="1" ht="25.5">
      <c r="A470" s="136">
        <v>468</v>
      </c>
      <c r="B470" s="129" t="s">
        <v>1845</v>
      </c>
      <c r="C470" s="129" t="s">
        <v>1842</v>
      </c>
      <c r="D470" s="137" t="s">
        <v>1843</v>
      </c>
      <c r="E470" s="84" t="s">
        <v>1846</v>
      </c>
      <c r="F470" s="113"/>
      <c r="G470" s="131"/>
      <c r="H470" s="186" t="s">
        <v>1836</v>
      </c>
      <c r="I470" s="125" t="s">
        <v>326</v>
      </c>
      <c r="J470" s="125" t="s">
        <v>349</v>
      </c>
      <c r="K470" s="125" t="s">
        <v>1336</v>
      </c>
      <c r="L470" s="138" t="s">
        <v>507</v>
      </c>
      <c r="M470" s="138" t="s">
        <v>508</v>
      </c>
    </row>
    <row r="471" spans="1:13" s="114" customFormat="1" ht="25.5">
      <c r="A471" s="136">
        <v>469</v>
      </c>
      <c r="B471" s="129" t="s">
        <v>1847</v>
      </c>
      <c r="C471" s="129" t="s">
        <v>1842</v>
      </c>
      <c r="D471" s="137" t="s">
        <v>1843</v>
      </c>
      <c r="E471" s="84" t="s">
        <v>1848</v>
      </c>
      <c r="F471" s="113"/>
      <c r="G471" s="131"/>
      <c r="H471" s="186" t="s">
        <v>1826</v>
      </c>
      <c r="I471" s="125" t="s">
        <v>327</v>
      </c>
      <c r="J471" s="125" t="s">
        <v>337</v>
      </c>
      <c r="K471" s="125" t="s">
        <v>1827</v>
      </c>
      <c r="L471" s="138" t="s">
        <v>507</v>
      </c>
      <c r="M471" s="138" t="s">
        <v>508</v>
      </c>
    </row>
    <row r="472" spans="1:13" s="114" customFormat="1" ht="51">
      <c r="A472" s="136">
        <v>470</v>
      </c>
      <c r="B472" s="129" t="s">
        <v>1849</v>
      </c>
      <c r="C472" s="129" t="s">
        <v>1842</v>
      </c>
      <c r="D472" s="137" t="s">
        <v>1843</v>
      </c>
      <c r="E472" s="84" t="s">
        <v>1850</v>
      </c>
      <c r="F472" s="113"/>
      <c r="G472" s="131"/>
      <c r="H472" s="186" t="s">
        <v>1826</v>
      </c>
      <c r="I472" s="125" t="s">
        <v>327</v>
      </c>
      <c r="J472" s="125" t="s">
        <v>337</v>
      </c>
      <c r="K472" s="125" t="s">
        <v>1827</v>
      </c>
      <c r="L472" s="138" t="s">
        <v>507</v>
      </c>
      <c r="M472" s="138" t="s">
        <v>508</v>
      </c>
    </row>
    <row r="473" spans="1:13" s="114" customFormat="1" ht="38.25">
      <c r="A473" s="136">
        <v>471</v>
      </c>
      <c r="B473" s="129" t="s">
        <v>1851</v>
      </c>
      <c r="C473" s="129" t="s">
        <v>1842</v>
      </c>
      <c r="D473" s="137" t="s">
        <v>1843</v>
      </c>
      <c r="E473" s="84" t="s">
        <v>1852</v>
      </c>
      <c r="F473" s="113"/>
      <c r="G473" s="131"/>
      <c r="H473" s="186" t="s">
        <v>1826</v>
      </c>
      <c r="I473" s="125" t="s">
        <v>327</v>
      </c>
      <c r="J473" s="125" t="s">
        <v>337</v>
      </c>
      <c r="K473" s="125" t="s">
        <v>1827</v>
      </c>
      <c r="L473" s="138" t="s">
        <v>507</v>
      </c>
      <c r="M473" s="138" t="s">
        <v>508</v>
      </c>
    </row>
    <row r="474" spans="1:13" s="114" customFormat="1" ht="51">
      <c r="A474" s="136">
        <v>472</v>
      </c>
      <c r="B474" s="129" t="s">
        <v>1853</v>
      </c>
      <c r="C474" s="129" t="s">
        <v>1842</v>
      </c>
      <c r="D474" s="137" t="s">
        <v>1843</v>
      </c>
      <c r="E474" s="84" t="s">
        <v>1854</v>
      </c>
      <c r="F474" s="113"/>
      <c r="G474" s="131"/>
      <c r="H474" s="186" t="s">
        <v>707</v>
      </c>
      <c r="I474" s="125" t="s">
        <v>326</v>
      </c>
      <c r="J474" s="125" t="s">
        <v>331</v>
      </c>
      <c r="K474" s="125" t="s">
        <v>530</v>
      </c>
      <c r="L474" s="138" t="s">
        <v>507</v>
      </c>
      <c r="M474" s="138" t="s">
        <v>508</v>
      </c>
    </row>
    <row r="475" spans="1:13" s="114" customFormat="1" ht="38.25">
      <c r="A475" s="136">
        <v>473</v>
      </c>
      <c r="B475" s="129" t="s">
        <v>1826</v>
      </c>
      <c r="C475" s="129" t="s">
        <v>1842</v>
      </c>
      <c r="D475" s="137" t="s">
        <v>1843</v>
      </c>
      <c r="E475" s="84" t="s">
        <v>1855</v>
      </c>
      <c r="F475" s="113"/>
      <c r="G475" s="131"/>
      <c r="H475" s="186" t="s">
        <v>1856</v>
      </c>
      <c r="I475" s="125" t="s">
        <v>327</v>
      </c>
      <c r="J475" s="125" t="s">
        <v>337</v>
      </c>
      <c r="K475" s="125" t="s">
        <v>1827</v>
      </c>
      <c r="L475" s="138" t="s">
        <v>507</v>
      </c>
      <c r="M475" s="138" t="s">
        <v>508</v>
      </c>
    </row>
    <row r="476" spans="1:13" s="114" customFormat="1" ht="51">
      <c r="A476" s="136">
        <v>474</v>
      </c>
      <c r="B476" s="129" t="s">
        <v>1857</v>
      </c>
      <c r="C476" s="129" t="s">
        <v>1842</v>
      </c>
      <c r="D476" s="137" t="s">
        <v>1843</v>
      </c>
      <c r="E476" s="84" t="s">
        <v>1858</v>
      </c>
      <c r="F476" s="113"/>
      <c r="G476" s="131"/>
      <c r="H476" s="186" t="s">
        <v>1070</v>
      </c>
      <c r="I476" s="125" t="s">
        <v>327</v>
      </c>
      <c r="J476" s="125" t="s">
        <v>337</v>
      </c>
      <c r="K476" s="125" t="s">
        <v>1071</v>
      </c>
      <c r="L476" s="138" t="s">
        <v>314</v>
      </c>
      <c r="M476" s="138" t="s">
        <v>953</v>
      </c>
    </row>
    <row r="477" spans="1:13" s="114" customFormat="1" ht="51">
      <c r="A477" s="136">
        <v>475</v>
      </c>
      <c r="B477" s="129" t="s">
        <v>1859</v>
      </c>
      <c r="C477" s="129" t="s">
        <v>1860</v>
      </c>
      <c r="D477" s="137" t="s">
        <v>1861</v>
      </c>
      <c r="E477" s="84" t="s">
        <v>1862</v>
      </c>
      <c r="F477" s="113"/>
      <c r="G477" s="131"/>
      <c r="H477" s="186" t="s">
        <v>1070</v>
      </c>
      <c r="I477" s="125" t="s">
        <v>327</v>
      </c>
      <c r="J477" s="125" t="s">
        <v>337</v>
      </c>
      <c r="K477" s="125" t="s">
        <v>1071</v>
      </c>
      <c r="L477" s="138" t="s">
        <v>314</v>
      </c>
      <c r="M477" s="138" t="s">
        <v>953</v>
      </c>
    </row>
    <row r="478" spans="1:13" s="114" customFormat="1" ht="51">
      <c r="A478" s="136">
        <v>476</v>
      </c>
      <c r="B478" s="129" t="s">
        <v>1863</v>
      </c>
      <c r="C478" s="129" t="s">
        <v>1860</v>
      </c>
      <c r="D478" s="137" t="s">
        <v>1861</v>
      </c>
      <c r="E478" s="84" t="s">
        <v>1864</v>
      </c>
      <c r="F478" s="113"/>
      <c r="G478" s="131"/>
      <c r="H478" s="186" t="s">
        <v>1070</v>
      </c>
      <c r="I478" s="125" t="s">
        <v>327</v>
      </c>
      <c r="J478" s="125" t="s">
        <v>337</v>
      </c>
      <c r="K478" s="125" t="s">
        <v>1071</v>
      </c>
      <c r="L478" s="138" t="s">
        <v>314</v>
      </c>
      <c r="M478" s="138" t="s">
        <v>953</v>
      </c>
    </row>
    <row r="479" spans="1:13" s="114" customFormat="1" ht="25.5">
      <c r="A479" s="136">
        <v>477</v>
      </c>
      <c r="B479" s="129" t="s">
        <v>1865</v>
      </c>
      <c r="C479" s="129" t="s">
        <v>1860</v>
      </c>
      <c r="D479" s="137" t="s">
        <v>1861</v>
      </c>
      <c r="E479" s="84" t="s">
        <v>1866</v>
      </c>
      <c r="F479" s="113"/>
      <c r="G479" s="131"/>
      <c r="H479" s="186" t="s">
        <v>1089</v>
      </c>
      <c r="I479" s="125" t="s">
        <v>327</v>
      </c>
      <c r="J479" s="125" t="s">
        <v>342</v>
      </c>
      <c r="K479" s="125" t="s">
        <v>1090</v>
      </c>
      <c r="L479" s="138" t="s">
        <v>507</v>
      </c>
      <c r="M479" s="138" t="s">
        <v>508</v>
      </c>
    </row>
    <row r="480" spans="1:13" s="114" customFormat="1" ht="51">
      <c r="A480" s="136">
        <v>478</v>
      </c>
      <c r="B480" s="129" t="s">
        <v>1867</v>
      </c>
      <c r="C480" s="129" t="s">
        <v>1860</v>
      </c>
      <c r="D480" s="137" t="s">
        <v>1861</v>
      </c>
      <c r="E480" s="84" t="s">
        <v>1868</v>
      </c>
      <c r="F480" s="113"/>
      <c r="G480" s="131"/>
      <c r="H480" s="186" t="s">
        <v>1437</v>
      </c>
      <c r="I480" s="125" t="s">
        <v>327</v>
      </c>
      <c r="J480" s="125" t="s">
        <v>337</v>
      </c>
      <c r="K480" s="125" t="s">
        <v>1440</v>
      </c>
      <c r="L480" s="138" t="s">
        <v>314</v>
      </c>
      <c r="M480" s="138" t="s">
        <v>953</v>
      </c>
    </row>
    <row r="481" spans="1:13" s="114" customFormat="1" ht="51">
      <c r="A481" s="136">
        <v>479</v>
      </c>
      <c r="B481" s="129" t="s">
        <v>1869</v>
      </c>
      <c r="C481" s="129" t="s">
        <v>1860</v>
      </c>
      <c r="D481" s="137" t="s">
        <v>1861</v>
      </c>
      <c r="E481" s="84" t="s">
        <v>1870</v>
      </c>
      <c r="F481" s="113"/>
      <c r="G481" s="131"/>
      <c r="H481" s="186" t="s">
        <v>1437</v>
      </c>
      <c r="I481" s="125" t="s">
        <v>327</v>
      </c>
      <c r="J481" s="125" t="s">
        <v>337</v>
      </c>
      <c r="K481" s="125" t="s">
        <v>1440</v>
      </c>
      <c r="L481" s="138" t="s">
        <v>314</v>
      </c>
      <c r="M481" s="138" t="s">
        <v>953</v>
      </c>
    </row>
    <row r="482" spans="1:13" s="114" customFormat="1" ht="51">
      <c r="A482" s="136">
        <v>480</v>
      </c>
      <c r="B482" s="129" t="s">
        <v>1871</v>
      </c>
      <c r="C482" s="129" t="s">
        <v>1860</v>
      </c>
      <c r="D482" s="137" t="s">
        <v>1861</v>
      </c>
      <c r="E482" s="84" t="s">
        <v>1872</v>
      </c>
      <c r="F482" s="113"/>
      <c r="G482" s="131"/>
      <c r="H482" s="186" t="s">
        <v>1579</v>
      </c>
      <c r="I482" s="125" t="s">
        <v>327</v>
      </c>
      <c r="J482" s="125" t="s">
        <v>337</v>
      </c>
      <c r="K482" s="125" t="s">
        <v>1440</v>
      </c>
      <c r="L482" s="138" t="s">
        <v>314</v>
      </c>
      <c r="M482" s="138" t="s">
        <v>953</v>
      </c>
    </row>
    <row r="483" spans="1:13" s="114" customFormat="1" ht="25.5">
      <c r="A483" s="136">
        <v>481</v>
      </c>
      <c r="B483" s="129" t="s">
        <v>1089</v>
      </c>
      <c r="C483" s="129" t="s">
        <v>1860</v>
      </c>
      <c r="D483" s="137" t="s">
        <v>1861</v>
      </c>
      <c r="E483" s="84" t="s">
        <v>1873</v>
      </c>
      <c r="F483" s="113"/>
      <c r="G483" s="131"/>
      <c r="H483" s="186" t="s">
        <v>1874</v>
      </c>
      <c r="I483" s="125" t="s">
        <v>327</v>
      </c>
      <c r="J483" s="125" t="s">
        <v>342</v>
      </c>
      <c r="K483" s="125" t="s">
        <v>1090</v>
      </c>
      <c r="L483" s="138" t="s">
        <v>507</v>
      </c>
      <c r="M483" s="138" t="s">
        <v>508</v>
      </c>
    </row>
    <row r="484" spans="1:13" s="114" customFormat="1" ht="25.5">
      <c r="A484" s="136">
        <v>482</v>
      </c>
      <c r="B484" s="129" t="s">
        <v>1875</v>
      </c>
      <c r="C484" s="129" t="s">
        <v>1860</v>
      </c>
      <c r="D484" s="137" t="s">
        <v>1861</v>
      </c>
      <c r="E484" s="84" t="s">
        <v>1876</v>
      </c>
      <c r="F484" s="113"/>
      <c r="G484" s="131"/>
      <c r="H484" s="186" t="s">
        <v>1089</v>
      </c>
      <c r="I484" s="125" t="s">
        <v>327</v>
      </c>
      <c r="J484" s="125" t="s">
        <v>342</v>
      </c>
      <c r="K484" s="125" t="s">
        <v>1090</v>
      </c>
      <c r="L484" s="138" t="s">
        <v>507</v>
      </c>
      <c r="M484" s="138" t="s">
        <v>508</v>
      </c>
    </row>
    <row r="485" spans="1:13" s="114" customFormat="1" ht="51">
      <c r="A485" s="136">
        <v>483</v>
      </c>
      <c r="B485" s="129" t="s">
        <v>1877</v>
      </c>
      <c r="C485" s="129" t="s">
        <v>1860</v>
      </c>
      <c r="D485" s="137" t="s">
        <v>1861</v>
      </c>
      <c r="E485" s="84" t="s">
        <v>1878</v>
      </c>
      <c r="F485" s="113"/>
      <c r="G485" s="131"/>
      <c r="H485" s="186" t="s">
        <v>971</v>
      </c>
      <c r="I485" s="125" t="s">
        <v>326</v>
      </c>
      <c r="J485" s="125" t="s">
        <v>352</v>
      </c>
      <c r="K485" s="125" t="s">
        <v>597</v>
      </c>
      <c r="L485" s="138" t="s">
        <v>314</v>
      </c>
      <c r="M485" s="138" t="s">
        <v>953</v>
      </c>
    </row>
    <row r="486" spans="1:13" s="114" customFormat="1" ht="63.75">
      <c r="A486" s="136">
        <v>484</v>
      </c>
      <c r="B486" s="129" t="s">
        <v>1579</v>
      </c>
      <c r="C486" s="129" t="s">
        <v>1860</v>
      </c>
      <c r="D486" s="137" t="s">
        <v>1861</v>
      </c>
      <c r="E486" s="84" t="s">
        <v>1879</v>
      </c>
      <c r="F486" s="113"/>
      <c r="G486" s="131"/>
      <c r="H486" s="186" t="s">
        <v>1880</v>
      </c>
      <c r="I486" s="125" t="s">
        <v>327</v>
      </c>
      <c r="J486" s="125" t="s">
        <v>337</v>
      </c>
      <c r="K486" s="125" t="s">
        <v>1440</v>
      </c>
      <c r="L486" s="138" t="s">
        <v>314</v>
      </c>
      <c r="M486" s="138" t="s">
        <v>953</v>
      </c>
    </row>
    <row r="487" spans="1:13" s="114" customFormat="1" ht="38.25">
      <c r="A487" s="136">
        <v>485</v>
      </c>
      <c r="B487" s="129" t="s">
        <v>1881</v>
      </c>
      <c r="C487" s="129" t="s">
        <v>1860</v>
      </c>
      <c r="D487" s="137" t="s">
        <v>1861</v>
      </c>
      <c r="E487" s="84" t="s">
        <v>1882</v>
      </c>
      <c r="F487" s="113"/>
      <c r="G487" s="131"/>
      <c r="H487" s="186" t="s">
        <v>1089</v>
      </c>
      <c r="I487" s="125" t="s">
        <v>327</v>
      </c>
      <c r="J487" s="125" t="s">
        <v>342</v>
      </c>
      <c r="K487" s="125" t="s">
        <v>1090</v>
      </c>
      <c r="L487" s="138" t="s">
        <v>507</v>
      </c>
      <c r="M487" s="138" t="s">
        <v>508</v>
      </c>
    </row>
    <row r="488" spans="1:13" s="114" customFormat="1" ht="51">
      <c r="A488" s="136">
        <v>486</v>
      </c>
      <c r="B488" s="129" t="s">
        <v>1883</v>
      </c>
      <c r="C488" s="129" t="s">
        <v>1860</v>
      </c>
      <c r="D488" s="137" t="s">
        <v>1861</v>
      </c>
      <c r="E488" s="84" t="s">
        <v>1884</v>
      </c>
      <c r="F488" s="113"/>
      <c r="G488" s="131"/>
      <c r="H488" s="186" t="s">
        <v>1579</v>
      </c>
      <c r="I488" s="125" t="s">
        <v>327</v>
      </c>
      <c r="J488" s="125" t="s">
        <v>337</v>
      </c>
      <c r="K488" s="125" t="s">
        <v>1440</v>
      </c>
      <c r="L488" s="138" t="s">
        <v>314</v>
      </c>
      <c r="M488" s="138" t="s">
        <v>953</v>
      </c>
    </row>
    <row r="489" spans="1:13" s="114" customFormat="1" ht="51">
      <c r="A489" s="136">
        <v>487</v>
      </c>
      <c r="B489" s="129" t="s">
        <v>1885</v>
      </c>
      <c r="C489" s="129" t="s">
        <v>1860</v>
      </c>
      <c r="D489" s="137" t="s">
        <v>1861</v>
      </c>
      <c r="E489" s="84" t="s">
        <v>1886</v>
      </c>
      <c r="F489" s="113"/>
      <c r="G489" s="131"/>
      <c r="H489" s="186" t="s">
        <v>1437</v>
      </c>
      <c r="I489" s="125" t="s">
        <v>327</v>
      </c>
      <c r="J489" s="125" t="s">
        <v>337</v>
      </c>
      <c r="K489" s="125" t="s">
        <v>1440</v>
      </c>
      <c r="L489" s="138" t="s">
        <v>314</v>
      </c>
      <c r="M489" s="138" t="s">
        <v>953</v>
      </c>
    </row>
    <row r="490" spans="1:13" s="114" customFormat="1" ht="51">
      <c r="A490" s="136">
        <v>488</v>
      </c>
      <c r="B490" s="129" t="s">
        <v>1887</v>
      </c>
      <c r="C490" s="129" t="s">
        <v>1860</v>
      </c>
      <c r="D490" s="137" t="s">
        <v>1861</v>
      </c>
      <c r="E490" s="84" t="s">
        <v>1888</v>
      </c>
      <c r="F490" s="113"/>
      <c r="G490" s="131"/>
      <c r="H490" s="186" t="s">
        <v>1437</v>
      </c>
      <c r="I490" s="125" t="s">
        <v>327</v>
      </c>
      <c r="J490" s="125" t="s">
        <v>337</v>
      </c>
      <c r="K490" s="125" t="s">
        <v>1440</v>
      </c>
      <c r="L490" s="138" t="s">
        <v>314</v>
      </c>
      <c r="M490" s="138" t="s">
        <v>953</v>
      </c>
    </row>
    <row r="491" spans="1:13" s="114" customFormat="1" ht="38.25">
      <c r="A491" s="136">
        <v>489</v>
      </c>
      <c r="B491" s="129" t="s">
        <v>1889</v>
      </c>
      <c r="C491" s="129" t="s">
        <v>1860</v>
      </c>
      <c r="D491" s="137" t="s">
        <v>1861</v>
      </c>
      <c r="E491" s="84" t="s">
        <v>1890</v>
      </c>
      <c r="F491" s="113"/>
      <c r="G491" s="131"/>
      <c r="H491" s="186" t="s">
        <v>1891</v>
      </c>
      <c r="I491" s="125" t="s">
        <v>327</v>
      </c>
      <c r="J491" s="125" t="s">
        <v>332</v>
      </c>
      <c r="K491" s="125" t="s">
        <v>1892</v>
      </c>
      <c r="L491" s="138" t="s">
        <v>507</v>
      </c>
      <c r="M491" s="138" t="s">
        <v>508</v>
      </c>
    </row>
    <row r="492" spans="1:13" s="114" customFormat="1" ht="25.5">
      <c r="A492" s="136">
        <v>490</v>
      </c>
      <c r="B492" s="129" t="s">
        <v>1893</v>
      </c>
      <c r="C492" s="129" t="s">
        <v>1860</v>
      </c>
      <c r="D492" s="137" t="s">
        <v>1861</v>
      </c>
      <c r="E492" s="84" t="s">
        <v>1894</v>
      </c>
      <c r="F492" s="113"/>
      <c r="G492" s="131"/>
      <c r="H492" s="186" t="s">
        <v>1891</v>
      </c>
      <c r="I492" s="125" t="s">
        <v>327</v>
      </c>
      <c r="J492" s="125" t="s">
        <v>332</v>
      </c>
      <c r="K492" s="125" t="s">
        <v>1892</v>
      </c>
      <c r="L492" s="138" t="s">
        <v>507</v>
      </c>
      <c r="M492" s="138" t="s">
        <v>508</v>
      </c>
    </row>
    <row r="493" spans="1:13" s="114" customFormat="1" ht="51">
      <c r="A493" s="136">
        <v>491</v>
      </c>
      <c r="B493" s="129" t="s">
        <v>1895</v>
      </c>
      <c r="C493" s="129" t="s">
        <v>1860</v>
      </c>
      <c r="D493" s="137" t="s">
        <v>1861</v>
      </c>
      <c r="E493" s="84" t="s">
        <v>1896</v>
      </c>
      <c r="F493" s="113"/>
      <c r="G493" s="131"/>
      <c r="H493" s="186" t="s">
        <v>1579</v>
      </c>
      <c r="I493" s="125" t="s">
        <v>327</v>
      </c>
      <c r="J493" s="125" t="s">
        <v>337</v>
      </c>
      <c r="K493" s="125" t="s">
        <v>1440</v>
      </c>
      <c r="L493" s="138" t="s">
        <v>314</v>
      </c>
      <c r="M493" s="138" t="s">
        <v>953</v>
      </c>
    </row>
    <row r="494" spans="1:13" s="114" customFormat="1" ht="51">
      <c r="A494" s="136">
        <v>492</v>
      </c>
      <c r="B494" s="129" t="s">
        <v>1897</v>
      </c>
      <c r="C494" s="129" t="s">
        <v>1860</v>
      </c>
      <c r="D494" s="137" t="s">
        <v>1861</v>
      </c>
      <c r="E494" s="84" t="s">
        <v>1898</v>
      </c>
      <c r="F494" s="113"/>
      <c r="G494" s="131"/>
      <c r="H494" s="186" t="s">
        <v>1899</v>
      </c>
      <c r="I494" s="125" t="s">
        <v>327</v>
      </c>
      <c r="J494" s="125" t="s">
        <v>337</v>
      </c>
      <c r="K494" s="125" t="s">
        <v>1900</v>
      </c>
      <c r="L494" s="138" t="s">
        <v>314</v>
      </c>
      <c r="M494" s="138" t="s">
        <v>953</v>
      </c>
    </row>
    <row r="495" spans="1:13" s="114" customFormat="1" ht="51">
      <c r="A495" s="136">
        <v>493</v>
      </c>
      <c r="B495" s="129" t="s">
        <v>1899</v>
      </c>
      <c r="C495" s="129" t="s">
        <v>1860</v>
      </c>
      <c r="D495" s="137" t="s">
        <v>1861</v>
      </c>
      <c r="E495" s="84" t="s">
        <v>1901</v>
      </c>
      <c r="F495" s="113"/>
      <c r="G495" s="131"/>
      <c r="H495" s="186" t="s">
        <v>1902</v>
      </c>
      <c r="I495" s="125" t="s">
        <v>327</v>
      </c>
      <c r="J495" s="125" t="s">
        <v>337</v>
      </c>
      <c r="K495" s="125" t="s">
        <v>1900</v>
      </c>
      <c r="L495" s="138" t="s">
        <v>314</v>
      </c>
      <c r="M495" s="138" t="s">
        <v>953</v>
      </c>
    </row>
    <row r="496" spans="1:13" s="114" customFormat="1" ht="51">
      <c r="A496" s="136">
        <v>494</v>
      </c>
      <c r="B496" s="129" t="s">
        <v>1903</v>
      </c>
      <c r="C496" s="129" t="s">
        <v>1860</v>
      </c>
      <c r="D496" s="137" t="s">
        <v>1861</v>
      </c>
      <c r="E496" s="84" t="s">
        <v>1904</v>
      </c>
      <c r="F496" s="113"/>
      <c r="G496" s="131"/>
      <c r="H496" s="186" t="s">
        <v>1899</v>
      </c>
      <c r="I496" s="125" t="s">
        <v>327</v>
      </c>
      <c r="J496" s="125" t="s">
        <v>337</v>
      </c>
      <c r="K496" s="125" t="s">
        <v>1900</v>
      </c>
      <c r="L496" s="138" t="s">
        <v>314</v>
      </c>
      <c r="M496" s="138" t="s">
        <v>953</v>
      </c>
    </row>
    <row r="497" spans="1:13" s="114" customFormat="1" ht="25.5">
      <c r="A497" s="136">
        <v>495</v>
      </c>
      <c r="B497" s="129" t="s">
        <v>1905</v>
      </c>
      <c r="C497" s="129" t="s">
        <v>1860</v>
      </c>
      <c r="D497" s="137" t="s">
        <v>1861</v>
      </c>
      <c r="E497" s="84" t="s">
        <v>1906</v>
      </c>
      <c r="F497" s="113"/>
      <c r="G497" s="131"/>
      <c r="H497" s="186" t="s">
        <v>1579</v>
      </c>
      <c r="I497" s="125" t="s">
        <v>327</v>
      </c>
      <c r="J497" s="125" t="s">
        <v>337</v>
      </c>
      <c r="K497" s="125" t="s">
        <v>1440</v>
      </c>
      <c r="L497" s="138" t="s">
        <v>507</v>
      </c>
      <c r="M497" s="138" t="s">
        <v>508</v>
      </c>
    </row>
    <row r="498" spans="1:13" s="114" customFormat="1" ht="25.5">
      <c r="A498" s="136">
        <v>496</v>
      </c>
      <c r="B498" s="129" t="s">
        <v>1907</v>
      </c>
      <c r="C498" s="129" t="s">
        <v>1860</v>
      </c>
      <c r="D498" s="137" t="s">
        <v>1861</v>
      </c>
      <c r="E498" s="84" t="s">
        <v>1908</v>
      </c>
      <c r="F498" s="113"/>
      <c r="G498" s="131"/>
      <c r="H498" s="186" t="s">
        <v>1070</v>
      </c>
      <c r="I498" s="125" t="s">
        <v>327</v>
      </c>
      <c r="J498" s="125" t="s">
        <v>337</v>
      </c>
      <c r="K498" s="125" t="s">
        <v>1071</v>
      </c>
      <c r="L498" s="138" t="s">
        <v>314</v>
      </c>
      <c r="M498" s="138" t="s">
        <v>508</v>
      </c>
    </row>
    <row r="499" spans="1:13" s="114" customFormat="1" ht="51">
      <c r="A499" s="136">
        <v>497</v>
      </c>
      <c r="B499" s="129" t="s">
        <v>1891</v>
      </c>
      <c r="C499" s="129" t="s">
        <v>1860</v>
      </c>
      <c r="D499" s="137" t="s">
        <v>1861</v>
      </c>
      <c r="E499" s="84" t="s">
        <v>1909</v>
      </c>
      <c r="F499" s="113"/>
      <c r="G499" s="131"/>
      <c r="H499" s="186" t="s">
        <v>1910</v>
      </c>
      <c r="I499" s="125" t="s">
        <v>327</v>
      </c>
      <c r="J499" s="125" t="s">
        <v>332</v>
      </c>
      <c r="K499" s="125" t="s">
        <v>1892</v>
      </c>
      <c r="L499" s="138" t="s">
        <v>314</v>
      </c>
      <c r="M499" s="138" t="s">
        <v>953</v>
      </c>
    </row>
    <row r="500" spans="1:13" s="114" customFormat="1" ht="38.25">
      <c r="A500" s="136">
        <v>498</v>
      </c>
      <c r="B500" s="129" t="s">
        <v>1911</v>
      </c>
      <c r="C500" s="125" t="s">
        <v>1912</v>
      </c>
      <c r="D500" s="125" t="s">
        <v>1913</v>
      </c>
      <c r="E500" s="113" t="s">
        <v>1914</v>
      </c>
      <c r="F500" s="113"/>
      <c r="G500" s="131"/>
      <c r="H500" s="186" t="s">
        <v>1308</v>
      </c>
      <c r="I500" s="125" t="s">
        <v>326</v>
      </c>
      <c r="J500" s="125" t="s">
        <v>346</v>
      </c>
      <c r="K500" s="125" t="s">
        <v>1309</v>
      </c>
      <c r="L500" s="125" t="s">
        <v>507</v>
      </c>
      <c r="M500" s="125" t="s">
        <v>508</v>
      </c>
    </row>
    <row r="501" spans="1:13" s="114" customFormat="1" ht="25.5">
      <c r="A501" s="136">
        <v>499</v>
      </c>
      <c r="B501" s="129" t="s">
        <v>1915</v>
      </c>
      <c r="C501" s="129" t="s">
        <v>1860</v>
      </c>
      <c r="D501" s="137" t="s">
        <v>1861</v>
      </c>
      <c r="E501" s="84" t="s">
        <v>1916</v>
      </c>
      <c r="F501" s="113"/>
      <c r="G501" s="131"/>
      <c r="H501" s="186" t="s">
        <v>1671</v>
      </c>
      <c r="I501" s="125" t="s">
        <v>326</v>
      </c>
      <c r="J501" s="125" t="s">
        <v>341</v>
      </c>
      <c r="K501" s="125" t="s">
        <v>580</v>
      </c>
      <c r="L501" s="138" t="s">
        <v>507</v>
      </c>
      <c r="M501" s="138" t="s">
        <v>508</v>
      </c>
    </row>
    <row r="502" spans="1:13" s="114" customFormat="1" ht="51">
      <c r="A502" s="136">
        <v>500</v>
      </c>
      <c r="B502" s="129" t="s">
        <v>1917</v>
      </c>
      <c r="C502" s="129" t="s">
        <v>1918</v>
      </c>
      <c r="D502" s="137" t="s">
        <v>1919</v>
      </c>
      <c r="E502" s="84" t="s">
        <v>1920</v>
      </c>
      <c r="F502" s="113"/>
      <c r="G502" s="131"/>
      <c r="H502" s="186" t="s">
        <v>1671</v>
      </c>
      <c r="I502" s="125" t="s">
        <v>326</v>
      </c>
      <c r="J502" s="125" t="s">
        <v>341</v>
      </c>
      <c r="K502" s="125" t="s">
        <v>580</v>
      </c>
      <c r="L502" s="138" t="s">
        <v>507</v>
      </c>
      <c r="M502" s="138" t="s">
        <v>508</v>
      </c>
    </row>
    <row r="503" spans="1:13" s="114" customFormat="1" ht="25.5">
      <c r="A503" s="136">
        <v>501</v>
      </c>
      <c r="B503" s="129" t="s">
        <v>1921</v>
      </c>
      <c r="C503" s="129" t="s">
        <v>1918</v>
      </c>
      <c r="D503" s="137" t="s">
        <v>1919</v>
      </c>
      <c r="E503" s="84" t="s">
        <v>1922</v>
      </c>
      <c r="F503" s="113"/>
      <c r="G503" s="131"/>
      <c r="H503" s="186" t="s">
        <v>1089</v>
      </c>
      <c r="I503" s="125" t="s">
        <v>327</v>
      </c>
      <c r="J503" s="125" t="s">
        <v>342</v>
      </c>
      <c r="K503" s="125" t="s">
        <v>1090</v>
      </c>
      <c r="L503" s="138" t="s">
        <v>507</v>
      </c>
      <c r="M503" s="138" t="s">
        <v>508</v>
      </c>
    </row>
    <row r="504" spans="1:13" s="114" customFormat="1" ht="25.5">
      <c r="A504" s="136">
        <v>502</v>
      </c>
      <c r="B504" s="129" t="s">
        <v>1671</v>
      </c>
      <c r="C504" s="129" t="s">
        <v>1918</v>
      </c>
      <c r="D504" s="137" t="s">
        <v>1919</v>
      </c>
      <c r="E504" s="84" t="s">
        <v>1923</v>
      </c>
      <c r="F504" s="113"/>
      <c r="G504" s="131"/>
      <c r="H504" s="186" t="s">
        <v>1924</v>
      </c>
      <c r="I504" s="125" t="s">
        <v>326</v>
      </c>
      <c r="J504" s="125" t="s">
        <v>341</v>
      </c>
      <c r="K504" s="125" t="s">
        <v>580</v>
      </c>
      <c r="L504" s="138" t="s">
        <v>507</v>
      </c>
      <c r="M504" s="138" t="s">
        <v>508</v>
      </c>
    </row>
    <row r="505" spans="1:13" s="114" customFormat="1" ht="38.25">
      <c r="A505" s="136">
        <v>503</v>
      </c>
      <c r="B505" s="129" t="s">
        <v>1925</v>
      </c>
      <c r="C505" s="129" t="s">
        <v>1918</v>
      </c>
      <c r="D505" s="137" t="s">
        <v>1919</v>
      </c>
      <c r="E505" s="84" t="s">
        <v>1926</v>
      </c>
      <c r="F505" s="113"/>
      <c r="G505" s="131"/>
      <c r="H505" s="186" t="s">
        <v>1617</v>
      </c>
      <c r="I505" s="125" t="s">
        <v>326</v>
      </c>
      <c r="J505" s="125" t="s">
        <v>352</v>
      </c>
      <c r="K505" s="125" t="s">
        <v>561</v>
      </c>
      <c r="L505" s="138" t="s">
        <v>507</v>
      </c>
      <c r="M505" s="138" t="s">
        <v>508</v>
      </c>
    </row>
    <row r="506" spans="1:13" s="114" customFormat="1" ht="25.5">
      <c r="A506" s="136">
        <v>504</v>
      </c>
      <c r="B506" s="129" t="s">
        <v>1927</v>
      </c>
      <c r="C506" s="129" t="s">
        <v>1918</v>
      </c>
      <c r="D506" s="137" t="s">
        <v>1919</v>
      </c>
      <c r="E506" s="84" t="s">
        <v>1928</v>
      </c>
      <c r="F506" s="113"/>
      <c r="G506" s="131"/>
      <c r="H506" s="186" t="s">
        <v>896</v>
      </c>
      <c r="I506" s="125" t="s">
        <v>326</v>
      </c>
      <c r="J506" s="125" t="s">
        <v>341</v>
      </c>
      <c r="K506" s="125" t="s">
        <v>580</v>
      </c>
      <c r="L506" s="138" t="s">
        <v>507</v>
      </c>
      <c r="M506" s="138" t="s">
        <v>508</v>
      </c>
    </row>
    <row r="507" spans="1:13" s="114" customFormat="1" ht="51">
      <c r="A507" s="136">
        <v>505</v>
      </c>
      <c r="B507" s="129" t="s">
        <v>1929</v>
      </c>
      <c r="C507" s="129" t="s">
        <v>1918</v>
      </c>
      <c r="D507" s="137" t="s">
        <v>1919</v>
      </c>
      <c r="E507" s="84" t="s">
        <v>1930</v>
      </c>
      <c r="F507" s="113"/>
      <c r="G507" s="131"/>
      <c r="H507" s="186" t="s">
        <v>1308</v>
      </c>
      <c r="I507" s="125" t="s">
        <v>326</v>
      </c>
      <c r="J507" s="125" t="s">
        <v>346</v>
      </c>
      <c r="K507" s="125" t="s">
        <v>1309</v>
      </c>
      <c r="L507" s="138" t="s">
        <v>507</v>
      </c>
      <c r="M507" s="138" t="s">
        <v>508</v>
      </c>
    </row>
    <row r="508" spans="1:13" s="114" customFormat="1" ht="25.5">
      <c r="A508" s="136">
        <v>506</v>
      </c>
      <c r="B508" s="129" t="s">
        <v>1931</v>
      </c>
      <c r="C508" s="129" t="s">
        <v>1918</v>
      </c>
      <c r="D508" s="137" t="s">
        <v>1919</v>
      </c>
      <c r="E508" s="84" t="s">
        <v>1932</v>
      </c>
      <c r="F508" s="113"/>
      <c r="G508" s="131"/>
      <c r="H508" s="186" t="s">
        <v>523</v>
      </c>
      <c r="I508" s="125" t="s">
        <v>326</v>
      </c>
      <c r="J508" s="125" t="s">
        <v>352</v>
      </c>
      <c r="K508" s="125" t="s">
        <v>526</v>
      </c>
      <c r="L508" s="138" t="s">
        <v>507</v>
      </c>
      <c r="M508" s="138" t="s">
        <v>508</v>
      </c>
    </row>
    <row r="509" spans="1:13" s="114" customFormat="1" ht="25.5">
      <c r="A509" s="136">
        <v>507</v>
      </c>
      <c r="B509" s="129" t="s">
        <v>1933</v>
      </c>
      <c r="C509" s="129" t="s">
        <v>1918</v>
      </c>
      <c r="D509" s="137" t="s">
        <v>1919</v>
      </c>
      <c r="E509" s="84" t="s">
        <v>1934</v>
      </c>
      <c r="F509" s="113"/>
      <c r="G509" s="131"/>
      <c r="H509" s="186" t="s">
        <v>1935</v>
      </c>
      <c r="I509" s="125" t="s">
        <v>326</v>
      </c>
      <c r="J509" s="125" t="s">
        <v>341</v>
      </c>
      <c r="K509" s="125" t="s">
        <v>580</v>
      </c>
      <c r="L509" s="138" t="s">
        <v>507</v>
      </c>
      <c r="M509" s="138" t="s">
        <v>508</v>
      </c>
    </row>
    <row r="510" spans="1:13" s="114" customFormat="1" ht="51">
      <c r="A510" s="136">
        <v>508</v>
      </c>
      <c r="B510" s="129" t="s">
        <v>1936</v>
      </c>
      <c r="C510" s="129" t="s">
        <v>1918</v>
      </c>
      <c r="D510" s="137" t="s">
        <v>1919</v>
      </c>
      <c r="E510" s="84" t="s">
        <v>1937</v>
      </c>
      <c r="F510" s="113"/>
      <c r="G510" s="131"/>
      <c r="H510" s="186" t="s">
        <v>1933</v>
      </c>
      <c r="I510" s="125" t="s">
        <v>326</v>
      </c>
      <c r="J510" s="125" t="s">
        <v>341</v>
      </c>
      <c r="K510" s="125" t="s">
        <v>580</v>
      </c>
      <c r="L510" s="138" t="s">
        <v>507</v>
      </c>
      <c r="M510" s="138" t="s">
        <v>508</v>
      </c>
    </row>
    <row r="511" spans="1:13" s="114" customFormat="1" ht="38.25">
      <c r="A511" s="136">
        <v>509</v>
      </c>
      <c r="B511" s="129" t="s">
        <v>1938</v>
      </c>
      <c r="C511" s="129" t="s">
        <v>1918</v>
      </c>
      <c r="D511" s="137" t="s">
        <v>1919</v>
      </c>
      <c r="E511" s="84" t="s">
        <v>1939</v>
      </c>
      <c r="F511" s="113"/>
      <c r="G511" s="131"/>
      <c r="H511" s="186" t="s">
        <v>1086</v>
      </c>
      <c r="I511" s="125" t="s">
        <v>326</v>
      </c>
      <c r="J511" s="125" t="s">
        <v>331</v>
      </c>
      <c r="K511" s="125" t="s">
        <v>512</v>
      </c>
      <c r="L511" s="138" t="s">
        <v>507</v>
      </c>
      <c r="M511" s="138" t="s">
        <v>508</v>
      </c>
    </row>
    <row r="512" spans="1:13" s="114" customFormat="1" ht="25.5">
      <c r="A512" s="136">
        <v>510</v>
      </c>
      <c r="B512" s="129" t="s">
        <v>1940</v>
      </c>
      <c r="C512" s="129" t="s">
        <v>1918</v>
      </c>
      <c r="D512" s="137" t="s">
        <v>1919</v>
      </c>
      <c r="E512" s="84" t="s">
        <v>1941</v>
      </c>
      <c r="F512" s="113"/>
      <c r="G512" s="131"/>
      <c r="H512" s="186" t="s">
        <v>1671</v>
      </c>
      <c r="I512" s="125" t="s">
        <v>326</v>
      </c>
      <c r="J512" s="125" t="s">
        <v>341</v>
      </c>
      <c r="K512" s="125" t="s">
        <v>580</v>
      </c>
      <c r="L512" s="138" t="s">
        <v>507</v>
      </c>
      <c r="M512" s="138" t="s">
        <v>508</v>
      </c>
    </row>
    <row r="513" spans="1:13" s="114" customFormat="1" ht="38.25">
      <c r="A513" s="136">
        <v>511</v>
      </c>
      <c r="B513" s="129" t="s">
        <v>1942</v>
      </c>
      <c r="C513" s="129" t="s">
        <v>1918</v>
      </c>
      <c r="D513" s="137" t="s">
        <v>1919</v>
      </c>
      <c r="E513" s="84" t="s">
        <v>1943</v>
      </c>
      <c r="F513" s="113"/>
      <c r="G513" s="131"/>
      <c r="H513" s="186" t="s">
        <v>1086</v>
      </c>
      <c r="I513" s="125" t="s">
        <v>326</v>
      </c>
      <c r="J513" s="125" t="s">
        <v>331</v>
      </c>
      <c r="K513" s="125" t="s">
        <v>512</v>
      </c>
      <c r="L513" s="138" t="s">
        <v>507</v>
      </c>
      <c r="M513" s="138" t="s">
        <v>508</v>
      </c>
    </row>
    <row r="514" spans="1:13" s="114" customFormat="1" ht="38.25">
      <c r="A514" s="136">
        <v>512</v>
      </c>
      <c r="B514" s="129" t="s">
        <v>1944</v>
      </c>
      <c r="C514" s="129" t="s">
        <v>1918</v>
      </c>
      <c r="D514" s="137" t="s">
        <v>1919</v>
      </c>
      <c r="E514" s="84" t="s">
        <v>1945</v>
      </c>
      <c r="F514" s="113"/>
      <c r="G514" s="131"/>
      <c r="H514" s="186" t="s">
        <v>1086</v>
      </c>
      <c r="I514" s="125" t="s">
        <v>326</v>
      </c>
      <c r="J514" s="125" t="s">
        <v>331</v>
      </c>
      <c r="K514" s="125" t="s">
        <v>512</v>
      </c>
      <c r="L514" s="138" t="s">
        <v>507</v>
      </c>
      <c r="M514" s="138" t="s">
        <v>508</v>
      </c>
    </row>
    <row r="515" spans="1:13" s="114" customFormat="1" ht="38.25">
      <c r="A515" s="136">
        <v>513</v>
      </c>
      <c r="B515" s="129" t="s">
        <v>1946</v>
      </c>
      <c r="C515" s="129" t="s">
        <v>1918</v>
      </c>
      <c r="D515" s="137" t="s">
        <v>1919</v>
      </c>
      <c r="E515" s="84" t="s">
        <v>1947</v>
      </c>
      <c r="F515" s="113"/>
      <c r="G515" s="131"/>
      <c r="H515" s="186" t="s">
        <v>1672</v>
      </c>
      <c r="I515" s="125" t="s">
        <v>326</v>
      </c>
      <c r="J515" s="125" t="s">
        <v>341</v>
      </c>
      <c r="K515" s="125" t="s">
        <v>580</v>
      </c>
      <c r="L515" s="138" t="s">
        <v>507</v>
      </c>
      <c r="M515" s="138" t="s">
        <v>508</v>
      </c>
    </row>
    <row r="516" spans="1:13" s="114" customFormat="1" ht="25.5">
      <c r="A516" s="136">
        <v>514</v>
      </c>
      <c r="B516" s="129" t="s">
        <v>1948</v>
      </c>
      <c r="C516" s="129" t="s">
        <v>1918</v>
      </c>
      <c r="D516" s="137" t="s">
        <v>1919</v>
      </c>
      <c r="E516" s="84" t="s">
        <v>1949</v>
      </c>
      <c r="F516" s="113"/>
      <c r="G516" s="131"/>
      <c r="H516" s="186" t="s">
        <v>1799</v>
      </c>
      <c r="I516" s="125" t="s">
        <v>326</v>
      </c>
      <c r="J516" s="125" t="s">
        <v>346</v>
      </c>
      <c r="K516" s="125" t="s">
        <v>761</v>
      </c>
      <c r="L516" s="138" t="s">
        <v>507</v>
      </c>
      <c r="M516" s="138" t="s">
        <v>508</v>
      </c>
    </row>
    <row r="517" spans="1:13" s="114" customFormat="1" ht="25.5">
      <c r="A517" s="136">
        <v>515</v>
      </c>
      <c r="B517" s="129" t="s">
        <v>1950</v>
      </c>
      <c r="C517" s="129" t="s">
        <v>1918</v>
      </c>
      <c r="D517" s="137" t="s">
        <v>1919</v>
      </c>
      <c r="E517" s="84" t="s">
        <v>1951</v>
      </c>
      <c r="F517" s="113"/>
      <c r="G517" s="131"/>
      <c r="H517" s="186" t="s">
        <v>1952</v>
      </c>
      <c r="I517" s="125" t="s">
        <v>326</v>
      </c>
      <c r="J517" s="125" t="s">
        <v>349</v>
      </c>
      <c r="K517" s="125" t="s">
        <v>1336</v>
      </c>
      <c r="L517" s="138" t="s">
        <v>507</v>
      </c>
      <c r="M517" s="138" t="s">
        <v>508</v>
      </c>
    </row>
    <row r="518" spans="1:13" s="114" customFormat="1" ht="38.25">
      <c r="A518" s="136">
        <v>516</v>
      </c>
      <c r="B518" s="129" t="s">
        <v>1953</v>
      </c>
      <c r="C518" s="129" t="s">
        <v>1954</v>
      </c>
      <c r="D518" s="137" t="s">
        <v>1955</v>
      </c>
      <c r="E518" s="84" t="s">
        <v>1956</v>
      </c>
      <c r="F518" s="113"/>
      <c r="G518" s="131"/>
      <c r="H518" s="186" t="s">
        <v>1836</v>
      </c>
      <c r="I518" s="125" t="s">
        <v>326</v>
      </c>
      <c r="J518" s="125" t="s">
        <v>349</v>
      </c>
      <c r="K518" s="125" t="s">
        <v>1336</v>
      </c>
      <c r="L518" s="138" t="s">
        <v>507</v>
      </c>
      <c r="M518" s="138" t="s">
        <v>508</v>
      </c>
    </row>
    <row r="519" spans="1:13" s="114" customFormat="1" ht="25.5">
      <c r="A519" s="136">
        <v>517</v>
      </c>
      <c r="B519" s="129" t="s">
        <v>1952</v>
      </c>
      <c r="C519" s="129" t="s">
        <v>1957</v>
      </c>
      <c r="D519" s="137" t="s">
        <v>1955</v>
      </c>
      <c r="E519" s="84" t="s">
        <v>1958</v>
      </c>
      <c r="F519" s="113"/>
      <c r="G519" s="131"/>
      <c r="H519" s="186" t="s">
        <v>1959</v>
      </c>
      <c r="I519" s="125" t="s">
        <v>326</v>
      </c>
      <c r="J519" s="125" t="s">
        <v>349</v>
      </c>
      <c r="K519" s="125" t="s">
        <v>1336</v>
      </c>
      <c r="L519" s="138" t="s">
        <v>507</v>
      </c>
      <c r="M519" s="138" t="s">
        <v>508</v>
      </c>
    </row>
    <row r="520" spans="1:13" s="114" customFormat="1" ht="25.5">
      <c r="A520" s="136">
        <v>518</v>
      </c>
      <c r="B520" s="129" t="s">
        <v>1960</v>
      </c>
      <c r="C520" s="129" t="s">
        <v>1954</v>
      </c>
      <c r="D520" s="137" t="s">
        <v>1955</v>
      </c>
      <c r="E520" s="84" t="s">
        <v>1961</v>
      </c>
      <c r="F520" s="113"/>
      <c r="G520" s="131"/>
      <c r="H520" s="186" t="s">
        <v>1836</v>
      </c>
      <c r="I520" s="125" t="s">
        <v>326</v>
      </c>
      <c r="J520" s="125" t="s">
        <v>349</v>
      </c>
      <c r="K520" s="125" t="s">
        <v>1336</v>
      </c>
      <c r="L520" s="138" t="s">
        <v>507</v>
      </c>
      <c r="M520" s="138" t="s">
        <v>508</v>
      </c>
    </row>
    <row r="521" spans="1:13" s="114" customFormat="1" ht="25.5">
      <c r="A521" s="136">
        <v>519</v>
      </c>
      <c r="B521" s="129" t="s">
        <v>1962</v>
      </c>
      <c r="C521" s="129" t="s">
        <v>1954</v>
      </c>
      <c r="D521" s="137" t="s">
        <v>1955</v>
      </c>
      <c r="E521" s="84" t="s">
        <v>1963</v>
      </c>
      <c r="F521" s="113"/>
      <c r="G521" s="131"/>
      <c r="H521" s="186" t="s">
        <v>1952</v>
      </c>
      <c r="I521" s="125" t="s">
        <v>326</v>
      </c>
      <c r="J521" s="125" t="s">
        <v>349</v>
      </c>
      <c r="K521" s="125" t="s">
        <v>1336</v>
      </c>
      <c r="L521" s="138" t="s">
        <v>507</v>
      </c>
      <c r="M521" s="138" t="s">
        <v>508</v>
      </c>
    </row>
    <row r="522" spans="1:13" s="114" customFormat="1" ht="38.25">
      <c r="A522" s="136">
        <v>520</v>
      </c>
      <c r="B522" s="129" t="s">
        <v>1964</v>
      </c>
      <c r="C522" s="129" t="s">
        <v>1954</v>
      </c>
      <c r="D522" s="137" t="s">
        <v>1955</v>
      </c>
      <c r="E522" s="84" t="s">
        <v>1965</v>
      </c>
      <c r="F522" s="113"/>
      <c r="G522" s="131"/>
      <c r="H522" s="186" t="s">
        <v>1966</v>
      </c>
      <c r="I522" s="125" t="s">
        <v>326</v>
      </c>
      <c r="J522" s="125" t="s">
        <v>341</v>
      </c>
      <c r="K522" s="125" t="s">
        <v>570</v>
      </c>
      <c r="L522" s="138" t="s">
        <v>507</v>
      </c>
      <c r="M522" s="138" t="s">
        <v>508</v>
      </c>
    </row>
    <row r="523" spans="1:13" s="114" customFormat="1" ht="25.5">
      <c r="A523" s="136">
        <v>521</v>
      </c>
      <c r="B523" s="129" t="s">
        <v>1967</v>
      </c>
      <c r="C523" s="129" t="s">
        <v>1968</v>
      </c>
      <c r="D523" s="137" t="s">
        <v>1969</v>
      </c>
      <c r="E523" s="84" t="s">
        <v>1970</v>
      </c>
      <c r="F523" s="113"/>
      <c r="G523" s="131"/>
      <c r="H523" s="186" t="s">
        <v>1964</v>
      </c>
      <c r="I523" s="125" t="s">
        <v>326</v>
      </c>
      <c r="J523" s="125" t="s">
        <v>341</v>
      </c>
      <c r="K523" s="125" t="s">
        <v>570</v>
      </c>
      <c r="L523" s="138" t="s">
        <v>507</v>
      </c>
      <c r="M523" s="138" t="s">
        <v>508</v>
      </c>
    </row>
    <row r="524" spans="1:13" s="114" customFormat="1" ht="38.25">
      <c r="A524" s="136">
        <v>522</v>
      </c>
      <c r="B524" s="129" t="s">
        <v>1971</v>
      </c>
      <c r="C524" s="129" t="s">
        <v>1968</v>
      </c>
      <c r="D524" s="137" t="s">
        <v>1969</v>
      </c>
      <c r="E524" s="84" t="s">
        <v>1972</v>
      </c>
      <c r="F524" s="113"/>
      <c r="G524" s="131"/>
      <c r="H524" s="186" t="s">
        <v>543</v>
      </c>
      <c r="I524" s="125" t="s">
        <v>326</v>
      </c>
      <c r="J524" s="125" t="s">
        <v>331</v>
      </c>
      <c r="K524" s="125" t="s">
        <v>512</v>
      </c>
      <c r="L524" s="138" t="s">
        <v>507</v>
      </c>
      <c r="M524" s="138" t="s">
        <v>508</v>
      </c>
    </row>
    <row r="525" spans="1:13" s="114" customFormat="1" ht="25.5">
      <c r="A525" s="136">
        <v>523</v>
      </c>
      <c r="B525" s="129" t="s">
        <v>1973</v>
      </c>
      <c r="C525" s="129" t="s">
        <v>1968</v>
      </c>
      <c r="D525" s="137" t="s">
        <v>1969</v>
      </c>
      <c r="E525" s="84" t="s">
        <v>1974</v>
      </c>
      <c r="F525" s="113"/>
      <c r="G525" s="131"/>
      <c r="H525" s="186" t="s">
        <v>523</v>
      </c>
      <c r="I525" s="125" t="s">
        <v>326</v>
      </c>
      <c r="J525" s="125" t="s">
        <v>352</v>
      </c>
      <c r="K525" s="125" t="s">
        <v>526</v>
      </c>
      <c r="L525" s="138" t="s">
        <v>507</v>
      </c>
      <c r="M525" s="138" t="s">
        <v>508</v>
      </c>
    </row>
    <row r="526" spans="1:13" s="114" customFormat="1" ht="25.5">
      <c r="A526" s="136">
        <v>524</v>
      </c>
      <c r="B526" s="129" t="s">
        <v>1975</v>
      </c>
      <c r="C526" s="129" t="s">
        <v>1968</v>
      </c>
      <c r="D526" s="137" t="s">
        <v>1969</v>
      </c>
      <c r="E526" s="84" t="s">
        <v>1976</v>
      </c>
      <c r="F526" s="113"/>
      <c r="G526" s="131"/>
      <c r="H526" s="186" t="s">
        <v>1964</v>
      </c>
      <c r="I526" s="125" t="s">
        <v>326</v>
      </c>
      <c r="J526" s="125" t="s">
        <v>341</v>
      </c>
      <c r="K526" s="125" t="s">
        <v>570</v>
      </c>
      <c r="L526" s="138" t="s">
        <v>507</v>
      </c>
      <c r="M526" s="138" t="s">
        <v>508</v>
      </c>
    </row>
    <row r="527" spans="1:13" s="114" customFormat="1" ht="25.5">
      <c r="A527" s="136">
        <v>525</v>
      </c>
      <c r="B527" s="129" t="s">
        <v>1977</v>
      </c>
      <c r="C527" s="129" t="s">
        <v>1968</v>
      </c>
      <c r="D527" s="137" t="s">
        <v>1969</v>
      </c>
      <c r="E527" s="84" t="s">
        <v>1978</v>
      </c>
      <c r="F527" s="113"/>
      <c r="G527" s="131"/>
      <c r="H527" s="186" t="s">
        <v>1964</v>
      </c>
      <c r="I527" s="125" t="s">
        <v>326</v>
      </c>
      <c r="J527" s="125" t="s">
        <v>341</v>
      </c>
      <c r="K527" s="125" t="s">
        <v>570</v>
      </c>
      <c r="L527" s="138" t="s">
        <v>507</v>
      </c>
      <c r="M527" s="138" t="s">
        <v>508</v>
      </c>
    </row>
    <row r="528" spans="1:13" s="114" customFormat="1" ht="25.5">
      <c r="A528" s="136">
        <v>526</v>
      </c>
      <c r="B528" s="129" t="s">
        <v>1979</v>
      </c>
      <c r="C528" s="129" t="s">
        <v>1968</v>
      </c>
      <c r="D528" s="137" t="s">
        <v>1969</v>
      </c>
      <c r="E528" s="84" t="s">
        <v>1980</v>
      </c>
      <c r="F528" s="113"/>
      <c r="G528" s="131"/>
      <c r="H528" s="186" t="s">
        <v>1964</v>
      </c>
      <c r="I528" s="125" t="s">
        <v>326</v>
      </c>
      <c r="J528" s="125" t="s">
        <v>341</v>
      </c>
      <c r="K528" s="125" t="s">
        <v>570</v>
      </c>
      <c r="L528" s="138" t="s">
        <v>507</v>
      </c>
      <c r="M528" s="138" t="s">
        <v>508</v>
      </c>
    </row>
    <row r="529" spans="1:13" s="114" customFormat="1" ht="38.25">
      <c r="A529" s="136">
        <v>527</v>
      </c>
      <c r="B529" s="129" t="s">
        <v>1981</v>
      </c>
      <c r="C529" s="129" t="s">
        <v>1968</v>
      </c>
      <c r="D529" s="137" t="s">
        <v>1969</v>
      </c>
      <c r="E529" s="84" t="s">
        <v>1982</v>
      </c>
      <c r="F529" s="113"/>
      <c r="G529" s="131"/>
      <c r="H529" s="186" t="s">
        <v>1964</v>
      </c>
      <c r="I529" s="125" t="s">
        <v>326</v>
      </c>
      <c r="J529" s="125" t="s">
        <v>341</v>
      </c>
      <c r="K529" s="125" t="s">
        <v>570</v>
      </c>
      <c r="L529" s="138" t="s">
        <v>507</v>
      </c>
      <c r="M529" s="138" t="s">
        <v>508</v>
      </c>
    </row>
    <row r="530" spans="1:13" s="114" customFormat="1" ht="38.25">
      <c r="A530" s="136">
        <v>528</v>
      </c>
      <c r="B530" s="129" t="s">
        <v>1983</v>
      </c>
      <c r="C530" s="129" t="s">
        <v>1968</v>
      </c>
      <c r="D530" s="137" t="s">
        <v>1969</v>
      </c>
      <c r="E530" s="84" t="s">
        <v>1984</v>
      </c>
      <c r="F530" s="113"/>
      <c r="G530" s="131"/>
      <c r="H530" s="186" t="s">
        <v>1985</v>
      </c>
      <c r="I530" s="125" t="s">
        <v>326</v>
      </c>
      <c r="J530" s="125" t="s">
        <v>341</v>
      </c>
      <c r="K530" s="125" t="s">
        <v>570</v>
      </c>
      <c r="L530" s="138" t="s">
        <v>507</v>
      </c>
      <c r="M530" s="138" t="s">
        <v>508</v>
      </c>
    </row>
    <row r="531" spans="1:13" s="114" customFormat="1" ht="38.25">
      <c r="A531" s="136">
        <v>529</v>
      </c>
      <c r="B531" s="129" t="s">
        <v>1986</v>
      </c>
      <c r="C531" s="129" t="s">
        <v>1987</v>
      </c>
      <c r="D531" s="137" t="s">
        <v>1988</v>
      </c>
      <c r="E531" s="84" t="s">
        <v>1989</v>
      </c>
      <c r="F531" s="113"/>
      <c r="G531" s="131"/>
      <c r="H531" s="186" t="s">
        <v>1990</v>
      </c>
      <c r="I531" s="125" t="s">
        <v>326</v>
      </c>
      <c r="J531" s="125" t="s">
        <v>352</v>
      </c>
      <c r="K531" s="125" t="s">
        <v>561</v>
      </c>
      <c r="L531" s="138" t="s">
        <v>507</v>
      </c>
      <c r="M531" s="138" t="s">
        <v>508</v>
      </c>
    </row>
    <row r="532" spans="1:13" s="114" customFormat="1" ht="38.25">
      <c r="A532" s="136">
        <v>530</v>
      </c>
      <c r="B532" s="129" t="s">
        <v>1991</v>
      </c>
      <c r="C532" s="129" t="s">
        <v>1992</v>
      </c>
      <c r="D532" s="137" t="s">
        <v>1993</v>
      </c>
      <c r="E532" s="84" t="s">
        <v>1994</v>
      </c>
      <c r="F532" s="113"/>
      <c r="G532" s="131"/>
      <c r="H532" s="186" t="s">
        <v>1986</v>
      </c>
      <c r="I532" s="125" t="s">
        <v>326</v>
      </c>
      <c r="J532" s="125" t="s">
        <v>352</v>
      </c>
      <c r="K532" s="125" t="s">
        <v>561</v>
      </c>
      <c r="L532" s="138" t="s">
        <v>507</v>
      </c>
      <c r="M532" s="138" t="s">
        <v>508</v>
      </c>
    </row>
    <row r="533" spans="1:13" s="114" customFormat="1" ht="38.25">
      <c r="A533" s="136">
        <v>531</v>
      </c>
      <c r="B533" s="129" t="s">
        <v>1995</v>
      </c>
      <c r="C533" s="129" t="s">
        <v>1992</v>
      </c>
      <c r="D533" s="137" t="s">
        <v>1993</v>
      </c>
      <c r="E533" s="84" t="s">
        <v>1996</v>
      </c>
      <c r="F533" s="113"/>
      <c r="G533" s="131"/>
      <c r="H533" s="186" t="s">
        <v>1986</v>
      </c>
      <c r="I533" s="125" t="s">
        <v>326</v>
      </c>
      <c r="J533" s="125" t="s">
        <v>352</v>
      </c>
      <c r="K533" s="125" t="s">
        <v>561</v>
      </c>
      <c r="L533" s="138" t="s">
        <v>507</v>
      </c>
      <c r="M533" s="138" t="s">
        <v>508</v>
      </c>
    </row>
    <row r="534" spans="1:13" s="114" customFormat="1" ht="38.25">
      <c r="A534" s="136">
        <v>532</v>
      </c>
      <c r="B534" s="129" t="s">
        <v>1997</v>
      </c>
      <c r="C534" s="129" t="s">
        <v>1992</v>
      </c>
      <c r="D534" s="137" t="s">
        <v>1993</v>
      </c>
      <c r="E534" s="84" t="s">
        <v>1998</v>
      </c>
      <c r="F534" s="113"/>
      <c r="G534" s="131"/>
      <c r="H534" s="186" t="s">
        <v>1986</v>
      </c>
      <c r="I534" s="125" t="s">
        <v>326</v>
      </c>
      <c r="J534" s="125" t="s">
        <v>352</v>
      </c>
      <c r="K534" s="125" t="s">
        <v>561</v>
      </c>
      <c r="L534" s="138" t="s">
        <v>507</v>
      </c>
      <c r="M534" s="138" t="s">
        <v>508</v>
      </c>
    </row>
    <row r="535" spans="1:13" s="114" customFormat="1" ht="38.25">
      <c r="A535" s="136">
        <v>533</v>
      </c>
      <c r="B535" s="129" t="s">
        <v>1999</v>
      </c>
      <c r="C535" s="129" t="s">
        <v>1992</v>
      </c>
      <c r="D535" s="137" t="s">
        <v>1993</v>
      </c>
      <c r="E535" s="84" t="s">
        <v>2000</v>
      </c>
      <c r="F535" s="113"/>
      <c r="G535" s="131"/>
      <c r="H535" s="186" t="s">
        <v>1986</v>
      </c>
      <c r="I535" s="125" t="s">
        <v>326</v>
      </c>
      <c r="J535" s="125" t="s">
        <v>352</v>
      </c>
      <c r="K535" s="125" t="s">
        <v>561</v>
      </c>
      <c r="L535" s="138" t="s">
        <v>507</v>
      </c>
      <c r="M535" s="138" t="s">
        <v>508</v>
      </c>
    </row>
    <row r="536" spans="1:13" s="114" customFormat="1" ht="51">
      <c r="A536" s="136">
        <v>534</v>
      </c>
      <c r="B536" s="129" t="s">
        <v>1568</v>
      </c>
      <c r="C536" s="129" t="s">
        <v>1992</v>
      </c>
      <c r="D536" s="137" t="s">
        <v>1993</v>
      </c>
      <c r="E536" s="84" t="s">
        <v>2001</v>
      </c>
      <c r="F536" s="113"/>
      <c r="G536" s="131"/>
      <c r="H536" s="186" t="s">
        <v>2002</v>
      </c>
      <c r="I536" s="125" t="s">
        <v>326</v>
      </c>
      <c r="J536" s="125" t="s">
        <v>346</v>
      </c>
      <c r="K536" s="125" t="s">
        <v>761</v>
      </c>
      <c r="L536" s="138" t="s">
        <v>507</v>
      </c>
      <c r="M536" s="138" t="s">
        <v>508</v>
      </c>
    </row>
    <row r="537" spans="1:13" s="114" customFormat="1" ht="25.5">
      <c r="A537" s="136">
        <v>535</v>
      </c>
      <c r="B537" s="129" t="s">
        <v>2003</v>
      </c>
      <c r="C537" s="129" t="s">
        <v>2004</v>
      </c>
      <c r="D537" s="137" t="s">
        <v>2005</v>
      </c>
      <c r="E537" s="84" t="s">
        <v>2006</v>
      </c>
      <c r="F537" s="113"/>
      <c r="G537" s="131"/>
      <c r="H537" s="186" t="s">
        <v>2007</v>
      </c>
      <c r="I537" s="125" t="s">
        <v>326</v>
      </c>
      <c r="J537" s="125" t="s">
        <v>346</v>
      </c>
      <c r="K537" s="125" t="s">
        <v>761</v>
      </c>
      <c r="L537" s="138" t="s">
        <v>507</v>
      </c>
      <c r="M537" s="138" t="s">
        <v>508</v>
      </c>
    </row>
    <row r="538" spans="1:13" s="114" customFormat="1" ht="25.5">
      <c r="A538" s="136">
        <v>536</v>
      </c>
      <c r="B538" s="129" t="s">
        <v>2008</v>
      </c>
      <c r="C538" s="129" t="s">
        <v>2004</v>
      </c>
      <c r="D538" s="137" t="s">
        <v>2005</v>
      </c>
      <c r="E538" s="84" t="s">
        <v>2009</v>
      </c>
      <c r="F538" s="113"/>
      <c r="G538" s="131"/>
      <c r="H538" s="186" t="s">
        <v>1671</v>
      </c>
      <c r="I538" s="125" t="s">
        <v>326</v>
      </c>
      <c r="J538" s="125" t="s">
        <v>341</v>
      </c>
      <c r="K538" s="125" t="s">
        <v>580</v>
      </c>
      <c r="L538" s="138" t="s">
        <v>507</v>
      </c>
      <c r="M538" s="138" t="s">
        <v>508</v>
      </c>
    </row>
    <row r="539" spans="1:13" s="114" customFormat="1" ht="38.25">
      <c r="A539" s="136">
        <v>537</v>
      </c>
      <c r="B539" s="129" t="s">
        <v>2010</v>
      </c>
      <c r="C539" s="129" t="s">
        <v>2011</v>
      </c>
      <c r="D539" s="137" t="s">
        <v>2012</v>
      </c>
      <c r="E539" s="84" t="s">
        <v>2013</v>
      </c>
      <c r="F539" s="113"/>
      <c r="G539" s="131"/>
      <c r="H539" s="186" t="s">
        <v>1481</v>
      </c>
      <c r="I539" s="125" t="s">
        <v>326</v>
      </c>
      <c r="J539" s="125" t="s">
        <v>341</v>
      </c>
      <c r="K539" s="125" t="s">
        <v>1482</v>
      </c>
      <c r="L539" s="138" t="s">
        <v>507</v>
      </c>
      <c r="M539" s="138" t="s">
        <v>508</v>
      </c>
    </row>
    <row r="540" spans="1:13" s="114" customFormat="1" ht="51">
      <c r="A540" s="136">
        <v>538</v>
      </c>
      <c r="B540" s="129" t="s">
        <v>2014</v>
      </c>
      <c r="C540" s="129" t="s">
        <v>2015</v>
      </c>
      <c r="D540" s="137" t="s">
        <v>2016</v>
      </c>
      <c r="E540" s="84" t="s">
        <v>2017</v>
      </c>
      <c r="F540" s="113"/>
      <c r="G540" s="131"/>
      <c r="H540" s="186" t="s">
        <v>1617</v>
      </c>
      <c r="I540" s="125" t="s">
        <v>326</v>
      </c>
      <c r="J540" s="125" t="s">
        <v>352</v>
      </c>
      <c r="K540" s="125" t="s">
        <v>561</v>
      </c>
      <c r="L540" s="138" t="s">
        <v>507</v>
      </c>
      <c r="M540" s="138" t="s">
        <v>508</v>
      </c>
    </row>
    <row r="541" spans="1:13" s="114" customFormat="1" ht="76.5">
      <c r="A541" s="136">
        <v>539</v>
      </c>
      <c r="B541" s="129" t="s">
        <v>2018</v>
      </c>
      <c r="C541" s="125" t="s">
        <v>1000</v>
      </c>
      <c r="D541" s="125" t="s">
        <v>1001</v>
      </c>
      <c r="E541" s="84" t="s">
        <v>2019</v>
      </c>
      <c r="F541" s="125"/>
      <c r="G541" s="113"/>
      <c r="H541" s="186" t="s">
        <v>995</v>
      </c>
      <c r="I541" s="125" t="s">
        <v>326</v>
      </c>
      <c r="J541" s="125" t="s">
        <v>346</v>
      </c>
      <c r="K541" s="125" t="s">
        <v>998</v>
      </c>
      <c r="L541" s="125" t="s">
        <v>507</v>
      </c>
      <c r="M541" s="125" t="s">
        <v>508</v>
      </c>
    </row>
    <row r="542" spans="1:13" s="114" customFormat="1" ht="25.5">
      <c r="A542" s="136">
        <v>540</v>
      </c>
      <c r="B542" s="129" t="s">
        <v>2020</v>
      </c>
      <c r="C542" s="125" t="s">
        <v>1063</v>
      </c>
      <c r="D542" s="125" t="s">
        <v>1064</v>
      </c>
      <c r="E542" s="113" t="s">
        <v>2021</v>
      </c>
      <c r="F542" s="125"/>
      <c r="G542" s="113"/>
      <c r="H542" s="186" t="s">
        <v>1058</v>
      </c>
      <c r="I542" s="125" t="s">
        <v>323</v>
      </c>
      <c r="J542" s="125" t="s">
        <v>330</v>
      </c>
      <c r="K542" s="125" t="s">
        <v>1061</v>
      </c>
      <c r="L542" s="125" t="s">
        <v>507</v>
      </c>
      <c r="M542" s="125" t="s">
        <v>508</v>
      </c>
    </row>
    <row r="543" spans="1:13" s="114" customFormat="1" ht="38.25">
      <c r="A543" s="136">
        <v>541</v>
      </c>
      <c r="B543" s="129" t="s">
        <v>2022</v>
      </c>
      <c r="C543" s="125" t="s">
        <v>1133</v>
      </c>
      <c r="D543" s="125" t="s">
        <v>1134</v>
      </c>
      <c r="E543" s="113" t="s">
        <v>2023</v>
      </c>
      <c r="F543" s="125"/>
      <c r="G543" s="113"/>
      <c r="H543" s="186" t="s">
        <v>1617</v>
      </c>
      <c r="I543" s="125" t="s">
        <v>326</v>
      </c>
      <c r="J543" s="125" t="s">
        <v>352</v>
      </c>
      <c r="K543" s="125" t="s">
        <v>561</v>
      </c>
      <c r="L543" s="125" t="s">
        <v>507</v>
      </c>
      <c r="M543" s="125" t="s">
        <v>508</v>
      </c>
    </row>
    <row r="544" spans="1:13" s="114" customFormat="1" ht="38.25">
      <c r="A544" s="136">
        <v>542</v>
      </c>
      <c r="B544" s="129" t="s">
        <v>2024</v>
      </c>
      <c r="C544" s="125" t="s">
        <v>1133</v>
      </c>
      <c r="D544" s="125" t="s">
        <v>1134</v>
      </c>
      <c r="E544" s="113" t="s">
        <v>2025</v>
      </c>
      <c r="F544" s="125"/>
      <c r="G544" s="113"/>
      <c r="H544" s="186" t="s">
        <v>1617</v>
      </c>
      <c r="I544" s="125" t="s">
        <v>326</v>
      </c>
      <c r="J544" s="125" t="s">
        <v>352</v>
      </c>
      <c r="K544" s="125" t="s">
        <v>561</v>
      </c>
      <c r="L544" s="125" t="s">
        <v>507</v>
      </c>
      <c r="M544" s="125" t="s">
        <v>508</v>
      </c>
    </row>
    <row r="545" spans="1:13" s="114" customFormat="1" ht="51">
      <c r="A545" s="136">
        <v>543</v>
      </c>
      <c r="B545" s="129" t="s">
        <v>2026</v>
      </c>
      <c r="C545" s="125" t="s">
        <v>2027</v>
      </c>
      <c r="D545" s="125" t="s">
        <v>2028</v>
      </c>
      <c r="E545" s="113" t="s">
        <v>2029</v>
      </c>
      <c r="F545" s="125"/>
      <c r="G545" s="113"/>
      <c r="H545" s="186" t="s">
        <v>1308</v>
      </c>
      <c r="I545" s="125" t="s">
        <v>326</v>
      </c>
      <c r="J545" s="125" t="s">
        <v>346</v>
      </c>
      <c r="K545" s="125" t="s">
        <v>1309</v>
      </c>
      <c r="L545" s="125" t="s">
        <v>507</v>
      </c>
      <c r="M545" s="125" t="s">
        <v>508</v>
      </c>
    </row>
    <row r="546" spans="1:13" s="114" customFormat="1" ht="38.25">
      <c r="A546" s="136">
        <v>544</v>
      </c>
      <c r="B546" s="129" t="s">
        <v>2030</v>
      </c>
      <c r="C546" s="125" t="s">
        <v>2031</v>
      </c>
      <c r="D546" s="125" t="s">
        <v>2032</v>
      </c>
      <c r="E546" s="113" t="s">
        <v>2033</v>
      </c>
      <c r="F546" s="125"/>
      <c r="G546" s="113"/>
      <c r="H546" s="186" t="s">
        <v>543</v>
      </c>
      <c r="I546" s="125" t="s">
        <v>326</v>
      </c>
      <c r="J546" s="125" t="s">
        <v>331</v>
      </c>
      <c r="K546" s="125" t="s">
        <v>512</v>
      </c>
      <c r="L546" s="125" t="s">
        <v>507</v>
      </c>
      <c r="M546" s="125" t="s">
        <v>508</v>
      </c>
    </row>
    <row r="547" spans="1:13" s="114" customFormat="1" ht="51">
      <c r="A547" s="136">
        <v>545</v>
      </c>
      <c r="B547" s="129" t="s">
        <v>2034</v>
      </c>
      <c r="C547" s="125" t="s">
        <v>2035</v>
      </c>
      <c r="D547" s="125" t="s">
        <v>2036</v>
      </c>
      <c r="E547" s="113" t="s">
        <v>2037</v>
      </c>
      <c r="F547" s="125"/>
      <c r="G547" s="113"/>
      <c r="H547" s="186" t="s">
        <v>1370</v>
      </c>
      <c r="I547" s="125" t="s">
        <v>326</v>
      </c>
      <c r="J547" s="125" t="s">
        <v>349</v>
      </c>
      <c r="K547" s="125" t="s">
        <v>1336</v>
      </c>
      <c r="L547" s="125" t="s">
        <v>507</v>
      </c>
      <c r="M547" s="125" t="s">
        <v>508</v>
      </c>
    </row>
    <row r="548" spans="1:13" s="114" customFormat="1" ht="63.75">
      <c r="A548" s="136">
        <v>546</v>
      </c>
      <c r="B548" s="129" t="s">
        <v>2038</v>
      </c>
      <c r="C548" s="125" t="s">
        <v>2039</v>
      </c>
      <c r="D548" s="125" t="s">
        <v>2040</v>
      </c>
      <c r="E548" s="113" t="s">
        <v>2041</v>
      </c>
      <c r="F548" s="125"/>
      <c r="G548" s="113"/>
      <c r="H548" s="186" t="s">
        <v>2042</v>
      </c>
      <c r="I548" s="125" t="s">
        <v>326</v>
      </c>
      <c r="J548" s="125" t="s">
        <v>331</v>
      </c>
      <c r="K548" s="125" t="s">
        <v>512</v>
      </c>
      <c r="L548" s="125" t="s">
        <v>507</v>
      </c>
      <c r="M548" s="125" t="s">
        <v>508</v>
      </c>
    </row>
    <row r="549" spans="1:13" s="114" customFormat="1" ht="38.25">
      <c r="A549" s="136">
        <v>547</v>
      </c>
      <c r="B549" s="129" t="s">
        <v>2043</v>
      </c>
      <c r="C549" s="125" t="s">
        <v>2039</v>
      </c>
      <c r="D549" s="125" t="s">
        <v>2040</v>
      </c>
      <c r="E549" s="113" t="s">
        <v>2044</v>
      </c>
      <c r="F549" s="125"/>
      <c r="G549" s="113"/>
      <c r="H549" s="186" t="s">
        <v>2042</v>
      </c>
      <c r="I549" s="125" t="s">
        <v>326</v>
      </c>
      <c r="J549" s="125" t="s">
        <v>331</v>
      </c>
      <c r="K549" s="125" t="s">
        <v>512</v>
      </c>
      <c r="L549" s="125" t="s">
        <v>507</v>
      </c>
      <c r="M549" s="125" t="s">
        <v>508</v>
      </c>
    </row>
    <row r="550" spans="1:13" s="114" customFormat="1" ht="63.75">
      <c r="A550" s="136">
        <v>548</v>
      </c>
      <c r="B550" s="129" t="s">
        <v>2045</v>
      </c>
      <c r="C550" s="125" t="s">
        <v>1467</v>
      </c>
      <c r="D550" s="125" t="s">
        <v>1468</v>
      </c>
      <c r="E550" s="113" t="s">
        <v>2046</v>
      </c>
      <c r="F550" s="125"/>
      <c r="G550" s="113"/>
      <c r="H550" s="186" t="s">
        <v>1462</v>
      </c>
      <c r="I550" s="125" t="s">
        <v>326</v>
      </c>
      <c r="J550" s="125" t="s">
        <v>346</v>
      </c>
      <c r="K550" s="125" t="s">
        <v>1465</v>
      </c>
      <c r="L550" s="125" t="s">
        <v>507</v>
      </c>
      <c r="M550" s="125" t="s">
        <v>508</v>
      </c>
    </row>
    <row r="551" spans="1:13" s="114" customFormat="1" ht="51">
      <c r="A551" s="136">
        <v>549</v>
      </c>
      <c r="B551" s="129" t="s">
        <v>2047</v>
      </c>
      <c r="C551" s="125" t="s">
        <v>1467</v>
      </c>
      <c r="D551" s="125" t="s">
        <v>1468</v>
      </c>
      <c r="E551" s="113" t="s">
        <v>2048</v>
      </c>
      <c r="F551" s="125"/>
      <c r="G551" s="113"/>
      <c r="H551" s="186" t="s">
        <v>1462</v>
      </c>
      <c r="I551" s="125" t="s">
        <v>326</v>
      </c>
      <c r="J551" s="125" t="s">
        <v>346</v>
      </c>
      <c r="K551" s="125" t="s">
        <v>1465</v>
      </c>
      <c r="L551" s="125" t="s">
        <v>507</v>
      </c>
      <c r="M551" s="125" t="s">
        <v>508</v>
      </c>
    </row>
    <row r="552" spans="1:13" s="114" customFormat="1" ht="25.5">
      <c r="A552" s="136">
        <v>550</v>
      </c>
      <c r="B552" s="129" t="s">
        <v>2049</v>
      </c>
      <c r="C552" s="125" t="s">
        <v>1800</v>
      </c>
      <c r="D552" s="125" t="s">
        <v>1801</v>
      </c>
      <c r="E552" s="113" t="s">
        <v>2050</v>
      </c>
      <c r="F552" s="125"/>
      <c r="G552" s="113"/>
      <c r="H552" s="186" t="s">
        <v>1796</v>
      </c>
      <c r="I552" s="125" t="s">
        <v>326</v>
      </c>
      <c r="J552" s="125" t="s">
        <v>352</v>
      </c>
      <c r="K552" s="125" t="s">
        <v>597</v>
      </c>
      <c r="L552" s="125" t="s">
        <v>314</v>
      </c>
      <c r="M552" s="125" t="s">
        <v>508</v>
      </c>
    </row>
    <row r="553" spans="1:13" s="114" customFormat="1" ht="63.75">
      <c r="A553" s="136">
        <v>551</v>
      </c>
      <c r="B553" s="129" t="s">
        <v>2051</v>
      </c>
      <c r="C553" s="125" t="s">
        <v>2052</v>
      </c>
      <c r="D553" s="125" t="s">
        <v>2053</v>
      </c>
      <c r="E553" s="113" t="s">
        <v>2054</v>
      </c>
      <c r="F553" s="125"/>
      <c r="G553" s="113"/>
      <c r="H553" s="186" t="s">
        <v>2055</v>
      </c>
      <c r="I553" s="125" t="s">
        <v>326</v>
      </c>
      <c r="J553" s="125" t="s">
        <v>341</v>
      </c>
      <c r="K553" s="125" t="s">
        <v>580</v>
      </c>
      <c r="L553" s="125" t="s">
        <v>507</v>
      </c>
      <c r="M553" s="125" t="s">
        <v>508</v>
      </c>
    </row>
    <row r="554" spans="1:13" s="114" customFormat="1" ht="38.25">
      <c r="A554" s="136">
        <v>552</v>
      </c>
      <c r="B554" s="129" t="s">
        <v>2056</v>
      </c>
      <c r="C554" s="125" t="s">
        <v>2057</v>
      </c>
      <c r="D554" s="125" t="s">
        <v>2058</v>
      </c>
      <c r="E554" s="113" t="s">
        <v>2059</v>
      </c>
      <c r="F554" s="125"/>
      <c r="G554" s="113"/>
      <c r="H554" s="186" t="s">
        <v>2060</v>
      </c>
      <c r="I554" s="125" t="s">
        <v>326</v>
      </c>
      <c r="J554" s="125" t="s">
        <v>352</v>
      </c>
      <c r="K554" s="125" t="s">
        <v>597</v>
      </c>
      <c r="L554" s="125" t="s">
        <v>507</v>
      </c>
      <c r="M554" s="125" t="s">
        <v>508</v>
      </c>
    </row>
    <row r="555" spans="1:13" s="114" customFormat="1" ht="38.25">
      <c r="A555" s="136">
        <v>553</v>
      </c>
      <c r="B555" s="129" t="s">
        <v>2061</v>
      </c>
      <c r="C555" s="125" t="s">
        <v>2062</v>
      </c>
      <c r="D555" s="125" t="s">
        <v>2063</v>
      </c>
      <c r="E555" s="113" t="s">
        <v>2064</v>
      </c>
      <c r="F555" s="125"/>
      <c r="G555" s="113"/>
      <c r="H555" s="186" t="s">
        <v>2060</v>
      </c>
      <c r="I555" s="125" t="s">
        <v>326</v>
      </c>
      <c r="J555" s="125" t="s">
        <v>352</v>
      </c>
      <c r="K555" s="125" t="s">
        <v>597</v>
      </c>
      <c r="L555" s="125" t="s">
        <v>507</v>
      </c>
      <c r="M555" s="125" t="s">
        <v>508</v>
      </c>
    </row>
    <row r="556" spans="1:13" s="114" customFormat="1" ht="38.25">
      <c r="A556" s="136">
        <v>554</v>
      </c>
      <c r="B556" s="129" t="s">
        <v>2065</v>
      </c>
      <c r="C556" s="129" t="s">
        <v>2066</v>
      </c>
      <c r="D556" s="137" t="s">
        <v>2067</v>
      </c>
      <c r="E556" s="84" t="s">
        <v>2068</v>
      </c>
      <c r="F556" s="118"/>
      <c r="G556" s="131"/>
      <c r="H556" s="186" t="s">
        <v>513</v>
      </c>
      <c r="I556" s="125" t="s">
        <v>326</v>
      </c>
      <c r="J556" s="125" t="s">
        <v>331</v>
      </c>
      <c r="K556" s="125" t="s">
        <v>512</v>
      </c>
      <c r="L556" s="138" t="s">
        <v>507</v>
      </c>
      <c r="M556" s="138" t="s">
        <v>508</v>
      </c>
    </row>
    <row r="557" spans="1:13" s="114" customFormat="1" ht="38.25">
      <c r="A557" s="136">
        <v>555</v>
      </c>
      <c r="B557" s="129" t="s">
        <v>2069</v>
      </c>
      <c r="C557" s="129" t="s">
        <v>2070</v>
      </c>
      <c r="D557" s="137" t="s">
        <v>2071</v>
      </c>
      <c r="E557" s="84" t="s">
        <v>2072</v>
      </c>
      <c r="F557" s="118"/>
      <c r="G557" s="131"/>
      <c r="H557" s="186" t="s">
        <v>501</v>
      </c>
      <c r="I557" s="125" t="s">
        <v>326</v>
      </c>
      <c r="J557" s="125" t="s">
        <v>331</v>
      </c>
      <c r="K557" s="125" t="s">
        <v>506</v>
      </c>
      <c r="L557" s="138" t="s">
        <v>507</v>
      </c>
      <c r="M557" s="138" t="s">
        <v>508</v>
      </c>
    </row>
    <row r="558" spans="1:13" s="114" customFormat="1" ht="38.25">
      <c r="A558" s="136">
        <v>556</v>
      </c>
      <c r="B558" s="129" t="s">
        <v>2073</v>
      </c>
      <c r="C558" s="129" t="s">
        <v>2074</v>
      </c>
      <c r="D558" s="137" t="s">
        <v>2075</v>
      </c>
      <c r="E558" s="84" t="s">
        <v>2076</v>
      </c>
      <c r="F558" s="118"/>
      <c r="G558" s="131"/>
      <c r="H558" s="186" t="s">
        <v>518</v>
      </c>
      <c r="I558" s="125" t="s">
        <v>326</v>
      </c>
      <c r="J558" s="125" t="s">
        <v>331</v>
      </c>
      <c r="K558" s="125" t="s">
        <v>506</v>
      </c>
      <c r="L558" s="138" t="s">
        <v>507</v>
      </c>
      <c r="M558" s="138" t="s">
        <v>508</v>
      </c>
    </row>
    <row r="559" spans="1:13" s="114" customFormat="1" ht="38.25">
      <c r="A559" s="136">
        <v>557</v>
      </c>
      <c r="B559" s="129" t="s">
        <v>2077</v>
      </c>
      <c r="C559" s="129" t="s">
        <v>2078</v>
      </c>
      <c r="D559" s="137" t="s">
        <v>2079</v>
      </c>
      <c r="E559" s="84" t="s">
        <v>2080</v>
      </c>
      <c r="F559" s="118"/>
      <c r="G559" s="131"/>
      <c r="H559" s="186" t="s">
        <v>642</v>
      </c>
      <c r="I559" s="125" t="s">
        <v>326</v>
      </c>
      <c r="J559" s="125" t="s">
        <v>331</v>
      </c>
      <c r="K559" s="125" t="s">
        <v>512</v>
      </c>
      <c r="L559" s="138" t="s">
        <v>507</v>
      </c>
      <c r="M559" s="138" t="s">
        <v>508</v>
      </c>
    </row>
    <row r="560" spans="1:13" s="114" customFormat="1" ht="25.5">
      <c r="A560" s="136">
        <v>558</v>
      </c>
      <c r="B560" s="129" t="s">
        <v>1230</v>
      </c>
      <c r="C560" s="129" t="s">
        <v>2081</v>
      </c>
      <c r="D560" s="137" t="s">
        <v>2082</v>
      </c>
      <c r="E560" s="84" t="s">
        <v>2083</v>
      </c>
      <c r="F560" s="118"/>
      <c r="G560" s="131"/>
      <c r="H560" s="186" t="s">
        <v>2084</v>
      </c>
      <c r="I560" s="125" t="s">
        <v>326</v>
      </c>
      <c r="J560" s="125" t="s">
        <v>331</v>
      </c>
      <c r="K560" s="125" t="s">
        <v>1178</v>
      </c>
      <c r="L560" s="138" t="s">
        <v>507</v>
      </c>
      <c r="M560" s="138" t="s">
        <v>508</v>
      </c>
    </row>
    <row r="561" spans="1:13" s="114" customFormat="1" ht="51">
      <c r="A561" s="136">
        <v>559</v>
      </c>
      <c r="B561" s="129" t="s">
        <v>2085</v>
      </c>
      <c r="C561" s="129" t="s">
        <v>2086</v>
      </c>
      <c r="D561" s="137" t="s">
        <v>2087</v>
      </c>
      <c r="E561" s="84" t="s">
        <v>2088</v>
      </c>
      <c r="F561" s="118"/>
      <c r="G561" s="131"/>
      <c r="H561" s="186" t="s">
        <v>707</v>
      </c>
      <c r="I561" s="125" t="s">
        <v>326</v>
      </c>
      <c r="J561" s="125" t="s">
        <v>331</v>
      </c>
      <c r="K561" s="125" t="s">
        <v>530</v>
      </c>
      <c r="L561" s="138" t="s">
        <v>507</v>
      </c>
      <c r="M561" s="138" t="s">
        <v>508</v>
      </c>
    </row>
    <row r="562" spans="1:13" s="114" customFormat="1" ht="51">
      <c r="A562" s="136">
        <v>560</v>
      </c>
      <c r="B562" s="129" t="s">
        <v>2089</v>
      </c>
      <c r="C562" s="129" t="s">
        <v>2090</v>
      </c>
      <c r="D562" s="137" t="s">
        <v>2091</v>
      </c>
      <c r="E562" s="84" t="s">
        <v>2092</v>
      </c>
      <c r="F562" s="113"/>
      <c r="G562" s="131"/>
      <c r="H562" s="186" t="s">
        <v>707</v>
      </c>
      <c r="I562" s="125" t="s">
        <v>326</v>
      </c>
      <c r="J562" s="125" t="s">
        <v>331</v>
      </c>
      <c r="K562" s="125" t="s">
        <v>530</v>
      </c>
      <c r="L562" s="138" t="s">
        <v>507</v>
      </c>
      <c r="M562" s="138" t="s">
        <v>508</v>
      </c>
    </row>
    <row r="563" spans="1:13" s="114" customFormat="1" ht="63.75">
      <c r="A563" s="136">
        <v>561</v>
      </c>
      <c r="B563" s="129" t="s">
        <v>2093</v>
      </c>
      <c r="C563" s="129" t="s">
        <v>2094</v>
      </c>
      <c r="D563" s="137" t="s">
        <v>2095</v>
      </c>
      <c r="E563" s="84" t="s">
        <v>2096</v>
      </c>
      <c r="F563" s="118"/>
      <c r="G563" s="131"/>
      <c r="H563" s="186" t="s">
        <v>707</v>
      </c>
      <c r="I563" s="125" t="s">
        <v>326</v>
      </c>
      <c r="J563" s="125" t="s">
        <v>331</v>
      </c>
      <c r="K563" s="125" t="s">
        <v>530</v>
      </c>
      <c r="L563" s="138" t="s">
        <v>507</v>
      </c>
      <c r="M563" s="138" t="s">
        <v>508</v>
      </c>
    </row>
    <row r="564" spans="1:13" s="114" customFormat="1" ht="38.25">
      <c r="A564" s="136">
        <v>562</v>
      </c>
      <c r="B564" s="129" t="s">
        <v>2097</v>
      </c>
      <c r="C564" s="129" t="s">
        <v>2098</v>
      </c>
      <c r="D564" s="137" t="s">
        <v>2099</v>
      </c>
      <c r="E564" s="84" t="s">
        <v>2100</v>
      </c>
      <c r="F564" s="118"/>
      <c r="G564" s="131"/>
      <c r="H564" s="186" t="s">
        <v>804</v>
      </c>
      <c r="I564" s="125" t="s">
        <v>326</v>
      </c>
      <c r="J564" s="125" t="s">
        <v>352</v>
      </c>
      <c r="K564" s="125" t="s">
        <v>526</v>
      </c>
      <c r="L564" s="138" t="s">
        <v>507</v>
      </c>
      <c r="M564" s="138" t="s">
        <v>508</v>
      </c>
    </row>
    <row r="565" spans="1:13" s="114" customFormat="1" ht="51">
      <c r="A565" s="136">
        <v>563</v>
      </c>
      <c r="B565" s="129" t="s">
        <v>2101</v>
      </c>
      <c r="C565" s="129" t="s">
        <v>2102</v>
      </c>
      <c r="D565" s="137" t="s">
        <v>2103</v>
      </c>
      <c r="E565" s="84" t="s">
        <v>2104</v>
      </c>
      <c r="F565" s="113"/>
      <c r="G565" s="131"/>
      <c r="H565" s="186" t="s">
        <v>707</v>
      </c>
      <c r="I565" s="125" t="s">
        <v>326</v>
      </c>
      <c r="J565" s="125" t="s">
        <v>331</v>
      </c>
      <c r="K565" s="125" t="s">
        <v>530</v>
      </c>
      <c r="L565" s="138" t="s">
        <v>507</v>
      </c>
      <c r="M565" s="138" t="s">
        <v>508</v>
      </c>
    </row>
    <row r="566" spans="1:13" s="114" customFormat="1" ht="38.25">
      <c r="A566" s="136">
        <v>564</v>
      </c>
      <c r="B566" s="129" t="s">
        <v>2105</v>
      </c>
      <c r="C566" s="129" t="s">
        <v>2106</v>
      </c>
      <c r="D566" s="137" t="s">
        <v>2107</v>
      </c>
      <c r="E566" s="84" t="s">
        <v>2108</v>
      </c>
      <c r="F566" s="118"/>
      <c r="G566" s="131"/>
      <c r="H566" s="186" t="s">
        <v>617</v>
      </c>
      <c r="I566" s="125" t="s">
        <v>326</v>
      </c>
      <c r="J566" s="125" t="s">
        <v>331</v>
      </c>
      <c r="K566" s="125" t="s">
        <v>618</v>
      </c>
      <c r="L566" s="138" t="s">
        <v>507</v>
      </c>
      <c r="M566" s="138" t="s">
        <v>508</v>
      </c>
    </row>
    <row r="567" spans="1:13" s="114" customFormat="1" ht="38.25">
      <c r="A567" s="136">
        <v>565</v>
      </c>
      <c r="B567" s="129" t="s">
        <v>2109</v>
      </c>
      <c r="C567" s="129" t="s">
        <v>2110</v>
      </c>
      <c r="D567" s="137" t="s">
        <v>2111</v>
      </c>
      <c r="E567" s="84" t="s">
        <v>2112</v>
      </c>
      <c r="F567" s="118"/>
      <c r="G567" s="131"/>
      <c r="H567" s="186" t="s">
        <v>653</v>
      </c>
      <c r="I567" s="125" t="s">
        <v>326</v>
      </c>
      <c r="J567" s="125" t="s">
        <v>331</v>
      </c>
      <c r="K567" s="125" t="s">
        <v>506</v>
      </c>
      <c r="L567" s="138" t="s">
        <v>507</v>
      </c>
      <c r="M567" s="138" t="s">
        <v>508</v>
      </c>
    </row>
    <row r="568" spans="1:13" s="114" customFormat="1" ht="51">
      <c r="A568" s="136">
        <v>566</v>
      </c>
      <c r="B568" s="129" t="s">
        <v>2113</v>
      </c>
      <c r="C568" s="129" t="s">
        <v>2114</v>
      </c>
      <c r="D568" s="137" t="s">
        <v>2115</v>
      </c>
      <c r="E568" s="84" t="s">
        <v>2116</v>
      </c>
      <c r="F568" s="118"/>
      <c r="G568" s="131"/>
      <c r="H568" s="186" t="s">
        <v>1299</v>
      </c>
      <c r="I568" s="125" t="s">
        <v>326</v>
      </c>
      <c r="J568" s="125" t="s">
        <v>331</v>
      </c>
      <c r="K568" s="125" t="s">
        <v>530</v>
      </c>
      <c r="L568" s="138" t="s">
        <v>507</v>
      </c>
      <c r="M568" s="138" t="s">
        <v>508</v>
      </c>
    </row>
    <row r="569" spans="1:13" s="114" customFormat="1" ht="51">
      <c r="A569" s="136">
        <v>567</v>
      </c>
      <c r="B569" s="129" t="s">
        <v>2117</v>
      </c>
      <c r="C569" s="129" t="s">
        <v>2118</v>
      </c>
      <c r="D569" s="137" t="s">
        <v>2119</v>
      </c>
      <c r="E569" s="84" t="s">
        <v>2120</v>
      </c>
      <c r="F569" s="113"/>
      <c r="G569" s="131"/>
      <c r="H569" s="186" t="s">
        <v>608</v>
      </c>
      <c r="I569" s="125" t="s">
        <v>326</v>
      </c>
      <c r="J569" s="125" t="s">
        <v>331</v>
      </c>
      <c r="K569" s="125" t="s">
        <v>530</v>
      </c>
      <c r="L569" s="138" t="s">
        <v>507</v>
      </c>
      <c r="M569" s="138" t="s">
        <v>508</v>
      </c>
    </row>
    <row r="570" spans="1:13" s="114" customFormat="1" ht="51">
      <c r="A570" s="136">
        <v>568</v>
      </c>
      <c r="B570" s="129" t="s">
        <v>2121</v>
      </c>
      <c r="C570" s="129" t="s">
        <v>2122</v>
      </c>
      <c r="D570" s="137" t="s">
        <v>2123</v>
      </c>
      <c r="E570" s="84" t="s">
        <v>2124</v>
      </c>
      <c r="F570" s="118"/>
      <c r="G570" s="131"/>
      <c r="H570" s="186" t="s">
        <v>509</v>
      </c>
      <c r="I570" s="125" t="s">
        <v>326</v>
      </c>
      <c r="J570" s="125" t="s">
        <v>331</v>
      </c>
      <c r="K570" s="125" t="s">
        <v>512</v>
      </c>
      <c r="L570" s="138" t="s">
        <v>507</v>
      </c>
      <c r="M570" s="138" t="s">
        <v>508</v>
      </c>
    </row>
    <row r="571" spans="1:13" s="114" customFormat="1" ht="51">
      <c r="A571" s="136">
        <v>569</v>
      </c>
      <c r="B571" s="129" t="s">
        <v>2125</v>
      </c>
      <c r="C571" s="129" t="s">
        <v>2126</v>
      </c>
      <c r="D571" s="137" t="s">
        <v>2127</v>
      </c>
      <c r="E571" s="84" t="s">
        <v>2128</v>
      </c>
      <c r="F571" s="118"/>
      <c r="G571" s="131"/>
      <c r="H571" s="186" t="s">
        <v>509</v>
      </c>
      <c r="I571" s="125" t="s">
        <v>326</v>
      </c>
      <c r="J571" s="125" t="s">
        <v>331</v>
      </c>
      <c r="K571" s="125" t="s">
        <v>512</v>
      </c>
      <c r="L571" s="138" t="s">
        <v>507</v>
      </c>
      <c r="M571" s="138" t="s">
        <v>508</v>
      </c>
    </row>
    <row r="572" spans="1:13" s="114" customFormat="1" ht="38.25">
      <c r="A572" s="136">
        <v>570</v>
      </c>
      <c r="B572" s="129" t="s">
        <v>2129</v>
      </c>
      <c r="C572" s="129" t="s">
        <v>2130</v>
      </c>
      <c r="D572" s="137" t="s">
        <v>2131</v>
      </c>
      <c r="E572" s="84" t="s">
        <v>2132</v>
      </c>
      <c r="F572" s="118"/>
      <c r="G572" s="131"/>
      <c r="H572" s="186" t="s">
        <v>557</v>
      </c>
      <c r="I572" s="125" t="s">
        <v>326</v>
      </c>
      <c r="J572" s="125" t="s">
        <v>331</v>
      </c>
      <c r="K572" s="125" t="s">
        <v>512</v>
      </c>
      <c r="L572" s="138" t="s">
        <v>507</v>
      </c>
      <c r="M572" s="138" t="s">
        <v>508</v>
      </c>
    </row>
    <row r="573" spans="1:13" s="114" customFormat="1" ht="38.25">
      <c r="A573" s="136">
        <v>571</v>
      </c>
      <c r="B573" s="129" t="s">
        <v>2133</v>
      </c>
      <c r="C573" s="129" t="s">
        <v>2134</v>
      </c>
      <c r="D573" s="137" t="s">
        <v>2135</v>
      </c>
      <c r="E573" s="84" t="s">
        <v>2136</v>
      </c>
      <c r="F573" s="113"/>
      <c r="G573" s="131"/>
      <c r="H573" s="186" t="s">
        <v>1579</v>
      </c>
      <c r="I573" s="125" t="s">
        <v>327</v>
      </c>
      <c r="J573" s="125" t="s">
        <v>337</v>
      </c>
      <c r="K573" s="125" t="s">
        <v>1440</v>
      </c>
      <c r="L573" s="138" t="s">
        <v>507</v>
      </c>
      <c r="M573" s="138" t="s">
        <v>508</v>
      </c>
    </row>
    <row r="574" spans="1:13" s="114" customFormat="1" ht="51">
      <c r="A574" s="136">
        <v>572</v>
      </c>
      <c r="B574" s="129" t="s">
        <v>2137</v>
      </c>
      <c r="C574" s="129" t="s">
        <v>2138</v>
      </c>
      <c r="D574" s="137" t="s">
        <v>2139</v>
      </c>
      <c r="E574" s="84" t="s">
        <v>2140</v>
      </c>
      <c r="F574" s="113"/>
      <c r="G574" s="131"/>
      <c r="H574" s="186" t="s">
        <v>1579</v>
      </c>
      <c r="I574" s="125" t="s">
        <v>327</v>
      </c>
      <c r="J574" s="125" t="s">
        <v>337</v>
      </c>
      <c r="K574" s="125" t="s">
        <v>1440</v>
      </c>
      <c r="L574" s="138" t="s">
        <v>314</v>
      </c>
      <c r="M574" s="138" t="s">
        <v>953</v>
      </c>
    </row>
    <row r="575" spans="1:13" s="114" customFormat="1" ht="51">
      <c r="A575" s="136">
        <v>573</v>
      </c>
      <c r="B575" s="129" t="s">
        <v>2141</v>
      </c>
      <c r="C575" s="129" t="s">
        <v>2142</v>
      </c>
      <c r="D575" s="137" t="s">
        <v>2143</v>
      </c>
      <c r="E575" s="84" t="s">
        <v>2144</v>
      </c>
      <c r="F575" s="118"/>
      <c r="G575" s="131"/>
      <c r="H575" s="186" t="s">
        <v>1586</v>
      </c>
      <c r="I575" s="125" t="s">
        <v>326</v>
      </c>
      <c r="J575" s="125" t="s">
        <v>331</v>
      </c>
      <c r="K575" s="125" t="s">
        <v>1191</v>
      </c>
      <c r="L575" s="138" t="s">
        <v>314</v>
      </c>
      <c r="M575" s="138" t="s">
        <v>953</v>
      </c>
    </row>
    <row r="576" spans="1:13" s="114" customFormat="1" ht="51">
      <c r="A576" s="136">
        <v>574</v>
      </c>
      <c r="B576" s="129" t="s">
        <v>2060</v>
      </c>
      <c r="C576" s="129" t="s">
        <v>2142</v>
      </c>
      <c r="D576" s="137" t="s">
        <v>2143</v>
      </c>
      <c r="E576" s="84" t="s">
        <v>2145</v>
      </c>
      <c r="F576" s="118"/>
      <c r="G576" s="131"/>
      <c r="H576" s="186" t="s">
        <v>2146</v>
      </c>
      <c r="I576" s="125" t="s">
        <v>326</v>
      </c>
      <c r="J576" s="125" t="s">
        <v>352</v>
      </c>
      <c r="K576" s="125" t="s">
        <v>597</v>
      </c>
      <c r="L576" s="138" t="s">
        <v>314</v>
      </c>
      <c r="M576" s="138" t="s">
        <v>953</v>
      </c>
    </row>
    <row r="577" spans="1:13" s="114" customFormat="1" ht="51">
      <c r="A577" s="136">
        <v>575</v>
      </c>
      <c r="B577" s="129" t="s">
        <v>2147</v>
      </c>
      <c r="C577" s="129" t="s">
        <v>2142</v>
      </c>
      <c r="D577" s="137" t="s">
        <v>2143</v>
      </c>
      <c r="E577" s="84" t="s">
        <v>2148</v>
      </c>
      <c r="F577" s="113"/>
      <c r="G577" s="131"/>
      <c r="H577" s="186" t="s">
        <v>2060</v>
      </c>
      <c r="I577" s="125" t="s">
        <v>326</v>
      </c>
      <c r="J577" s="125" t="s">
        <v>352</v>
      </c>
      <c r="K577" s="125" t="s">
        <v>597</v>
      </c>
      <c r="L577" s="138" t="s">
        <v>314</v>
      </c>
      <c r="M577" s="138" t="s">
        <v>953</v>
      </c>
    </row>
    <row r="578" spans="1:13" s="114" customFormat="1" ht="51">
      <c r="A578" s="136">
        <v>576</v>
      </c>
      <c r="B578" s="129" t="s">
        <v>2149</v>
      </c>
      <c r="C578" s="129" t="s">
        <v>2142</v>
      </c>
      <c r="D578" s="137" t="s">
        <v>2143</v>
      </c>
      <c r="E578" s="84" t="s">
        <v>2150</v>
      </c>
      <c r="F578" s="113"/>
      <c r="G578" s="131"/>
      <c r="H578" s="186" t="s">
        <v>2060</v>
      </c>
      <c r="I578" s="125" t="s">
        <v>326</v>
      </c>
      <c r="J578" s="125" t="s">
        <v>352</v>
      </c>
      <c r="K578" s="125" t="s">
        <v>597</v>
      </c>
      <c r="L578" s="138" t="s">
        <v>314</v>
      </c>
      <c r="M578" s="138" t="s">
        <v>953</v>
      </c>
    </row>
    <row r="579" spans="1:13" s="114" customFormat="1" ht="51">
      <c r="A579" s="136">
        <v>577</v>
      </c>
      <c r="B579" s="129" t="s">
        <v>2151</v>
      </c>
      <c r="C579" s="129" t="s">
        <v>2142</v>
      </c>
      <c r="D579" s="137" t="s">
        <v>2143</v>
      </c>
      <c r="E579" s="84" t="s">
        <v>2152</v>
      </c>
      <c r="F579" s="118"/>
      <c r="G579" s="131"/>
      <c r="H579" s="186" t="s">
        <v>2060</v>
      </c>
      <c r="I579" s="125" t="s">
        <v>326</v>
      </c>
      <c r="J579" s="125" t="s">
        <v>352</v>
      </c>
      <c r="K579" s="125" t="s">
        <v>597</v>
      </c>
      <c r="L579" s="138" t="s">
        <v>314</v>
      </c>
      <c r="M579" s="138" t="s">
        <v>953</v>
      </c>
    </row>
    <row r="580" spans="1:13" s="114" customFormat="1" ht="51">
      <c r="A580" s="136">
        <v>578</v>
      </c>
      <c r="B580" s="129" t="s">
        <v>2153</v>
      </c>
      <c r="C580" s="129" t="s">
        <v>2154</v>
      </c>
      <c r="D580" s="137" t="s">
        <v>2155</v>
      </c>
      <c r="E580" s="84" t="s">
        <v>2156</v>
      </c>
      <c r="F580" s="113"/>
      <c r="G580" s="131"/>
      <c r="H580" s="186" t="s">
        <v>2157</v>
      </c>
      <c r="I580" s="125" t="s">
        <v>326</v>
      </c>
      <c r="J580" s="125" t="s">
        <v>331</v>
      </c>
      <c r="K580" s="125" t="s">
        <v>1191</v>
      </c>
      <c r="L580" s="138" t="s">
        <v>314</v>
      </c>
      <c r="M580" s="138" t="s">
        <v>953</v>
      </c>
    </row>
    <row r="581" spans="1:13" s="114" customFormat="1" ht="51">
      <c r="A581" s="136">
        <v>579</v>
      </c>
      <c r="B581" s="129" t="s">
        <v>2158</v>
      </c>
      <c r="C581" s="129" t="s">
        <v>2154</v>
      </c>
      <c r="D581" s="137" t="s">
        <v>2155</v>
      </c>
      <c r="E581" s="84" t="s">
        <v>2159</v>
      </c>
      <c r="F581" s="113"/>
      <c r="G581" s="131"/>
      <c r="H581" s="186" t="s">
        <v>2157</v>
      </c>
      <c r="I581" s="125" t="s">
        <v>326</v>
      </c>
      <c r="J581" s="125" t="s">
        <v>331</v>
      </c>
      <c r="K581" s="125" t="s">
        <v>1191</v>
      </c>
      <c r="L581" s="138" t="s">
        <v>314</v>
      </c>
      <c r="M581" s="138" t="s">
        <v>953</v>
      </c>
    </row>
    <row r="582" spans="1:13" s="114" customFormat="1" ht="51">
      <c r="A582" s="136">
        <v>580</v>
      </c>
      <c r="B582" s="129" t="s">
        <v>2160</v>
      </c>
      <c r="C582" s="129" t="s">
        <v>2161</v>
      </c>
      <c r="D582" s="137" t="s">
        <v>2162</v>
      </c>
      <c r="E582" s="84" t="s">
        <v>2163</v>
      </c>
      <c r="F582" s="118"/>
      <c r="G582" s="131"/>
      <c r="H582" s="186" t="s">
        <v>1586</v>
      </c>
      <c r="I582" s="125" t="s">
        <v>326</v>
      </c>
      <c r="J582" s="125" t="s">
        <v>331</v>
      </c>
      <c r="K582" s="125" t="s">
        <v>1191</v>
      </c>
      <c r="L582" s="138" t="s">
        <v>314</v>
      </c>
      <c r="M582" s="138" t="s">
        <v>953</v>
      </c>
    </row>
    <row r="583" spans="1:13" s="114" customFormat="1" ht="51">
      <c r="A583" s="136">
        <v>581</v>
      </c>
      <c r="B583" s="129" t="s">
        <v>2164</v>
      </c>
      <c r="C583" s="129" t="s">
        <v>2165</v>
      </c>
      <c r="D583" s="137" t="s">
        <v>2166</v>
      </c>
      <c r="E583" s="84" t="s">
        <v>2167</v>
      </c>
      <c r="F583" s="118"/>
      <c r="G583" s="131"/>
      <c r="H583" s="186" t="s">
        <v>2060</v>
      </c>
      <c r="I583" s="125" t="s">
        <v>326</v>
      </c>
      <c r="J583" s="125" t="s">
        <v>352</v>
      </c>
      <c r="K583" s="125" t="s">
        <v>597</v>
      </c>
      <c r="L583" s="138" t="s">
        <v>314</v>
      </c>
      <c r="M583" s="138" t="s">
        <v>953</v>
      </c>
    </row>
    <row r="584" spans="1:13" s="114" customFormat="1" ht="51">
      <c r="A584" s="136">
        <v>582</v>
      </c>
      <c r="B584" s="129" t="s">
        <v>2168</v>
      </c>
      <c r="C584" s="129" t="s">
        <v>2165</v>
      </c>
      <c r="D584" s="137" t="s">
        <v>2166</v>
      </c>
      <c r="E584" s="84" t="s">
        <v>2169</v>
      </c>
      <c r="F584" s="118"/>
      <c r="G584" s="131"/>
      <c r="H584" s="186" t="s">
        <v>2060</v>
      </c>
      <c r="I584" s="125" t="s">
        <v>326</v>
      </c>
      <c r="J584" s="125" t="s">
        <v>352</v>
      </c>
      <c r="K584" s="125" t="s">
        <v>597</v>
      </c>
      <c r="L584" s="138" t="s">
        <v>314</v>
      </c>
      <c r="M584" s="138" t="s">
        <v>953</v>
      </c>
    </row>
    <row r="585" spans="1:13" s="114" customFormat="1" ht="25.5">
      <c r="A585" s="136">
        <v>583</v>
      </c>
      <c r="B585" s="129" t="s">
        <v>2170</v>
      </c>
      <c r="C585" s="129" t="s">
        <v>2165</v>
      </c>
      <c r="D585" s="137" t="s">
        <v>2166</v>
      </c>
      <c r="E585" s="84" t="s">
        <v>2171</v>
      </c>
      <c r="F585" s="118"/>
      <c r="G585" s="131"/>
      <c r="H585" s="186" t="s">
        <v>995</v>
      </c>
      <c r="I585" s="125" t="s">
        <v>326</v>
      </c>
      <c r="J585" s="125" t="s">
        <v>346</v>
      </c>
      <c r="K585" s="125" t="s">
        <v>998</v>
      </c>
      <c r="L585" s="138" t="s">
        <v>314</v>
      </c>
      <c r="M585" s="138" t="s">
        <v>508</v>
      </c>
    </row>
    <row r="586" spans="1:13" s="114" customFormat="1" ht="51">
      <c r="A586" s="136">
        <v>584</v>
      </c>
      <c r="B586" s="129" t="s">
        <v>2172</v>
      </c>
      <c r="C586" s="129" t="s">
        <v>2165</v>
      </c>
      <c r="D586" s="137" t="s">
        <v>2166</v>
      </c>
      <c r="E586" s="84" t="s">
        <v>2173</v>
      </c>
      <c r="F586" s="118"/>
      <c r="G586" s="131"/>
      <c r="H586" s="186" t="s">
        <v>1586</v>
      </c>
      <c r="I586" s="125" t="s">
        <v>326</v>
      </c>
      <c r="J586" s="125" t="s">
        <v>331</v>
      </c>
      <c r="K586" s="125" t="s">
        <v>1191</v>
      </c>
      <c r="L586" s="138" t="s">
        <v>314</v>
      </c>
      <c r="M586" s="138" t="s">
        <v>953</v>
      </c>
    </row>
    <row r="587" spans="1:13" s="114" customFormat="1" ht="51">
      <c r="A587" s="136">
        <v>585</v>
      </c>
      <c r="B587" s="129" t="s">
        <v>2174</v>
      </c>
      <c r="C587" s="129" t="s">
        <v>2175</v>
      </c>
      <c r="D587" s="137" t="s">
        <v>2176</v>
      </c>
      <c r="E587" s="84" t="s">
        <v>2177</v>
      </c>
      <c r="F587" s="118"/>
      <c r="G587" s="131"/>
      <c r="H587" s="186" t="s">
        <v>2060</v>
      </c>
      <c r="I587" s="125" t="s">
        <v>326</v>
      </c>
      <c r="J587" s="125" t="s">
        <v>352</v>
      </c>
      <c r="K587" s="125" t="s">
        <v>597</v>
      </c>
      <c r="L587" s="138" t="s">
        <v>314</v>
      </c>
      <c r="M587" s="138" t="s">
        <v>953</v>
      </c>
    </row>
    <row r="588" spans="1:13" s="114" customFormat="1" ht="51">
      <c r="A588" s="136">
        <v>586</v>
      </c>
      <c r="B588" s="129" t="s">
        <v>2178</v>
      </c>
      <c r="C588" s="129" t="s">
        <v>2175</v>
      </c>
      <c r="D588" s="137" t="s">
        <v>2176</v>
      </c>
      <c r="E588" s="84" t="s">
        <v>2179</v>
      </c>
      <c r="F588" s="118"/>
      <c r="G588" s="131"/>
      <c r="H588" s="186" t="s">
        <v>2060</v>
      </c>
      <c r="I588" s="125" t="s">
        <v>326</v>
      </c>
      <c r="J588" s="125" t="s">
        <v>352</v>
      </c>
      <c r="K588" s="125" t="s">
        <v>597</v>
      </c>
      <c r="L588" s="138" t="s">
        <v>314</v>
      </c>
      <c r="M588" s="138" t="s">
        <v>953</v>
      </c>
    </row>
    <row r="589" spans="1:13" s="114" customFormat="1" ht="51">
      <c r="A589" s="136">
        <v>587</v>
      </c>
      <c r="B589" s="129" t="s">
        <v>2157</v>
      </c>
      <c r="C589" s="129" t="s">
        <v>2175</v>
      </c>
      <c r="D589" s="137" t="s">
        <v>2176</v>
      </c>
      <c r="E589" s="84" t="s">
        <v>2180</v>
      </c>
      <c r="F589" s="118"/>
      <c r="G589" s="131"/>
      <c r="H589" s="186" t="s">
        <v>2181</v>
      </c>
      <c r="I589" s="125" t="s">
        <v>326</v>
      </c>
      <c r="J589" s="125" t="s">
        <v>331</v>
      </c>
      <c r="K589" s="125" t="s">
        <v>1191</v>
      </c>
      <c r="L589" s="138" t="s">
        <v>314</v>
      </c>
      <c r="M589" s="138" t="s">
        <v>953</v>
      </c>
    </row>
    <row r="590" spans="1:13" s="114" customFormat="1" ht="51">
      <c r="A590" s="136">
        <v>588</v>
      </c>
      <c r="B590" s="129" t="s">
        <v>2182</v>
      </c>
      <c r="C590" s="129" t="s">
        <v>2175</v>
      </c>
      <c r="D590" s="137" t="s">
        <v>2176</v>
      </c>
      <c r="E590" s="84" t="s">
        <v>2183</v>
      </c>
      <c r="F590" s="118"/>
      <c r="G590" s="131"/>
      <c r="H590" s="186" t="s">
        <v>2060</v>
      </c>
      <c r="I590" s="125" t="s">
        <v>326</v>
      </c>
      <c r="J590" s="125" t="s">
        <v>352</v>
      </c>
      <c r="K590" s="125" t="s">
        <v>597</v>
      </c>
      <c r="L590" s="138" t="s">
        <v>314</v>
      </c>
      <c r="M590" s="138" t="s">
        <v>953</v>
      </c>
    </row>
    <row r="591" spans="1:13" s="114" customFormat="1" ht="38.25">
      <c r="A591" s="136">
        <v>589</v>
      </c>
      <c r="B591" s="129" t="s">
        <v>2184</v>
      </c>
      <c r="C591" s="129" t="s">
        <v>2185</v>
      </c>
      <c r="D591" s="137" t="s">
        <v>2186</v>
      </c>
      <c r="E591" s="84" t="s">
        <v>2187</v>
      </c>
      <c r="F591" s="118"/>
      <c r="G591" s="131"/>
      <c r="H591" s="186" t="s">
        <v>509</v>
      </c>
      <c r="I591" s="125" t="s">
        <v>326</v>
      </c>
      <c r="J591" s="125" t="s">
        <v>331</v>
      </c>
      <c r="K591" s="125" t="s">
        <v>512</v>
      </c>
      <c r="L591" s="138" t="s">
        <v>507</v>
      </c>
      <c r="M591" s="138" t="s">
        <v>508</v>
      </c>
    </row>
    <row r="592" spans="1:13" s="114" customFormat="1" ht="38.25">
      <c r="A592" s="136">
        <v>590</v>
      </c>
      <c r="B592" s="129" t="s">
        <v>2188</v>
      </c>
      <c r="C592" s="129" t="s">
        <v>2189</v>
      </c>
      <c r="D592" s="137" t="s">
        <v>2190</v>
      </c>
      <c r="E592" s="84" t="s">
        <v>2191</v>
      </c>
      <c r="F592" s="118"/>
      <c r="G592" s="131"/>
      <c r="H592" s="186" t="s">
        <v>509</v>
      </c>
      <c r="I592" s="125" t="s">
        <v>326</v>
      </c>
      <c r="J592" s="125" t="s">
        <v>331</v>
      </c>
      <c r="K592" s="125" t="s">
        <v>512</v>
      </c>
      <c r="L592" s="138" t="s">
        <v>507</v>
      </c>
      <c r="M592" s="138" t="s">
        <v>508</v>
      </c>
    </row>
    <row r="593" spans="1:13" s="114" customFormat="1" ht="38.25">
      <c r="A593" s="136">
        <v>591</v>
      </c>
      <c r="B593" s="129" t="s">
        <v>2192</v>
      </c>
      <c r="C593" s="129" t="s">
        <v>2193</v>
      </c>
      <c r="D593" s="137" t="s">
        <v>2194</v>
      </c>
      <c r="E593" s="84" t="s">
        <v>2195</v>
      </c>
      <c r="F593" s="118"/>
      <c r="G593" s="131"/>
      <c r="H593" s="186" t="s">
        <v>509</v>
      </c>
      <c r="I593" s="125" t="s">
        <v>326</v>
      </c>
      <c r="J593" s="125" t="s">
        <v>331</v>
      </c>
      <c r="K593" s="125" t="s">
        <v>512</v>
      </c>
      <c r="L593" s="138" t="s">
        <v>507</v>
      </c>
      <c r="M593" s="138" t="s">
        <v>508</v>
      </c>
    </row>
    <row r="594" spans="1:13" s="114" customFormat="1" ht="38.25">
      <c r="A594" s="136">
        <v>592</v>
      </c>
      <c r="B594" s="129" t="s">
        <v>2196</v>
      </c>
      <c r="C594" s="129" t="s">
        <v>2197</v>
      </c>
      <c r="D594" s="137" t="s">
        <v>2198</v>
      </c>
      <c r="E594" s="84" t="s">
        <v>2199</v>
      </c>
      <c r="F594" s="118"/>
      <c r="G594" s="131"/>
      <c r="H594" s="186" t="s">
        <v>501</v>
      </c>
      <c r="I594" s="125" t="s">
        <v>326</v>
      </c>
      <c r="J594" s="125" t="s">
        <v>331</v>
      </c>
      <c r="K594" s="125" t="s">
        <v>506</v>
      </c>
      <c r="L594" s="138" t="s">
        <v>507</v>
      </c>
      <c r="M594" s="138" t="s">
        <v>508</v>
      </c>
    </row>
    <row r="595" spans="1:13" s="114" customFormat="1" ht="25.5">
      <c r="A595" s="136">
        <v>593</v>
      </c>
      <c r="B595" s="129" t="s">
        <v>2200</v>
      </c>
      <c r="C595" s="129" t="s">
        <v>2197</v>
      </c>
      <c r="D595" s="137" t="s">
        <v>2198</v>
      </c>
      <c r="E595" s="84" t="s">
        <v>2201</v>
      </c>
      <c r="F595" s="118"/>
      <c r="G595" s="131"/>
      <c r="H595" s="186" t="s">
        <v>1237</v>
      </c>
      <c r="I595" s="125" t="s">
        <v>326</v>
      </c>
      <c r="J595" s="125" t="s">
        <v>331</v>
      </c>
      <c r="K595" s="125" t="s">
        <v>1178</v>
      </c>
      <c r="L595" s="138" t="s">
        <v>507</v>
      </c>
      <c r="M595" s="138" t="s">
        <v>508</v>
      </c>
    </row>
    <row r="596" spans="1:13" s="114" customFormat="1" ht="38.25">
      <c r="A596" s="136">
        <v>594</v>
      </c>
      <c r="B596" s="129" t="s">
        <v>2202</v>
      </c>
      <c r="C596" s="129" t="s">
        <v>2203</v>
      </c>
      <c r="D596" s="137" t="s">
        <v>2204</v>
      </c>
      <c r="E596" s="84" t="s">
        <v>2205</v>
      </c>
      <c r="F596" s="118"/>
      <c r="G596" s="131"/>
      <c r="H596" s="186" t="s">
        <v>513</v>
      </c>
      <c r="I596" s="125" t="s">
        <v>326</v>
      </c>
      <c r="J596" s="125" t="s">
        <v>331</v>
      </c>
      <c r="K596" s="125" t="s">
        <v>512</v>
      </c>
      <c r="L596" s="138" t="s">
        <v>507</v>
      </c>
      <c r="M596" s="138" t="s">
        <v>508</v>
      </c>
    </row>
    <row r="597" spans="1:13" s="114" customFormat="1" ht="38.25">
      <c r="A597" s="136">
        <v>595</v>
      </c>
      <c r="B597" s="129" t="s">
        <v>2206</v>
      </c>
      <c r="C597" s="129" t="s">
        <v>2207</v>
      </c>
      <c r="D597" s="137" t="s">
        <v>2208</v>
      </c>
      <c r="E597" s="84" t="s">
        <v>2209</v>
      </c>
      <c r="F597" s="118"/>
      <c r="G597" s="131"/>
      <c r="H597" s="186" t="s">
        <v>518</v>
      </c>
      <c r="I597" s="125" t="s">
        <v>326</v>
      </c>
      <c r="J597" s="125" t="s">
        <v>331</v>
      </c>
      <c r="K597" s="125" t="s">
        <v>506</v>
      </c>
      <c r="L597" s="138" t="s">
        <v>507</v>
      </c>
      <c r="M597" s="138" t="s">
        <v>508</v>
      </c>
    </row>
    <row r="598" spans="1:13" s="114" customFormat="1" ht="51">
      <c r="A598" s="136">
        <v>596</v>
      </c>
      <c r="B598" s="129" t="s">
        <v>2210</v>
      </c>
      <c r="C598" s="129" t="s">
        <v>2211</v>
      </c>
      <c r="D598" s="137" t="s">
        <v>2212</v>
      </c>
      <c r="E598" s="84" t="s">
        <v>2213</v>
      </c>
      <c r="F598" s="118"/>
      <c r="G598" s="131"/>
      <c r="H598" s="186" t="s">
        <v>501</v>
      </c>
      <c r="I598" s="125" t="s">
        <v>326</v>
      </c>
      <c r="J598" s="125" t="s">
        <v>331</v>
      </c>
      <c r="K598" s="125" t="s">
        <v>506</v>
      </c>
      <c r="L598" s="138" t="s">
        <v>507</v>
      </c>
      <c r="M598" s="138" t="s">
        <v>508</v>
      </c>
    </row>
    <row r="599" spans="1:13" s="114" customFormat="1" ht="38.25">
      <c r="A599" s="136">
        <v>597</v>
      </c>
      <c r="B599" s="129" t="s">
        <v>2214</v>
      </c>
      <c r="C599" s="129" t="s">
        <v>2215</v>
      </c>
      <c r="D599" s="137" t="s">
        <v>2071</v>
      </c>
      <c r="E599" s="84" t="s">
        <v>2216</v>
      </c>
      <c r="F599" s="118"/>
      <c r="G599" s="131"/>
      <c r="H599" s="186" t="s">
        <v>501</v>
      </c>
      <c r="I599" s="125" t="s">
        <v>326</v>
      </c>
      <c r="J599" s="125" t="s">
        <v>331</v>
      </c>
      <c r="K599" s="125" t="s">
        <v>506</v>
      </c>
      <c r="L599" s="138" t="s">
        <v>507</v>
      </c>
      <c r="M599" s="138" t="s">
        <v>508</v>
      </c>
    </row>
    <row r="600" spans="1:13" s="114" customFormat="1" ht="25.5">
      <c r="A600" s="136">
        <v>598</v>
      </c>
      <c r="B600" s="129" t="s">
        <v>2217</v>
      </c>
      <c r="C600" s="129" t="s">
        <v>2218</v>
      </c>
      <c r="D600" s="137" t="s">
        <v>2219</v>
      </c>
      <c r="E600" s="84" t="s">
        <v>2220</v>
      </c>
      <c r="F600" s="118"/>
      <c r="G600" s="131"/>
      <c r="H600" s="186" t="s">
        <v>1230</v>
      </c>
      <c r="I600" s="125" t="s">
        <v>326</v>
      </c>
      <c r="J600" s="125" t="s">
        <v>331</v>
      </c>
      <c r="K600" s="125" t="s">
        <v>1178</v>
      </c>
      <c r="L600" s="138" t="s">
        <v>507</v>
      </c>
      <c r="M600" s="138" t="s">
        <v>508</v>
      </c>
    </row>
    <row r="601" spans="1:13" s="114" customFormat="1" ht="38.25">
      <c r="A601" s="136">
        <v>599</v>
      </c>
      <c r="B601" s="129" t="s">
        <v>2221</v>
      </c>
      <c r="C601" s="129" t="s">
        <v>2222</v>
      </c>
      <c r="D601" s="137" t="s">
        <v>2166</v>
      </c>
      <c r="E601" s="84" t="s">
        <v>2223</v>
      </c>
      <c r="F601" s="113"/>
      <c r="G601" s="131"/>
      <c r="H601" s="186" t="s">
        <v>509</v>
      </c>
      <c r="I601" s="125" t="s">
        <v>326</v>
      </c>
      <c r="J601" s="125" t="s">
        <v>331</v>
      </c>
      <c r="K601" s="125" t="s">
        <v>512</v>
      </c>
      <c r="L601" s="138" t="s">
        <v>507</v>
      </c>
      <c r="M601" s="138" t="s">
        <v>508</v>
      </c>
    </row>
    <row r="602" spans="1:13" s="114" customFormat="1" ht="51">
      <c r="A602" s="136">
        <v>600</v>
      </c>
      <c r="B602" s="129" t="s">
        <v>2224</v>
      </c>
      <c r="C602" s="129" t="s">
        <v>2222</v>
      </c>
      <c r="D602" s="137" t="s">
        <v>2166</v>
      </c>
      <c r="E602" s="84" t="s">
        <v>2225</v>
      </c>
      <c r="F602" s="118"/>
      <c r="G602" s="131"/>
      <c r="H602" s="186" t="s">
        <v>707</v>
      </c>
      <c r="I602" s="125" t="s">
        <v>326</v>
      </c>
      <c r="J602" s="125" t="s">
        <v>331</v>
      </c>
      <c r="K602" s="125" t="s">
        <v>530</v>
      </c>
      <c r="L602" s="138" t="s">
        <v>507</v>
      </c>
      <c r="M602" s="138" t="s">
        <v>508</v>
      </c>
    </row>
    <row r="603" spans="1:13" s="114" customFormat="1" ht="25.5">
      <c r="A603" s="136">
        <v>601</v>
      </c>
      <c r="B603" s="129" t="s">
        <v>2226</v>
      </c>
      <c r="C603" s="129" t="s">
        <v>2222</v>
      </c>
      <c r="D603" s="137" t="s">
        <v>2166</v>
      </c>
      <c r="E603" s="84" t="s">
        <v>2227</v>
      </c>
      <c r="F603" s="118"/>
      <c r="G603" s="131"/>
      <c r="H603" s="186" t="s">
        <v>1237</v>
      </c>
      <c r="I603" s="125" t="s">
        <v>326</v>
      </c>
      <c r="J603" s="125" t="s">
        <v>331</v>
      </c>
      <c r="K603" s="125" t="s">
        <v>1178</v>
      </c>
      <c r="L603" s="138" t="s">
        <v>507</v>
      </c>
      <c r="M603" s="138" t="s">
        <v>508</v>
      </c>
    </row>
    <row r="604" spans="1:13" s="114" customFormat="1" ht="51">
      <c r="A604" s="136">
        <v>602</v>
      </c>
      <c r="B604" s="129" t="s">
        <v>2228</v>
      </c>
      <c r="C604" s="129" t="s">
        <v>2222</v>
      </c>
      <c r="D604" s="137" t="s">
        <v>2166</v>
      </c>
      <c r="E604" s="84" t="s">
        <v>2229</v>
      </c>
      <c r="F604" s="118"/>
      <c r="G604" s="131"/>
      <c r="H604" s="186" t="s">
        <v>513</v>
      </c>
      <c r="I604" s="125" t="s">
        <v>326</v>
      </c>
      <c r="J604" s="125" t="s">
        <v>331</v>
      </c>
      <c r="K604" s="125" t="s">
        <v>512</v>
      </c>
      <c r="L604" s="138" t="s">
        <v>507</v>
      </c>
      <c r="M604" s="138" t="s">
        <v>508</v>
      </c>
    </row>
    <row r="605" spans="1:13" s="114" customFormat="1" ht="38.25">
      <c r="A605" s="136">
        <v>603</v>
      </c>
      <c r="B605" s="129" t="s">
        <v>2230</v>
      </c>
      <c r="C605" s="129" t="s">
        <v>2222</v>
      </c>
      <c r="D605" s="137" t="s">
        <v>2166</v>
      </c>
      <c r="E605" s="84" t="s">
        <v>2231</v>
      </c>
      <c r="F605" s="118"/>
      <c r="G605" s="131"/>
      <c r="H605" s="186" t="s">
        <v>2042</v>
      </c>
      <c r="I605" s="125" t="s">
        <v>326</v>
      </c>
      <c r="J605" s="125" t="s">
        <v>331</v>
      </c>
      <c r="K605" s="125" t="s">
        <v>512</v>
      </c>
      <c r="L605" s="138" t="s">
        <v>507</v>
      </c>
      <c r="M605" s="138" t="s">
        <v>508</v>
      </c>
    </row>
    <row r="606" spans="1:13" s="114" customFormat="1" ht="38.25">
      <c r="A606" s="136">
        <v>604</v>
      </c>
      <c r="B606" s="129" t="s">
        <v>2232</v>
      </c>
      <c r="C606" s="129" t="s">
        <v>2222</v>
      </c>
      <c r="D606" s="137" t="s">
        <v>2166</v>
      </c>
      <c r="E606" s="84" t="s">
        <v>2233</v>
      </c>
      <c r="F606" s="118"/>
      <c r="G606" s="131"/>
      <c r="H606" s="186" t="s">
        <v>501</v>
      </c>
      <c r="I606" s="125" t="s">
        <v>326</v>
      </c>
      <c r="J606" s="125" t="s">
        <v>331</v>
      </c>
      <c r="K606" s="125" t="s">
        <v>506</v>
      </c>
      <c r="L606" s="138" t="s">
        <v>507</v>
      </c>
      <c r="M606" s="138" t="s">
        <v>508</v>
      </c>
    </row>
    <row r="607" spans="1:13" s="114" customFormat="1" ht="38.25">
      <c r="A607" s="136">
        <v>605</v>
      </c>
      <c r="B607" s="129" t="s">
        <v>2234</v>
      </c>
      <c r="C607" s="129" t="s">
        <v>2222</v>
      </c>
      <c r="D607" s="137" t="s">
        <v>2166</v>
      </c>
      <c r="E607" s="84" t="s">
        <v>2235</v>
      </c>
      <c r="F607" s="118"/>
      <c r="G607" s="131"/>
      <c r="H607" s="186" t="s">
        <v>501</v>
      </c>
      <c r="I607" s="125" t="s">
        <v>326</v>
      </c>
      <c r="J607" s="125" t="s">
        <v>331</v>
      </c>
      <c r="K607" s="125" t="s">
        <v>506</v>
      </c>
      <c r="L607" s="138" t="s">
        <v>507</v>
      </c>
      <c r="M607" s="138" t="s">
        <v>508</v>
      </c>
    </row>
    <row r="608" spans="1:13" s="114" customFormat="1" ht="25.5">
      <c r="A608" s="136">
        <v>606</v>
      </c>
      <c r="B608" s="129" t="s">
        <v>2236</v>
      </c>
      <c r="C608" s="129" t="s">
        <v>2222</v>
      </c>
      <c r="D608" s="137" t="s">
        <v>2166</v>
      </c>
      <c r="E608" s="84" t="s">
        <v>2237</v>
      </c>
      <c r="F608" s="118"/>
      <c r="G608" s="131"/>
      <c r="H608" s="186" t="s">
        <v>1230</v>
      </c>
      <c r="I608" s="125" t="s">
        <v>326</v>
      </c>
      <c r="J608" s="125" t="s">
        <v>331</v>
      </c>
      <c r="K608" s="125" t="s">
        <v>1178</v>
      </c>
      <c r="L608" s="138" t="s">
        <v>507</v>
      </c>
      <c r="M608" s="138" t="s">
        <v>508</v>
      </c>
    </row>
    <row r="609" spans="1:13" s="114" customFormat="1" ht="38.25">
      <c r="A609" s="136">
        <v>607</v>
      </c>
      <c r="B609" s="129" t="s">
        <v>2238</v>
      </c>
      <c r="C609" s="129" t="s">
        <v>2239</v>
      </c>
      <c r="D609" s="137" t="s">
        <v>2176</v>
      </c>
      <c r="E609" s="84" t="s">
        <v>2240</v>
      </c>
      <c r="F609" s="113"/>
      <c r="G609" s="131"/>
      <c r="H609" s="186" t="s">
        <v>501</v>
      </c>
      <c r="I609" s="125" t="s">
        <v>326</v>
      </c>
      <c r="J609" s="125" t="s">
        <v>331</v>
      </c>
      <c r="K609" s="125" t="s">
        <v>506</v>
      </c>
      <c r="L609" s="138" t="s">
        <v>507</v>
      </c>
      <c r="M609" s="138" t="s">
        <v>508</v>
      </c>
    </row>
    <row r="610" spans="1:13" s="114" customFormat="1" ht="51">
      <c r="A610" s="136">
        <v>608</v>
      </c>
      <c r="B610" s="129" t="s">
        <v>2241</v>
      </c>
      <c r="C610" s="129" t="s">
        <v>2242</v>
      </c>
      <c r="D610" s="137" t="s">
        <v>2243</v>
      </c>
      <c r="E610" s="84" t="s">
        <v>2244</v>
      </c>
      <c r="F610" s="118"/>
      <c r="G610" s="131"/>
      <c r="H610" s="186" t="s">
        <v>608</v>
      </c>
      <c r="I610" s="125" t="s">
        <v>326</v>
      </c>
      <c r="J610" s="125" t="s">
        <v>331</v>
      </c>
      <c r="K610" s="125" t="s">
        <v>530</v>
      </c>
      <c r="L610" s="138" t="s">
        <v>507</v>
      </c>
      <c r="M610" s="138" t="s">
        <v>508</v>
      </c>
    </row>
    <row r="611" spans="1:13" s="114" customFormat="1" ht="51">
      <c r="A611" s="136">
        <v>609</v>
      </c>
      <c r="B611" s="129" t="s">
        <v>2245</v>
      </c>
      <c r="C611" s="129" t="s">
        <v>2246</v>
      </c>
      <c r="D611" s="137" t="s">
        <v>2247</v>
      </c>
      <c r="E611" s="84" t="s">
        <v>2248</v>
      </c>
      <c r="F611" s="118"/>
      <c r="G611" s="131"/>
      <c r="H611" s="186" t="s">
        <v>707</v>
      </c>
      <c r="I611" s="125" t="s">
        <v>326</v>
      </c>
      <c r="J611" s="125" t="s">
        <v>331</v>
      </c>
      <c r="K611" s="125" t="s">
        <v>530</v>
      </c>
      <c r="L611" s="138" t="s">
        <v>507</v>
      </c>
      <c r="M611" s="138" t="s">
        <v>508</v>
      </c>
    </row>
    <row r="612" spans="1:13" s="114" customFormat="1" ht="25.5">
      <c r="A612" s="136">
        <v>610</v>
      </c>
      <c r="B612" s="129" t="s">
        <v>2249</v>
      </c>
      <c r="C612" s="129" t="s">
        <v>2246</v>
      </c>
      <c r="D612" s="137" t="s">
        <v>2247</v>
      </c>
      <c r="E612" s="84" t="s">
        <v>2250</v>
      </c>
      <c r="F612" s="118"/>
      <c r="G612" s="131"/>
      <c r="H612" s="186" t="s">
        <v>1221</v>
      </c>
      <c r="I612" s="125" t="s">
        <v>326</v>
      </c>
      <c r="J612" s="125" t="s">
        <v>331</v>
      </c>
      <c r="K612" s="125" t="s">
        <v>1178</v>
      </c>
      <c r="L612" s="138" t="s">
        <v>507</v>
      </c>
      <c r="M612" s="138" t="s">
        <v>508</v>
      </c>
    </row>
    <row r="613" spans="1:13" s="114" customFormat="1" ht="38.25">
      <c r="A613" s="136">
        <v>611</v>
      </c>
      <c r="B613" s="129" t="s">
        <v>2251</v>
      </c>
      <c r="C613" s="129" t="s">
        <v>2246</v>
      </c>
      <c r="D613" s="137" t="s">
        <v>2247</v>
      </c>
      <c r="E613" s="84" t="s">
        <v>2252</v>
      </c>
      <c r="F613" s="118"/>
      <c r="G613" s="131"/>
      <c r="H613" s="186" t="s">
        <v>535</v>
      </c>
      <c r="I613" s="125" t="s">
        <v>326</v>
      </c>
      <c r="J613" s="125" t="s">
        <v>331</v>
      </c>
      <c r="K613" s="125" t="s">
        <v>512</v>
      </c>
      <c r="L613" s="138" t="s">
        <v>507</v>
      </c>
      <c r="M613" s="138" t="s">
        <v>508</v>
      </c>
    </row>
    <row r="614" spans="1:13" s="114" customFormat="1" ht="38.25">
      <c r="A614" s="136">
        <v>612</v>
      </c>
      <c r="B614" s="129" t="s">
        <v>2253</v>
      </c>
      <c r="C614" s="129" t="s">
        <v>2254</v>
      </c>
      <c r="D614" s="137" t="s">
        <v>2255</v>
      </c>
      <c r="E614" s="84" t="s">
        <v>2256</v>
      </c>
      <c r="F614" s="118"/>
      <c r="G614" s="131"/>
      <c r="H614" s="186" t="s">
        <v>501</v>
      </c>
      <c r="I614" s="125" t="s">
        <v>326</v>
      </c>
      <c r="J614" s="125" t="s">
        <v>331</v>
      </c>
      <c r="K614" s="125" t="s">
        <v>506</v>
      </c>
      <c r="L614" s="138" t="s">
        <v>507</v>
      </c>
      <c r="M614" s="138" t="s">
        <v>508</v>
      </c>
    </row>
    <row r="615" spans="1:13" s="114" customFormat="1" ht="38.25">
      <c r="A615" s="136">
        <v>613</v>
      </c>
      <c r="B615" s="129" t="s">
        <v>2257</v>
      </c>
      <c r="C615" s="129" t="s">
        <v>2254</v>
      </c>
      <c r="D615" s="137" t="s">
        <v>2255</v>
      </c>
      <c r="E615" s="84" t="s">
        <v>2258</v>
      </c>
      <c r="F615" s="118"/>
      <c r="G615" s="131"/>
      <c r="H615" s="186" t="s">
        <v>543</v>
      </c>
      <c r="I615" s="125" t="s">
        <v>326</v>
      </c>
      <c r="J615" s="125" t="s">
        <v>331</v>
      </c>
      <c r="K615" s="125" t="s">
        <v>512</v>
      </c>
      <c r="L615" s="138" t="s">
        <v>507</v>
      </c>
      <c r="M615" s="138" t="s">
        <v>508</v>
      </c>
    </row>
    <row r="616" spans="1:13" s="114" customFormat="1" ht="38.25">
      <c r="A616" s="136">
        <v>614</v>
      </c>
      <c r="B616" s="129" t="s">
        <v>2259</v>
      </c>
      <c r="C616" s="129" t="s">
        <v>2254</v>
      </c>
      <c r="D616" s="137" t="s">
        <v>2255</v>
      </c>
      <c r="E616" s="84" t="s">
        <v>2260</v>
      </c>
      <c r="F616" s="118"/>
      <c r="G616" s="131"/>
      <c r="H616" s="186" t="s">
        <v>653</v>
      </c>
      <c r="I616" s="125" t="s">
        <v>326</v>
      </c>
      <c r="J616" s="125" t="s">
        <v>331</v>
      </c>
      <c r="K616" s="125" t="s">
        <v>506</v>
      </c>
      <c r="L616" s="138" t="s">
        <v>507</v>
      </c>
      <c r="M616" s="138" t="s">
        <v>508</v>
      </c>
    </row>
    <row r="617" spans="1:13" s="114" customFormat="1" ht="25.5">
      <c r="A617" s="136">
        <v>615</v>
      </c>
      <c r="B617" s="129" t="s">
        <v>2261</v>
      </c>
      <c r="C617" s="129" t="s">
        <v>2254</v>
      </c>
      <c r="D617" s="137" t="s">
        <v>2255</v>
      </c>
      <c r="E617" s="84" t="s">
        <v>2262</v>
      </c>
      <c r="F617" s="118"/>
      <c r="G617" s="131"/>
      <c r="H617" s="186" t="s">
        <v>1221</v>
      </c>
      <c r="I617" s="125" t="s">
        <v>326</v>
      </c>
      <c r="J617" s="125" t="s">
        <v>331</v>
      </c>
      <c r="K617" s="125" t="s">
        <v>1178</v>
      </c>
      <c r="L617" s="138" t="s">
        <v>507</v>
      </c>
      <c r="M617" s="138" t="s">
        <v>508</v>
      </c>
    </row>
    <row r="618" spans="1:13" s="114" customFormat="1" ht="25.5">
      <c r="A618" s="136">
        <v>616</v>
      </c>
      <c r="B618" s="129" t="s">
        <v>1237</v>
      </c>
      <c r="C618" s="129" t="s">
        <v>2254</v>
      </c>
      <c r="D618" s="137" t="s">
        <v>2255</v>
      </c>
      <c r="E618" s="84" t="s">
        <v>2263</v>
      </c>
      <c r="F618" s="113"/>
      <c r="G618" s="131"/>
      <c r="H618" s="186" t="s">
        <v>2264</v>
      </c>
      <c r="I618" s="125" t="s">
        <v>326</v>
      </c>
      <c r="J618" s="125" t="s">
        <v>331</v>
      </c>
      <c r="K618" s="125" t="s">
        <v>1178</v>
      </c>
      <c r="L618" s="138" t="s">
        <v>507</v>
      </c>
      <c r="M618" s="138" t="s">
        <v>508</v>
      </c>
    </row>
    <row r="619" spans="1:13" s="114" customFormat="1" ht="51">
      <c r="A619" s="136">
        <v>617</v>
      </c>
      <c r="B619" s="129" t="s">
        <v>689</v>
      </c>
      <c r="C619" s="129" t="s">
        <v>2254</v>
      </c>
      <c r="D619" s="137" t="s">
        <v>2255</v>
      </c>
      <c r="E619" s="84" t="s">
        <v>2265</v>
      </c>
      <c r="F619" s="113"/>
      <c r="G619" s="131"/>
      <c r="H619" s="186" t="s">
        <v>2266</v>
      </c>
      <c r="I619" s="125" t="s">
        <v>326</v>
      </c>
      <c r="J619" s="125" t="s">
        <v>331</v>
      </c>
      <c r="K619" s="125" t="s">
        <v>530</v>
      </c>
      <c r="L619" s="138" t="s">
        <v>507</v>
      </c>
      <c r="M619" s="138" t="s">
        <v>508</v>
      </c>
    </row>
    <row r="620" spans="1:13" s="114" customFormat="1" ht="25.5">
      <c r="A620" s="136">
        <v>618</v>
      </c>
      <c r="B620" s="129" t="s">
        <v>2267</v>
      </c>
      <c r="C620" s="129" t="s">
        <v>2268</v>
      </c>
      <c r="D620" s="137" t="s">
        <v>2269</v>
      </c>
      <c r="E620" s="84" t="s">
        <v>2270</v>
      </c>
      <c r="F620" s="118"/>
      <c r="G620" s="131"/>
      <c r="H620" s="186" t="s">
        <v>804</v>
      </c>
      <c r="I620" s="125" t="s">
        <v>326</v>
      </c>
      <c r="J620" s="125" t="s">
        <v>352</v>
      </c>
      <c r="K620" s="125" t="s">
        <v>526</v>
      </c>
      <c r="L620" s="138" t="s">
        <v>507</v>
      </c>
      <c r="M620" s="138" t="s">
        <v>508</v>
      </c>
    </row>
    <row r="621" spans="1:13" s="114" customFormat="1" ht="38.25">
      <c r="A621" s="136">
        <v>619</v>
      </c>
      <c r="B621" s="129" t="s">
        <v>2271</v>
      </c>
      <c r="C621" s="129" t="s">
        <v>2268</v>
      </c>
      <c r="D621" s="137" t="s">
        <v>2269</v>
      </c>
      <c r="E621" s="84" t="s">
        <v>2272</v>
      </c>
      <c r="F621" s="113"/>
      <c r="G621" s="131"/>
      <c r="H621" s="186" t="s">
        <v>653</v>
      </c>
      <c r="I621" s="125" t="s">
        <v>326</v>
      </c>
      <c r="J621" s="125" t="s">
        <v>331</v>
      </c>
      <c r="K621" s="125" t="s">
        <v>506</v>
      </c>
      <c r="L621" s="138" t="s">
        <v>507</v>
      </c>
      <c r="M621" s="138" t="s">
        <v>508</v>
      </c>
    </row>
    <row r="622" spans="1:13" s="114" customFormat="1" ht="51">
      <c r="A622" s="136">
        <v>620</v>
      </c>
      <c r="B622" s="129" t="s">
        <v>2273</v>
      </c>
      <c r="C622" s="129" t="s">
        <v>2268</v>
      </c>
      <c r="D622" s="137" t="s">
        <v>2269</v>
      </c>
      <c r="E622" s="84" t="s">
        <v>2274</v>
      </c>
      <c r="F622" s="113"/>
      <c r="G622" s="131"/>
      <c r="H622" s="186" t="s">
        <v>1299</v>
      </c>
      <c r="I622" s="125" t="s">
        <v>326</v>
      </c>
      <c r="J622" s="125" t="s">
        <v>331</v>
      </c>
      <c r="K622" s="125" t="s">
        <v>530</v>
      </c>
      <c r="L622" s="138" t="s">
        <v>507</v>
      </c>
      <c r="M622" s="138" t="s">
        <v>508</v>
      </c>
    </row>
    <row r="623" spans="1:13" s="114" customFormat="1" ht="51">
      <c r="A623" s="136">
        <v>621</v>
      </c>
      <c r="B623" s="129" t="s">
        <v>2275</v>
      </c>
      <c r="C623" s="129" t="s">
        <v>2268</v>
      </c>
      <c r="D623" s="137" t="s">
        <v>2269</v>
      </c>
      <c r="E623" s="84" t="s">
        <v>2276</v>
      </c>
      <c r="F623" s="113"/>
      <c r="G623" s="131"/>
      <c r="H623" s="186" t="s">
        <v>1148</v>
      </c>
      <c r="I623" s="125" t="s">
        <v>326</v>
      </c>
      <c r="J623" s="125" t="s">
        <v>331</v>
      </c>
      <c r="K623" s="125" t="s">
        <v>530</v>
      </c>
      <c r="L623" s="138" t="s">
        <v>507</v>
      </c>
      <c r="M623" s="138" t="s">
        <v>508</v>
      </c>
    </row>
    <row r="624" spans="1:13" s="114" customFormat="1" ht="51">
      <c r="A624" s="136">
        <v>622</v>
      </c>
      <c r="B624" s="129" t="s">
        <v>2277</v>
      </c>
      <c r="C624" s="129" t="s">
        <v>2278</v>
      </c>
      <c r="D624" s="137" t="s">
        <v>2243</v>
      </c>
      <c r="E624" s="84" t="s">
        <v>2279</v>
      </c>
      <c r="F624" s="118"/>
      <c r="G624" s="131"/>
      <c r="H624" s="186" t="s">
        <v>608</v>
      </c>
      <c r="I624" s="125" t="s">
        <v>326</v>
      </c>
      <c r="J624" s="125" t="s">
        <v>331</v>
      </c>
      <c r="K624" s="125" t="s">
        <v>530</v>
      </c>
      <c r="L624" s="138" t="s">
        <v>507</v>
      </c>
      <c r="M624" s="138" t="s">
        <v>508</v>
      </c>
    </row>
    <row r="625" spans="1:13" s="114" customFormat="1" ht="51">
      <c r="A625" s="136">
        <v>623</v>
      </c>
      <c r="B625" s="129" t="s">
        <v>2280</v>
      </c>
      <c r="C625" s="129" t="s">
        <v>2281</v>
      </c>
      <c r="D625" s="137" t="s">
        <v>2166</v>
      </c>
      <c r="E625" s="84" t="s">
        <v>2282</v>
      </c>
      <c r="F625" s="118"/>
      <c r="G625" s="131"/>
      <c r="H625" s="186" t="s">
        <v>707</v>
      </c>
      <c r="I625" s="125" t="s">
        <v>326</v>
      </c>
      <c r="J625" s="125" t="s">
        <v>331</v>
      </c>
      <c r="K625" s="125" t="s">
        <v>530</v>
      </c>
      <c r="L625" s="138" t="s">
        <v>507</v>
      </c>
      <c r="M625" s="138" t="s">
        <v>508</v>
      </c>
    </row>
    <row r="626" spans="1:13" s="114" customFormat="1" ht="51">
      <c r="A626" s="136">
        <v>624</v>
      </c>
      <c r="B626" s="129" t="s">
        <v>2283</v>
      </c>
      <c r="C626" s="129" t="s">
        <v>2281</v>
      </c>
      <c r="D626" s="137" t="s">
        <v>2166</v>
      </c>
      <c r="E626" s="84" t="s">
        <v>2284</v>
      </c>
      <c r="F626" s="118"/>
      <c r="G626" s="131"/>
      <c r="H626" s="186" t="s">
        <v>707</v>
      </c>
      <c r="I626" s="125" t="s">
        <v>326</v>
      </c>
      <c r="J626" s="125" t="s">
        <v>331</v>
      </c>
      <c r="K626" s="125" t="s">
        <v>530</v>
      </c>
      <c r="L626" s="138" t="s">
        <v>507</v>
      </c>
      <c r="M626" s="138" t="s">
        <v>508</v>
      </c>
    </row>
    <row r="627" spans="1:13" s="114" customFormat="1" ht="51">
      <c r="A627" s="136">
        <v>625</v>
      </c>
      <c r="B627" s="129" t="s">
        <v>2285</v>
      </c>
      <c r="C627" s="129" t="s">
        <v>2281</v>
      </c>
      <c r="D627" s="137" t="s">
        <v>2166</v>
      </c>
      <c r="E627" s="84" t="s">
        <v>2286</v>
      </c>
      <c r="F627" s="118"/>
      <c r="G627" s="131"/>
      <c r="H627" s="186" t="s">
        <v>608</v>
      </c>
      <c r="I627" s="125" t="s">
        <v>326</v>
      </c>
      <c r="J627" s="125" t="s">
        <v>331</v>
      </c>
      <c r="K627" s="125" t="s">
        <v>530</v>
      </c>
      <c r="L627" s="138" t="s">
        <v>507</v>
      </c>
      <c r="M627" s="138" t="s">
        <v>508</v>
      </c>
    </row>
    <row r="628" spans="1:13" s="114" customFormat="1" ht="25.5">
      <c r="A628" s="136">
        <v>626</v>
      </c>
      <c r="B628" s="129" t="s">
        <v>596</v>
      </c>
      <c r="C628" s="129" t="s">
        <v>2287</v>
      </c>
      <c r="D628" s="137" t="s">
        <v>2176</v>
      </c>
      <c r="E628" s="84" t="s">
        <v>2288</v>
      </c>
      <c r="F628" s="118"/>
      <c r="G628" s="131"/>
      <c r="H628" s="186" t="s">
        <v>2289</v>
      </c>
      <c r="I628" s="125" t="s">
        <v>326</v>
      </c>
      <c r="J628" s="125" t="s">
        <v>352</v>
      </c>
      <c r="K628" s="125" t="s">
        <v>597</v>
      </c>
      <c r="L628" s="138" t="s">
        <v>507</v>
      </c>
      <c r="M628" s="138" t="s">
        <v>508</v>
      </c>
    </row>
    <row r="629" spans="1:13" s="114" customFormat="1" ht="38.25">
      <c r="A629" s="136">
        <v>627</v>
      </c>
      <c r="B629" s="129" t="s">
        <v>2290</v>
      </c>
      <c r="C629" s="125" t="s">
        <v>2291</v>
      </c>
      <c r="D629" s="137" t="s">
        <v>2292</v>
      </c>
      <c r="E629" s="84" t="s">
        <v>2293</v>
      </c>
      <c r="F629" s="113"/>
      <c r="G629" s="131"/>
      <c r="H629" s="186" t="s">
        <v>1531</v>
      </c>
      <c r="I629" s="125" t="s">
        <v>326</v>
      </c>
      <c r="J629" s="125" t="s">
        <v>346</v>
      </c>
      <c r="K629" s="125" t="s">
        <v>761</v>
      </c>
      <c r="L629" s="138" t="s">
        <v>507</v>
      </c>
      <c r="M629" s="138" t="s">
        <v>508</v>
      </c>
    </row>
    <row r="630" spans="1:13" s="114" customFormat="1" ht="25.5">
      <c r="A630" s="136">
        <v>628</v>
      </c>
      <c r="B630" s="129" t="s">
        <v>1525</v>
      </c>
      <c r="C630" s="125">
        <v>5.0999999999999996</v>
      </c>
      <c r="D630" s="137" t="s">
        <v>2294</v>
      </c>
      <c r="E630" s="84" t="s">
        <v>2295</v>
      </c>
      <c r="F630" s="113"/>
      <c r="G630" s="131"/>
      <c r="H630" s="186" t="s">
        <v>2296</v>
      </c>
      <c r="I630" s="125" t="s">
        <v>326</v>
      </c>
      <c r="J630" s="125" t="s">
        <v>341</v>
      </c>
      <c r="K630" s="125" t="s">
        <v>1526</v>
      </c>
      <c r="L630" s="138" t="s">
        <v>507</v>
      </c>
      <c r="M630" s="138" t="s">
        <v>508</v>
      </c>
    </row>
    <row r="631" spans="1:13" s="114" customFormat="1" ht="51">
      <c r="A631" s="136">
        <v>629</v>
      </c>
      <c r="B631" s="129" t="s">
        <v>2297</v>
      </c>
      <c r="C631" s="125">
        <v>5.0999999999999996</v>
      </c>
      <c r="D631" s="137" t="s">
        <v>2294</v>
      </c>
      <c r="E631" s="84" t="s">
        <v>2298</v>
      </c>
      <c r="F631" s="113"/>
      <c r="G631" s="131"/>
      <c r="H631" s="186" t="s">
        <v>1148</v>
      </c>
      <c r="I631" s="125" t="s">
        <v>326</v>
      </c>
      <c r="J631" s="125" t="s">
        <v>331</v>
      </c>
      <c r="K631" s="125" t="s">
        <v>530</v>
      </c>
      <c r="L631" s="138" t="s">
        <v>507</v>
      </c>
      <c r="M631" s="138" t="s">
        <v>508</v>
      </c>
    </row>
    <row r="632" spans="1:13" s="114" customFormat="1" ht="25.5">
      <c r="A632" s="136">
        <v>630</v>
      </c>
      <c r="B632" s="129" t="s">
        <v>2299</v>
      </c>
      <c r="C632" s="125">
        <v>6.3</v>
      </c>
      <c r="D632" s="137" t="s">
        <v>2300</v>
      </c>
      <c r="E632" s="84" t="s">
        <v>2301</v>
      </c>
      <c r="F632" s="113"/>
      <c r="G632" s="131"/>
      <c r="H632" s="186" t="s">
        <v>2302</v>
      </c>
      <c r="I632" s="125" t="s">
        <v>326</v>
      </c>
      <c r="J632" s="125" t="s">
        <v>341</v>
      </c>
      <c r="K632" s="125" t="s">
        <v>2303</v>
      </c>
      <c r="L632" s="138" t="s">
        <v>314</v>
      </c>
      <c r="M632" s="138" t="s">
        <v>508</v>
      </c>
    </row>
    <row r="633" spans="1:13" s="114" customFormat="1" ht="25.5">
      <c r="A633" s="136">
        <v>631</v>
      </c>
      <c r="B633" s="129" t="s">
        <v>2304</v>
      </c>
      <c r="C633" s="125">
        <v>6.3</v>
      </c>
      <c r="D633" s="137" t="s">
        <v>2300</v>
      </c>
      <c r="E633" s="84" t="s">
        <v>2305</v>
      </c>
      <c r="F633" s="113"/>
      <c r="G633" s="131"/>
      <c r="H633" s="186" t="s">
        <v>1826</v>
      </c>
      <c r="I633" s="125" t="s">
        <v>327</v>
      </c>
      <c r="J633" s="125" t="s">
        <v>337</v>
      </c>
      <c r="K633" s="125" t="s">
        <v>1827</v>
      </c>
      <c r="L633" s="138" t="s">
        <v>507</v>
      </c>
      <c r="M633" s="138" t="s">
        <v>508</v>
      </c>
    </row>
    <row r="634" spans="1:13" s="114" customFormat="1" ht="25.5">
      <c r="A634" s="136">
        <v>632</v>
      </c>
      <c r="B634" s="129" t="s">
        <v>2306</v>
      </c>
      <c r="C634" s="125">
        <v>6.3</v>
      </c>
      <c r="D634" s="137" t="s">
        <v>2300</v>
      </c>
      <c r="E634" s="84" t="s">
        <v>2307</v>
      </c>
      <c r="F634" s="113"/>
      <c r="G634" s="131"/>
      <c r="H634" s="186" t="s">
        <v>1679</v>
      </c>
      <c r="I634" s="125" t="s">
        <v>327</v>
      </c>
      <c r="J634" s="125" t="s">
        <v>337</v>
      </c>
      <c r="K634" s="125" t="s">
        <v>1680</v>
      </c>
      <c r="L634" s="138" t="s">
        <v>507</v>
      </c>
      <c r="M634" s="138" t="s">
        <v>508</v>
      </c>
    </row>
    <row r="635" spans="1:13" s="114" customFormat="1" ht="25.5">
      <c r="A635" s="136">
        <v>633</v>
      </c>
      <c r="B635" s="129" t="s">
        <v>2308</v>
      </c>
      <c r="C635" s="125">
        <v>6.3</v>
      </c>
      <c r="D635" s="137" t="s">
        <v>2300</v>
      </c>
      <c r="E635" s="84" t="s">
        <v>2309</v>
      </c>
      <c r="F635" s="113"/>
      <c r="G635" s="131"/>
      <c r="H635" s="186" t="s">
        <v>842</v>
      </c>
      <c r="I635" s="125" t="s">
        <v>326</v>
      </c>
      <c r="J635" s="125" t="s">
        <v>352</v>
      </c>
      <c r="K635" s="125" t="s">
        <v>526</v>
      </c>
      <c r="L635" s="138" t="s">
        <v>507</v>
      </c>
      <c r="M635" s="138" t="s">
        <v>508</v>
      </c>
    </row>
    <row r="636" spans="1:13" s="114" customFormat="1" ht="25.5">
      <c r="A636" s="136">
        <v>634</v>
      </c>
      <c r="B636" s="129" t="s">
        <v>2310</v>
      </c>
      <c r="C636" s="125">
        <v>6.3</v>
      </c>
      <c r="D636" s="137" t="s">
        <v>2300</v>
      </c>
      <c r="E636" s="84" t="s">
        <v>2311</v>
      </c>
      <c r="F636" s="113"/>
      <c r="G636" s="131"/>
      <c r="H636" s="186" t="s">
        <v>1007</v>
      </c>
      <c r="I636" s="125" t="s">
        <v>326</v>
      </c>
      <c r="J636" s="125" t="s">
        <v>352</v>
      </c>
      <c r="K636" s="125" t="s">
        <v>526</v>
      </c>
      <c r="L636" s="138" t="s">
        <v>507</v>
      </c>
      <c r="M636" s="138" t="s">
        <v>508</v>
      </c>
    </row>
    <row r="637" spans="1:13" s="114" customFormat="1" ht="38.25">
      <c r="A637" s="136">
        <v>635</v>
      </c>
      <c r="B637" s="129" t="s">
        <v>2312</v>
      </c>
      <c r="C637" s="125">
        <v>6.3</v>
      </c>
      <c r="D637" s="137" t="s">
        <v>2300</v>
      </c>
      <c r="E637" s="84" t="s">
        <v>2313</v>
      </c>
      <c r="F637" s="113"/>
      <c r="G637" s="131"/>
      <c r="H637" s="186" t="s">
        <v>884</v>
      </c>
      <c r="I637" s="125" t="s">
        <v>326</v>
      </c>
      <c r="J637" s="125" t="s">
        <v>331</v>
      </c>
      <c r="K637" s="125" t="s">
        <v>512</v>
      </c>
      <c r="L637" s="138" t="s">
        <v>507</v>
      </c>
      <c r="M637" s="138" t="s">
        <v>508</v>
      </c>
    </row>
    <row r="638" spans="1:13" s="114" customFormat="1" ht="25.5">
      <c r="A638" s="136">
        <v>636</v>
      </c>
      <c r="B638" s="129" t="s">
        <v>2314</v>
      </c>
      <c r="C638" s="125">
        <v>6.3</v>
      </c>
      <c r="D638" s="137" t="s">
        <v>2300</v>
      </c>
      <c r="E638" s="84" t="s">
        <v>2315</v>
      </c>
      <c r="F638" s="113"/>
      <c r="G638" s="131"/>
      <c r="H638" s="186" t="s">
        <v>2316</v>
      </c>
      <c r="I638" s="125" t="s">
        <v>326</v>
      </c>
      <c r="J638" s="125" t="s">
        <v>341</v>
      </c>
      <c r="K638" s="125" t="s">
        <v>580</v>
      </c>
      <c r="L638" s="138" t="s">
        <v>507</v>
      </c>
      <c r="M638" s="138" t="s">
        <v>508</v>
      </c>
    </row>
    <row r="639" spans="1:13" s="114" customFormat="1" ht="25.5">
      <c r="A639" s="136">
        <v>637</v>
      </c>
      <c r="B639" s="129" t="s">
        <v>2317</v>
      </c>
      <c r="C639" s="125">
        <v>6.3</v>
      </c>
      <c r="D639" s="137" t="s">
        <v>2300</v>
      </c>
      <c r="E639" s="84" t="s">
        <v>2318</v>
      </c>
      <c r="F639" s="113"/>
      <c r="G639" s="131"/>
      <c r="H639" s="186" t="s">
        <v>871</v>
      </c>
      <c r="I639" s="125" t="s">
        <v>326</v>
      </c>
      <c r="J639" s="125" t="s">
        <v>352</v>
      </c>
      <c r="K639" s="125" t="s">
        <v>526</v>
      </c>
      <c r="L639" s="138" t="s">
        <v>507</v>
      </c>
      <c r="M639" s="138" t="s">
        <v>508</v>
      </c>
    </row>
    <row r="640" spans="1:13" s="114" customFormat="1" ht="25.5">
      <c r="A640" s="136">
        <v>638</v>
      </c>
      <c r="B640" s="129" t="s">
        <v>2319</v>
      </c>
      <c r="C640" s="125" t="s">
        <v>2320</v>
      </c>
      <c r="D640" s="137" t="s">
        <v>2321</v>
      </c>
      <c r="E640" s="84" t="s">
        <v>2322</v>
      </c>
      <c r="F640" s="113"/>
      <c r="G640" s="131"/>
      <c r="H640" s="186" t="s">
        <v>1671</v>
      </c>
      <c r="I640" s="125" t="s">
        <v>326</v>
      </c>
      <c r="J640" s="125" t="s">
        <v>341</v>
      </c>
      <c r="K640" s="125" t="s">
        <v>580</v>
      </c>
      <c r="L640" s="138" t="s">
        <v>507</v>
      </c>
      <c r="M640" s="138" t="s">
        <v>508</v>
      </c>
    </row>
    <row r="641" spans="1:13" s="114" customFormat="1" ht="38.25">
      <c r="A641" s="136">
        <v>639</v>
      </c>
      <c r="B641" s="129" t="s">
        <v>2323</v>
      </c>
      <c r="C641" s="125" t="s">
        <v>2320</v>
      </c>
      <c r="D641" s="137" t="s">
        <v>2321</v>
      </c>
      <c r="E641" s="84" t="s">
        <v>2324</v>
      </c>
      <c r="F641" s="113"/>
      <c r="G641" s="131"/>
      <c r="H641" s="186" t="s">
        <v>2325</v>
      </c>
      <c r="I641" s="125" t="s">
        <v>326</v>
      </c>
      <c r="J641" s="125" t="s">
        <v>346</v>
      </c>
      <c r="K641" s="125" t="s">
        <v>761</v>
      </c>
      <c r="L641" s="138" t="s">
        <v>316</v>
      </c>
      <c r="M641" s="125" t="s">
        <v>2326</v>
      </c>
    </row>
    <row r="642" spans="1:13" s="114" customFormat="1" ht="38.25">
      <c r="A642" s="136">
        <v>640</v>
      </c>
      <c r="B642" s="129" t="s">
        <v>2327</v>
      </c>
      <c r="C642" s="125" t="s">
        <v>2328</v>
      </c>
      <c r="D642" s="137" t="s">
        <v>2329</v>
      </c>
      <c r="E642" s="84" t="s">
        <v>2330</v>
      </c>
      <c r="F642" s="113"/>
      <c r="G642" s="131"/>
      <c r="H642" s="186" t="s">
        <v>1568</v>
      </c>
      <c r="I642" s="125" t="s">
        <v>326</v>
      </c>
      <c r="J642" s="125" t="s">
        <v>346</v>
      </c>
      <c r="K642" s="125" t="s">
        <v>761</v>
      </c>
      <c r="L642" s="138" t="s">
        <v>507</v>
      </c>
      <c r="M642" s="138" t="s">
        <v>508</v>
      </c>
    </row>
    <row r="643" spans="1:13" s="114" customFormat="1" ht="38.25">
      <c r="A643" s="136">
        <v>641</v>
      </c>
      <c r="B643" s="129" t="s">
        <v>2331</v>
      </c>
      <c r="C643" s="125" t="s">
        <v>2328</v>
      </c>
      <c r="D643" s="137" t="s">
        <v>2329</v>
      </c>
      <c r="E643" s="84" t="s">
        <v>2332</v>
      </c>
      <c r="F643" s="113"/>
      <c r="G643" s="131"/>
      <c r="H643" s="186" t="s">
        <v>2333</v>
      </c>
      <c r="I643" s="125" t="s">
        <v>326</v>
      </c>
      <c r="J643" s="125" t="s">
        <v>341</v>
      </c>
      <c r="K643" s="125" t="s">
        <v>1736</v>
      </c>
      <c r="L643" s="138" t="s">
        <v>316</v>
      </c>
      <c r="M643" s="125" t="s">
        <v>2326</v>
      </c>
    </row>
    <row r="644" spans="1:13" s="114" customFormat="1" ht="38.25">
      <c r="A644" s="136">
        <v>642</v>
      </c>
      <c r="B644" s="129" t="s">
        <v>2334</v>
      </c>
      <c r="C644" s="125" t="s">
        <v>2328</v>
      </c>
      <c r="D644" s="137" t="s">
        <v>2329</v>
      </c>
      <c r="E644" s="84" t="s">
        <v>2335</v>
      </c>
      <c r="F644" s="113"/>
      <c r="G644" s="131"/>
      <c r="H644" s="186" t="s">
        <v>2323</v>
      </c>
      <c r="I644" s="125" t="s">
        <v>326</v>
      </c>
      <c r="J644" s="125" t="s">
        <v>346</v>
      </c>
      <c r="K644" s="125" t="s">
        <v>761</v>
      </c>
      <c r="L644" s="138" t="s">
        <v>316</v>
      </c>
      <c r="M644" s="125" t="s">
        <v>2326</v>
      </c>
    </row>
    <row r="645" spans="1:13" s="114" customFormat="1" ht="38.25">
      <c r="A645" s="136">
        <v>643</v>
      </c>
      <c r="B645" s="129" t="s">
        <v>2336</v>
      </c>
      <c r="C645" s="125" t="s">
        <v>2328</v>
      </c>
      <c r="D645" s="137" t="s">
        <v>2329</v>
      </c>
      <c r="E645" s="84" t="s">
        <v>2337</v>
      </c>
      <c r="F645" s="113"/>
      <c r="G645" s="131"/>
      <c r="H645" s="186" t="s">
        <v>2323</v>
      </c>
      <c r="I645" s="125" t="s">
        <v>326</v>
      </c>
      <c r="J645" s="125" t="s">
        <v>346</v>
      </c>
      <c r="K645" s="125" t="s">
        <v>761</v>
      </c>
      <c r="L645" s="138" t="s">
        <v>316</v>
      </c>
      <c r="M645" s="125" t="s">
        <v>2326</v>
      </c>
    </row>
    <row r="646" spans="1:13" s="114" customFormat="1" ht="25.5">
      <c r="A646" s="136">
        <v>644</v>
      </c>
      <c r="B646" s="129" t="s">
        <v>2338</v>
      </c>
      <c r="C646" s="125" t="s">
        <v>2339</v>
      </c>
      <c r="D646" s="137" t="s">
        <v>2340</v>
      </c>
      <c r="E646" s="84" t="s">
        <v>2341</v>
      </c>
      <c r="F646" s="113"/>
      <c r="G646" s="131"/>
      <c r="H646" s="186" t="s">
        <v>1603</v>
      </c>
      <c r="I646" s="125" t="s">
        <v>326</v>
      </c>
      <c r="J646" s="125" t="s">
        <v>352</v>
      </c>
      <c r="K646" s="125" t="s">
        <v>597</v>
      </c>
      <c r="L646" s="138" t="s">
        <v>507</v>
      </c>
      <c r="M646" s="138" t="s">
        <v>508</v>
      </c>
    </row>
    <row r="647" spans="1:13" s="114" customFormat="1" ht="38.25">
      <c r="A647" s="136">
        <v>645</v>
      </c>
      <c r="B647" s="129" t="s">
        <v>2342</v>
      </c>
      <c r="C647" s="125" t="s">
        <v>2339</v>
      </c>
      <c r="D647" s="137" t="s">
        <v>2340</v>
      </c>
      <c r="E647" s="84" t="s">
        <v>2343</v>
      </c>
      <c r="F647" s="113"/>
      <c r="G647" s="131"/>
      <c r="H647" s="186" t="s">
        <v>1603</v>
      </c>
      <c r="I647" s="125" t="s">
        <v>326</v>
      </c>
      <c r="J647" s="125" t="s">
        <v>352</v>
      </c>
      <c r="K647" s="125" t="s">
        <v>597</v>
      </c>
      <c r="L647" s="138" t="s">
        <v>507</v>
      </c>
      <c r="M647" s="138" t="s">
        <v>508</v>
      </c>
    </row>
    <row r="648" spans="1:13" s="114" customFormat="1" ht="38.25">
      <c r="A648" s="136">
        <v>646</v>
      </c>
      <c r="B648" s="129" t="s">
        <v>2344</v>
      </c>
      <c r="C648" s="125" t="s">
        <v>2345</v>
      </c>
      <c r="D648" s="137" t="s">
        <v>2346</v>
      </c>
      <c r="E648" s="84" t="s">
        <v>2347</v>
      </c>
      <c r="F648" s="113"/>
      <c r="G648" s="131"/>
      <c r="H648" s="186" t="s">
        <v>535</v>
      </c>
      <c r="I648" s="125" t="s">
        <v>326</v>
      </c>
      <c r="J648" s="125" t="s">
        <v>331</v>
      </c>
      <c r="K648" s="125" t="s">
        <v>512</v>
      </c>
      <c r="L648" s="138" t="s">
        <v>507</v>
      </c>
      <c r="M648" s="138" t="s">
        <v>508</v>
      </c>
    </row>
    <row r="649" spans="1:13" s="114" customFormat="1" ht="38.25">
      <c r="A649" s="136">
        <v>647</v>
      </c>
      <c r="B649" s="129" t="s">
        <v>2348</v>
      </c>
      <c r="C649" s="125" t="s">
        <v>2345</v>
      </c>
      <c r="D649" s="137" t="s">
        <v>2346</v>
      </c>
      <c r="E649" s="84" t="s">
        <v>2349</v>
      </c>
      <c r="F649" s="113"/>
      <c r="G649" s="131"/>
      <c r="H649" s="186" t="s">
        <v>535</v>
      </c>
      <c r="I649" s="125" t="s">
        <v>326</v>
      </c>
      <c r="J649" s="125" t="s">
        <v>331</v>
      </c>
      <c r="K649" s="125" t="s">
        <v>512</v>
      </c>
      <c r="L649" s="138" t="s">
        <v>507</v>
      </c>
      <c r="M649" s="138" t="s">
        <v>508</v>
      </c>
    </row>
    <row r="650" spans="1:13" s="114" customFormat="1" ht="38.25">
      <c r="A650" s="136">
        <v>648</v>
      </c>
      <c r="B650" s="129" t="s">
        <v>2350</v>
      </c>
      <c r="C650" s="125" t="s">
        <v>2345</v>
      </c>
      <c r="D650" s="137" t="s">
        <v>2346</v>
      </c>
      <c r="E650" s="84" t="s">
        <v>2351</v>
      </c>
      <c r="F650" s="113"/>
      <c r="G650" s="131"/>
      <c r="H650" s="186" t="s">
        <v>513</v>
      </c>
      <c r="I650" s="125" t="s">
        <v>326</v>
      </c>
      <c r="J650" s="125" t="s">
        <v>331</v>
      </c>
      <c r="K650" s="125" t="s">
        <v>512</v>
      </c>
      <c r="L650" s="138" t="s">
        <v>507</v>
      </c>
      <c r="M650" s="138" t="s">
        <v>508</v>
      </c>
    </row>
    <row r="651" spans="1:13" s="114" customFormat="1" ht="38.25">
      <c r="A651" s="136">
        <v>649</v>
      </c>
      <c r="B651" s="129" t="s">
        <v>2352</v>
      </c>
      <c r="C651" s="125" t="s">
        <v>2345</v>
      </c>
      <c r="D651" s="137" t="s">
        <v>2346</v>
      </c>
      <c r="E651" s="84" t="s">
        <v>2353</v>
      </c>
      <c r="F651" s="113"/>
      <c r="G651" s="131"/>
      <c r="H651" s="186" t="s">
        <v>535</v>
      </c>
      <c r="I651" s="125" t="s">
        <v>326</v>
      </c>
      <c r="J651" s="125" t="s">
        <v>331</v>
      </c>
      <c r="K651" s="125" t="s">
        <v>512</v>
      </c>
      <c r="L651" s="138" t="s">
        <v>507</v>
      </c>
      <c r="M651" s="138" t="s">
        <v>508</v>
      </c>
    </row>
    <row r="652" spans="1:13" s="114" customFormat="1" ht="38.25">
      <c r="A652" s="136">
        <v>650</v>
      </c>
      <c r="B652" s="129" t="s">
        <v>2354</v>
      </c>
      <c r="C652" s="125" t="s">
        <v>2345</v>
      </c>
      <c r="D652" s="137" t="s">
        <v>2346</v>
      </c>
      <c r="E652" s="84" t="s">
        <v>2355</v>
      </c>
      <c r="F652" s="113"/>
      <c r="G652" s="131"/>
      <c r="H652" s="186" t="s">
        <v>509</v>
      </c>
      <c r="I652" s="125" t="s">
        <v>326</v>
      </c>
      <c r="J652" s="125" t="s">
        <v>331</v>
      </c>
      <c r="K652" s="125" t="s">
        <v>512</v>
      </c>
      <c r="L652" s="107" t="s">
        <v>507</v>
      </c>
      <c r="M652" s="138" t="s">
        <v>508</v>
      </c>
    </row>
    <row r="653" spans="1:13" s="114" customFormat="1" ht="38.25">
      <c r="A653" s="136">
        <v>651</v>
      </c>
      <c r="B653" s="129" t="s">
        <v>2356</v>
      </c>
      <c r="C653" s="125" t="s">
        <v>2345</v>
      </c>
      <c r="D653" s="137" t="s">
        <v>2346</v>
      </c>
      <c r="E653" s="84" t="s">
        <v>2357</v>
      </c>
      <c r="F653" s="113"/>
      <c r="G653" s="131"/>
      <c r="H653" s="186" t="s">
        <v>2358</v>
      </c>
      <c r="I653" s="125" t="s">
        <v>326</v>
      </c>
      <c r="J653" s="125" t="s">
        <v>331</v>
      </c>
      <c r="K653" s="125" t="s">
        <v>512</v>
      </c>
      <c r="L653" s="138" t="s">
        <v>507</v>
      </c>
      <c r="M653" s="138" t="s">
        <v>508</v>
      </c>
    </row>
    <row r="654" spans="1:13" s="114" customFormat="1" ht="38.25">
      <c r="A654" s="136">
        <v>652</v>
      </c>
      <c r="B654" s="129" t="s">
        <v>2359</v>
      </c>
      <c r="C654" s="125" t="s">
        <v>2345</v>
      </c>
      <c r="D654" s="137" t="s">
        <v>2346</v>
      </c>
      <c r="E654" s="84" t="s">
        <v>2360</v>
      </c>
      <c r="F654" s="113"/>
      <c r="G654" s="131"/>
      <c r="H654" s="186" t="s">
        <v>535</v>
      </c>
      <c r="I654" s="125" t="s">
        <v>326</v>
      </c>
      <c r="J654" s="125" t="s">
        <v>331</v>
      </c>
      <c r="K654" s="125" t="s">
        <v>512</v>
      </c>
      <c r="L654" s="138" t="s">
        <v>507</v>
      </c>
      <c r="M654" s="138" t="s">
        <v>508</v>
      </c>
    </row>
    <row r="655" spans="1:13" s="114" customFormat="1" ht="38.25">
      <c r="A655" s="136">
        <v>653</v>
      </c>
      <c r="B655" s="129" t="s">
        <v>2361</v>
      </c>
      <c r="C655" s="125" t="s">
        <v>2362</v>
      </c>
      <c r="D655" s="137" t="s">
        <v>2363</v>
      </c>
      <c r="E655" s="84" t="s">
        <v>2364</v>
      </c>
      <c r="F655" s="113"/>
      <c r="G655" s="131"/>
      <c r="H655" s="186" t="s">
        <v>1209</v>
      </c>
      <c r="I655" s="125" t="s">
        <v>326</v>
      </c>
      <c r="J655" s="125" t="s">
        <v>331</v>
      </c>
      <c r="K655" s="125" t="s">
        <v>1178</v>
      </c>
      <c r="L655" s="138" t="s">
        <v>507</v>
      </c>
      <c r="M655" s="138" t="s">
        <v>508</v>
      </c>
    </row>
    <row r="656" spans="1:13" s="114" customFormat="1" ht="38.25">
      <c r="A656" s="136">
        <v>654</v>
      </c>
      <c r="B656" s="129" t="s">
        <v>2365</v>
      </c>
      <c r="C656" s="125" t="s">
        <v>2362</v>
      </c>
      <c r="D656" s="137" t="s">
        <v>2363</v>
      </c>
      <c r="E656" s="84" t="s">
        <v>2366</v>
      </c>
      <c r="F656" s="113"/>
      <c r="G656" s="131"/>
      <c r="H656" s="186" t="s">
        <v>905</v>
      </c>
      <c r="I656" s="125" t="s">
        <v>326</v>
      </c>
      <c r="J656" s="125" t="s">
        <v>331</v>
      </c>
      <c r="K656" s="125" t="s">
        <v>506</v>
      </c>
      <c r="L656" s="138" t="s">
        <v>507</v>
      </c>
      <c r="M656" s="138" t="s">
        <v>508</v>
      </c>
    </row>
    <row r="657" spans="1:13" s="114" customFormat="1" ht="38.25">
      <c r="A657" s="136">
        <v>655</v>
      </c>
      <c r="B657" s="129" t="s">
        <v>2367</v>
      </c>
      <c r="C657" s="125" t="s">
        <v>2362</v>
      </c>
      <c r="D657" s="137" t="s">
        <v>2363</v>
      </c>
      <c r="E657" s="84" t="s">
        <v>2368</v>
      </c>
      <c r="F657" s="113"/>
      <c r="G657" s="131"/>
      <c r="H657" s="186" t="s">
        <v>905</v>
      </c>
      <c r="I657" s="125" t="s">
        <v>326</v>
      </c>
      <c r="J657" s="125" t="s">
        <v>331</v>
      </c>
      <c r="K657" s="125" t="s">
        <v>506</v>
      </c>
      <c r="L657" s="138" t="s">
        <v>507</v>
      </c>
      <c r="M657" s="138" t="s">
        <v>508</v>
      </c>
    </row>
    <row r="658" spans="1:13" s="114" customFormat="1" ht="38.25">
      <c r="A658" s="136">
        <v>656</v>
      </c>
      <c r="B658" s="129" t="s">
        <v>2369</v>
      </c>
      <c r="C658" s="125" t="s">
        <v>2370</v>
      </c>
      <c r="D658" s="137" t="s">
        <v>2371</v>
      </c>
      <c r="E658" s="84" t="s">
        <v>2372</v>
      </c>
      <c r="F658" s="113"/>
      <c r="G658" s="131"/>
      <c r="H658" s="186" t="s">
        <v>2333</v>
      </c>
      <c r="I658" s="125" t="s">
        <v>326</v>
      </c>
      <c r="J658" s="125" t="s">
        <v>341</v>
      </c>
      <c r="K658" s="125" t="s">
        <v>1736</v>
      </c>
      <c r="L658" s="138" t="s">
        <v>507</v>
      </c>
      <c r="M658" s="125" t="s">
        <v>2326</v>
      </c>
    </row>
    <row r="659" spans="1:13" s="114" customFormat="1" ht="38.25">
      <c r="A659" s="136">
        <v>657</v>
      </c>
      <c r="B659" s="129" t="s">
        <v>2373</v>
      </c>
      <c r="C659" s="125" t="s">
        <v>2370</v>
      </c>
      <c r="D659" s="137" t="s">
        <v>2371</v>
      </c>
      <c r="E659" s="84" t="s">
        <v>2374</v>
      </c>
      <c r="F659" s="113"/>
      <c r="G659" s="131"/>
      <c r="H659" s="186" t="s">
        <v>2375</v>
      </c>
      <c r="I659" s="125" t="s">
        <v>326</v>
      </c>
      <c r="J659" s="125" t="s">
        <v>346</v>
      </c>
      <c r="K659" s="125" t="s">
        <v>761</v>
      </c>
      <c r="L659" s="138" t="s">
        <v>507</v>
      </c>
      <c r="M659" s="125" t="s">
        <v>2326</v>
      </c>
    </row>
    <row r="660" spans="1:13" s="114" customFormat="1" ht="38.25">
      <c r="A660" s="136">
        <v>658</v>
      </c>
      <c r="B660" s="129" t="s">
        <v>2376</v>
      </c>
      <c r="C660" s="125" t="s">
        <v>2370</v>
      </c>
      <c r="D660" s="137" t="s">
        <v>2371</v>
      </c>
      <c r="E660" s="84" t="s">
        <v>2377</v>
      </c>
      <c r="F660" s="113"/>
      <c r="G660" s="131"/>
      <c r="H660" s="186" t="s">
        <v>509</v>
      </c>
      <c r="I660" s="125" t="s">
        <v>326</v>
      </c>
      <c r="J660" s="125" t="s">
        <v>331</v>
      </c>
      <c r="K660" s="125" t="s">
        <v>512</v>
      </c>
      <c r="L660" s="138" t="s">
        <v>507</v>
      </c>
      <c r="M660" s="138" t="s">
        <v>508</v>
      </c>
    </row>
    <row r="661" spans="1:13" s="114" customFormat="1" ht="63.75">
      <c r="A661" s="136">
        <v>659</v>
      </c>
      <c r="B661" s="129" t="s">
        <v>2378</v>
      </c>
      <c r="C661" s="125" t="s">
        <v>2379</v>
      </c>
      <c r="D661" s="137" t="s">
        <v>2380</v>
      </c>
      <c r="E661" s="84" t="s">
        <v>2381</v>
      </c>
      <c r="F661" s="113"/>
      <c r="G661" s="131"/>
      <c r="H661" s="186" t="s">
        <v>1221</v>
      </c>
      <c r="I661" s="125" t="s">
        <v>326</v>
      </c>
      <c r="J661" s="125" t="s">
        <v>331</v>
      </c>
      <c r="K661" s="125" t="s">
        <v>1178</v>
      </c>
      <c r="L661" s="138" t="s">
        <v>507</v>
      </c>
      <c r="M661" s="138" t="s">
        <v>508</v>
      </c>
    </row>
    <row r="662" spans="1:13" s="114" customFormat="1" ht="25.5">
      <c r="A662" s="136">
        <v>660</v>
      </c>
      <c r="B662" s="129" t="s">
        <v>2382</v>
      </c>
      <c r="C662" s="125" t="s">
        <v>2379</v>
      </c>
      <c r="D662" s="137" t="s">
        <v>2380</v>
      </c>
      <c r="E662" s="84" t="s">
        <v>2383</v>
      </c>
      <c r="F662" s="113"/>
      <c r="G662" s="131"/>
      <c r="H662" s="186" t="s">
        <v>1650</v>
      </c>
      <c r="I662" s="125" t="s">
        <v>326</v>
      </c>
      <c r="J662" s="125" t="s">
        <v>341</v>
      </c>
      <c r="K662" s="125" t="s">
        <v>580</v>
      </c>
      <c r="L662" s="138" t="s">
        <v>507</v>
      </c>
      <c r="M662" s="138" t="s">
        <v>508</v>
      </c>
    </row>
    <row r="663" spans="1:13" s="114" customFormat="1" ht="25.5">
      <c r="A663" s="136">
        <v>661</v>
      </c>
      <c r="B663" s="129" t="s">
        <v>2384</v>
      </c>
      <c r="C663" s="125" t="s">
        <v>2379</v>
      </c>
      <c r="D663" s="137" t="s">
        <v>2380</v>
      </c>
      <c r="E663" s="84" t="s">
        <v>2385</v>
      </c>
      <c r="F663" s="113"/>
      <c r="G663" s="131"/>
      <c r="H663" s="186" t="s">
        <v>1650</v>
      </c>
      <c r="I663" s="125" t="s">
        <v>326</v>
      </c>
      <c r="J663" s="125" t="s">
        <v>341</v>
      </c>
      <c r="K663" s="125" t="s">
        <v>580</v>
      </c>
      <c r="L663" s="138" t="s">
        <v>507</v>
      </c>
      <c r="M663" s="138" t="s">
        <v>508</v>
      </c>
    </row>
    <row r="664" spans="1:13" s="114" customFormat="1" ht="25.5">
      <c r="A664" s="136">
        <v>662</v>
      </c>
      <c r="B664" s="129" t="s">
        <v>2386</v>
      </c>
      <c r="C664" s="125" t="s">
        <v>2379</v>
      </c>
      <c r="D664" s="137" t="s">
        <v>2380</v>
      </c>
      <c r="E664" s="84" t="s">
        <v>2387</v>
      </c>
      <c r="F664" s="113"/>
      <c r="G664" s="131"/>
      <c r="H664" s="186" t="s">
        <v>1650</v>
      </c>
      <c r="I664" s="125" t="s">
        <v>326</v>
      </c>
      <c r="J664" s="125" t="s">
        <v>341</v>
      </c>
      <c r="K664" s="125" t="s">
        <v>580</v>
      </c>
      <c r="L664" s="138" t="s">
        <v>507</v>
      </c>
      <c r="M664" s="138" t="s">
        <v>508</v>
      </c>
    </row>
    <row r="665" spans="1:13" s="114" customFormat="1" ht="25.5">
      <c r="A665" s="136">
        <v>663</v>
      </c>
      <c r="B665" s="129" t="s">
        <v>2388</v>
      </c>
      <c r="C665" s="125" t="s">
        <v>2379</v>
      </c>
      <c r="D665" s="137" t="s">
        <v>2380</v>
      </c>
      <c r="E665" s="84" t="s">
        <v>2389</v>
      </c>
      <c r="F665" s="113"/>
      <c r="G665" s="131"/>
      <c r="H665" s="186" t="s">
        <v>577</v>
      </c>
      <c r="I665" s="125" t="s">
        <v>326</v>
      </c>
      <c r="J665" s="125" t="s">
        <v>341</v>
      </c>
      <c r="K665" s="125" t="s">
        <v>580</v>
      </c>
      <c r="L665" s="138" t="s">
        <v>507</v>
      </c>
      <c r="M665" s="138" t="s">
        <v>508</v>
      </c>
    </row>
    <row r="666" spans="1:13" s="114" customFormat="1" ht="12.75">
      <c r="A666" s="136">
        <v>664</v>
      </c>
      <c r="B666" s="129" t="s">
        <v>2390</v>
      </c>
      <c r="C666" s="125" t="s">
        <v>2391</v>
      </c>
      <c r="D666" s="137" t="s">
        <v>2392</v>
      </c>
      <c r="E666" s="84" t="s">
        <v>2393</v>
      </c>
      <c r="F666" s="113"/>
      <c r="G666" s="131"/>
      <c r="H666" s="186" t="s">
        <v>600</v>
      </c>
      <c r="I666" s="125" t="s">
        <v>326</v>
      </c>
      <c r="J666" s="125" t="s">
        <v>341</v>
      </c>
      <c r="K666" s="125" t="s">
        <v>601</v>
      </c>
      <c r="L666" s="138" t="s">
        <v>507</v>
      </c>
      <c r="M666" s="138" t="s">
        <v>508</v>
      </c>
    </row>
    <row r="667" spans="1:13" s="114" customFormat="1" ht="38.25">
      <c r="A667" s="136">
        <v>665</v>
      </c>
      <c r="B667" s="129" t="s">
        <v>2394</v>
      </c>
      <c r="C667" s="125" t="s">
        <v>2391</v>
      </c>
      <c r="D667" s="137" t="s">
        <v>2392</v>
      </c>
      <c r="E667" s="84" t="s">
        <v>2395</v>
      </c>
      <c r="F667" s="113"/>
      <c r="G667" s="131"/>
      <c r="H667" s="186" t="s">
        <v>2333</v>
      </c>
      <c r="I667" s="125" t="s">
        <v>326</v>
      </c>
      <c r="J667" s="125" t="s">
        <v>341</v>
      </c>
      <c r="K667" s="125" t="s">
        <v>1736</v>
      </c>
      <c r="L667" s="138" t="s">
        <v>507</v>
      </c>
      <c r="M667" s="125" t="s">
        <v>2326</v>
      </c>
    </row>
    <row r="668" spans="1:13" s="114" customFormat="1" ht="38.25">
      <c r="A668" s="136">
        <v>666</v>
      </c>
      <c r="B668" s="129" t="s">
        <v>2396</v>
      </c>
      <c r="C668" s="125" t="s">
        <v>2391</v>
      </c>
      <c r="D668" s="137" t="s">
        <v>2392</v>
      </c>
      <c r="E668" s="84" t="s">
        <v>2397</v>
      </c>
      <c r="F668" s="113"/>
      <c r="G668" s="131"/>
      <c r="H668" s="186" t="s">
        <v>2333</v>
      </c>
      <c r="I668" s="125" t="s">
        <v>326</v>
      </c>
      <c r="J668" s="125" t="s">
        <v>341</v>
      </c>
      <c r="K668" s="125" t="s">
        <v>1736</v>
      </c>
      <c r="L668" s="138" t="s">
        <v>507</v>
      </c>
      <c r="M668" s="125" t="s">
        <v>2326</v>
      </c>
    </row>
    <row r="669" spans="1:13" s="114" customFormat="1" ht="25.5">
      <c r="A669" s="136">
        <v>667</v>
      </c>
      <c r="B669" s="129" t="s">
        <v>2398</v>
      </c>
      <c r="C669" s="125" t="s">
        <v>2391</v>
      </c>
      <c r="D669" s="137" t="s">
        <v>2392</v>
      </c>
      <c r="E669" s="84" t="s">
        <v>2399</v>
      </c>
      <c r="F669" s="113"/>
      <c r="G669" s="131"/>
      <c r="H669" s="186" t="s">
        <v>1474</v>
      </c>
      <c r="I669" s="125" t="s">
        <v>326</v>
      </c>
      <c r="J669" s="125" t="s">
        <v>341</v>
      </c>
      <c r="K669" s="125" t="s">
        <v>580</v>
      </c>
      <c r="L669" s="138" t="s">
        <v>507</v>
      </c>
      <c r="M669" s="138" t="s">
        <v>508</v>
      </c>
    </row>
    <row r="670" spans="1:13" s="114" customFormat="1" ht="25.5">
      <c r="A670" s="136">
        <v>668</v>
      </c>
      <c r="B670" s="129" t="s">
        <v>2400</v>
      </c>
      <c r="C670" s="125" t="s">
        <v>2391</v>
      </c>
      <c r="D670" s="137" t="s">
        <v>2392</v>
      </c>
      <c r="E670" s="84" t="s">
        <v>2401</v>
      </c>
      <c r="F670" s="113"/>
      <c r="G670" s="131"/>
      <c r="H670" s="186" t="s">
        <v>1650</v>
      </c>
      <c r="I670" s="125" t="s">
        <v>326</v>
      </c>
      <c r="J670" s="125" t="s">
        <v>341</v>
      </c>
      <c r="K670" s="125" t="s">
        <v>580</v>
      </c>
      <c r="L670" s="138" t="s">
        <v>507</v>
      </c>
      <c r="M670" s="138" t="s">
        <v>508</v>
      </c>
    </row>
    <row r="671" spans="1:13" s="114" customFormat="1" ht="51">
      <c r="A671" s="136">
        <v>669</v>
      </c>
      <c r="B671" s="129" t="s">
        <v>2402</v>
      </c>
      <c r="C671" s="125" t="s">
        <v>2403</v>
      </c>
      <c r="D671" s="137" t="s">
        <v>2404</v>
      </c>
      <c r="E671" s="84" t="s">
        <v>2405</v>
      </c>
      <c r="F671" s="113"/>
      <c r="G671" s="131"/>
      <c r="H671" s="186" t="s">
        <v>1148</v>
      </c>
      <c r="I671" s="125" t="s">
        <v>326</v>
      </c>
      <c r="J671" s="125" t="s">
        <v>331</v>
      </c>
      <c r="K671" s="125" t="s">
        <v>530</v>
      </c>
      <c r="L671" s="138" t="s">
        <v>507</v>
      </c>
      <c r="M671" s="138" t="s">
        <v>508</v>
      </c>
    </row>
    <row r="672" spans="1:13" s="114" customFormat="1" ht="51">
      <c r="A672" s="136">
        <v>670</v>
      </c>
      <c r="B672" s="129" t="s">
        <v>2406</v>
      </c>
      <c r="C672" s="125" t="s">
        <v>2407</v>
      </c>
      <c r="D672" s="137" t="s">
        <v>2408</v>
      </c>
      <c r="E672" s="84" t="s">
        <v>2409</v>
      </c>
      <c r="F672" s="113"/>
      <c r="G672" s="131"/>
      <c r="H672" s="186" t="s">
        <v>1579</v>
      </c>
      <c r="I672" s="125" t="s">
        <v>327</v>
      </c>
      <c r="J672" s="125" t="s">
        <v>337</v>
      </c>
      <c r="K672" s="125" t="s">
        <v>1440</v>
      </c>
      <c r="L672" s="138" t="s">
        <v>314</v>
      </c>
      <c r="M672" s="138" t="s">
        <v>953</v>
      </c>
    </row>
    <row r="673" spans="1:13" s="114" customFormat="1" ht="25.5">
      <c r="A673" s="136">
        <v>671</v>
      </c>
      <c r="B673" s="129" t="s">
        <v>2410</v>
      </c>
      <c r="C673" s="125" t="s">
        <v>2407</v>
      </c>
      <c r="D673" s="137" t="s">
        <v>2408</v>
      </c>
      <c r="E673" s="84" t="s">
        <v>2411</v>
      </c>
      <c r="F673" s="113"/>
      <c r="G673" s="131"/>
      <c r="H673" s="186" t="s">
        <v>1070</v>
      </c>
      <c r="I673" s="125" t="s">
        <v>327</v>
      </c>
      <c r="J673" s="125" t="s">
        <v>337</v>
      </c>
      <c r="K673" s="125" t="s">
        <v>1071</v>
      </c>
      <c r="L673" s="138" t="s">
        <v>314</v>
      </c>
      <c r="M673" s="138" t="s">
        <v>508</v>
      </c>
    </row>
    <row r="674" spans="1:13" s="114" customFormat="1" ht="51">
      <c r="A674" s="136">
        <v>672</v>
      </c>
      <c r="B674" s="129" t="s">
        <v>2412</v>
      </c>
      <c r="C674" s="125" t="s">
        <v>2413</v>
      </c>
      <c r="D674" s="137" t="s">
        <v>2414</v>
      </c>
      <c r="E674" s="84" t="s">
        <v>2415</v>
      </c>
      <c r="F674" s="113"/>
      <c r="G674" s="131"/>
      <c r="H674" s="186" t="s">
        <v>1272</v>
      </c>
      <c r="I674" s="125" t="s">
        <v>326</v>
      </c>
      <c r="J674" s="125" t="s">
        <v>331</v>
      </c>
      <c r="K674" s="125" t="s">
        <v>530</v>
      </c>
      <c r="L674" s="138" t="s">
        <v>507</v>
      </c>
      <c r="M674" s="138" t="s">
        <v>508</v>
      </c>
    </row>
    <row r="675" spans="1:13" s="114" customFormat="1" ht="38.25">
      <c r="A675" s="136">
        <v>673</v>
      </c>
      <c r="B675" s="129" t="s">
        <v>2375</v>
      </c>
      <c r="C675" s="125" t="s">
        <v>2413</v>
      </c>
      <c r="D675" s="137" t="s">
        <v>2414</v>
      </c>
      <c r="E675" s="84" t="s">
        <v>2416</v>
      </c>
      <c r="F675" s="113"/>
      <c r="G675" s="131"/>
      <c r="H675" s="186" t="s">
        <v>2417</v>
      </c>
      <c r="I675" s="125" t="s">
        <v>326</v>
      </c>
      <c r="J675" s="125" t="s">
        <v>346</v>
      </c>
      <c r="K675" s="125" t="s">
        <v>761</v>
      </c>
      <c r="L675" s="138" t="s">
        <v>316</v>
      </c>
      <c r="M675" s="125" t="s">
        <v>2326</v>
      </c>
    </row>
    <row r="676" spans="1:13" s="114" customFormat="1" ht="51">
      <c r="A676" s="136">
        <v>674</v>
      </c>
      <c r="B676" s="129" t="s">
        <v>2418</v>
      </c>
      <c r="C676" s="125" t="s">
        <v>2413</v>
      </c>
      <c r="D676" s="137" t="s">
        <v>2414</v>
      </c>
      <c r="E676" s="84" t="s">
        <v>2419</v>
      </c>
      <c r="F676" s="113"/>
      <c r="G676" s="131"/>
      <c r="H676" s="186" t="s">
        <v>1170</v>
      </c>
      <c r="I676" s="125" t="s">
        <v>326</v>
      </c>
      <c r="J676" s="125" t="s">
        <v>331</v>
      </c>
      <c r="K676" s="125" t="s">
        <v>530</v>
      </c>
      <c r="L676" s="138" t="s">
        <v>507</v>
      </c>
      <c r="M676" s="138" t="s">
        <v>508</v>
      </c>
    </row>
    <row r="677" spans="1:13" s="114" customFormat="1" ht="38.25">
      <c r="A677" s="136">
        <v>675</v>
      </c>
      <c r="B677" s="129" t="s">
        <v>2420</v>
      </c>
      <c r="C677" s="125" t="s">
        <v>2421</v>
      </c>
      <c r="D677" s="137" t="s">
        <v>2422</v>
      </c>
      <c r="E677" s="84" t="s">
        <v>2423</v>
      </c>
      <c r="F677" s="113"/>
      <c r="G677" s="131"/>
      <c r="H677" s="186" t="s">
        <v>509</v>
      </c>
      <c r="I677" s="125" t="s">
        <v>326</v>
      </c>
      <c r="J677" s="125" t="s">
        <v>331</v>
      </c>
      <c r="K677" s="125" t="s">
        <v>512</v>
      </c>
      <c r="L677" s="138" t="s">
        <v>507</v>
      </c>
      <c r="M677" s="138" t="s">
        <v>508</v>
      </c>
    </row>
    <row r="678" spans="1:13" s="114" customFormat="1" ht="25.5">
      <c r="A678" s="136">
        <v>676</v>
      </c>
      <c r="B678" s="129" t="s">
        <v>2424</v>
      </c>
      <c r="C678" s="125" t="s">
        <v>2421</v>
      </c>
      <c r="D678" s="137" t="s">
        <v>2422</v>
      </c>
      <c r="E678" s="84" t="s">
        <v>2425</v>
      </c>
      <c r="F678" s="113"/>
      <c r="G678" s="131"/>
      <c r="H678" s="186" t="s">
        <v>1650</v>
      </c>
      <c r="I678" s="125" t="s">
        <v>326</v>
      </c>
      <c r="J678" s="125" t="s">
        <v>341</v>
      </c>
      <c r="K678" s="125" t="s">
        <v>580</v>
      </c>
      <c r="L678" s="138" t="s">
        <v>507</v>
      </c>
      <c r="M678" s="138" t="s">
        <v>508</v>
      </c>
    </row>
    <row r="679" spans="1:13" s="114" customFormat="1" ht="51">
      <c r="A679" s="136">
        <v>677</v>
      </c>
      <c r="B679" s="129" t="s">
        <v>2426</v>
      </c>
      <c r="C679" s="125" t="s">
        <v>2427</v>
      </c>
      <c r="D679" s="137" t="s">
        <v>2404</v>
      </c>
      <c r="E679" s="84" t="s">
        <v>2428</v>
      </c>
      <c r="F679" s="113"/>
      <c r="G679" s="131"/>
      <c r="H679" s="186" t="s">
        <v>608</v>
      </c>
      <c r="I679" s="125" t="s">
        <v>326</v>
      </c>
      <c r="J679" s="125" t="s">
        <v>331</v>
      </c>
      <c r="K679" s="125" t="s">
        <v>530</v>
      </c>
      <c r="L679" s="138" t="s">
        <v>507</v>
      </c>
      <c r="M679" s="138" t="s">
        <v>508</v>
      </c>
    </row>
    <row r="680" spans="1:13" s="114" customFormat="1" ht="51">
      <c r="A680" s="136">
        <v>678</v>
      </c>
      <c r="B680" s="129" t="s">
        <v>2429</v>
      </c>
      <c r="C680" s="125" t="s">
        <v>2427</v>
      </c>
      <c r="D680" s="137" t="s">
        <v>2404</v>
      </c>
      <c r="E680" s="84" t="s">
        <v>2430</v>
      </c>
      <c r="F680" s="113"/>
      <c r="G680" s="131"/>
      <c r="H680" s="186" t="s">
        <v>1272</v>
      </c>
      <c r="I680" s="125" t="s">
        <v>326</v>
      </c>
      <c r="J680" s="125" t="s">
        <v>331</v>
      </c>
      <c r="K680" s="125" t="s">
        <v>530</v>
      </c>
      <c r="L680" s="138" t="s">
        <v>507</v>
      </c>
      <c r="M680" s="138" t="s">
        <v>508</v>
      </c>
    </row>
    <row r="681" spans="1:13" s="114" customFormat="1" ht="38.25">
      <c r="A681" s="136">
        <v>679</v>
      </c>
      <c r="B681" s="129" t="s">
        <v>2431</v>
      </c>
      <c r="C681" s="125">
        <v>6.5</v>
      </c>
      <c r="D681" s="139" t="s">
        <v>2432</v>
      </c>
      <c r="E681" s="84" t="s">
        <v>2433</v>
      </c>
      <c r="F681" s="113"/>
      <c r="G681" s="131"/>
      <c r="H681" s="186" t="s">
        <v>1058</v>
      </c>
      <c r="I681" s="125" t="s">
        <v>323</v>
      </c>
      <c r="J681" s="125" t="s">
        <v>330</v>
      </c>
      <c r="K681" s="125" t="s">
        <v>1061</v>
      </c>
      <c r="L681" s="138" t="s">
        <v>507</v>
      </c>
      <c r="M681" s="138" t="s">
        <v>508</v>
      </c>
    </row>
    <row r="682" spans="1:13" s="114" customFormat="1" ht="51">
      <c r="A682" s="136">
        <v>680</v>
      </c>
      <c r="B682" s="129" t="s">
        <v>2434</v>
      </c>
      <c r="C682" s="125">
        <v>6.5</v>
      </c>
      <c r="D682" s="137" t="s">
        <v>2432</v>
      </c>
      <c r="E682" s="84" t="s">
        <v>2435</v>
      </c>
      <c r="F682" s="113"/>
      <c r="G682" s="131"/>
      <c r="H682" s="186" t="s">
        <v>2436</v>
      </c>
      <c r="I682" s="125" t="s">
        <v>323</v>
      </c>
      <c r="J682" s="125" t="s">
        <v>330</v>
      </c>
      <c r="K682" s="125" t="s">
        <v>2437</v>
      </c>
      <c r="L682" s="138" t="s">
        <v>314</v>
      </c>
      <c r="M682" s="138" t="s">
        <v>953</v>
      </c>
    </row>
    <row r="683" spans="1:13" s="114" customFormat="1" ht="38.25">
      <c r="A683" s="136">
        <v>681</v>
      </c>
      <c r="B683" s="129" t="s">
        <v>2438</v>
      </c>
      <c r="C683" s="125">
        <v>6.6</v>
      </c>
      <c r="D683" s="137" t="s">
        <v>2439</v>
      </c>
      <c r="E683" s="84" t="s">
        <v>2440</v>
      </c>
      <c r="F683" s="113"/>
      <c r="G683" s="131"/>
      <c r="H683" s="186" t="s">
        <v>2375</v>
      </c>
      <c r="I683" s="125" t="s">
        <v>326</v>
      </c>
      <c r="J683" s="125" t="s">
        <v>346</v>
      </c>
      <c r="K683" s="125" t="s">
        <v>761</v>
      </c>
      <c r="L683" s="138" t="s">
        <v>507</v>
      </c>
      <c r="M683" s="125" t="s">
        <v>2326</v>
      </c>
    </row>
    <row r="684" spans="1:13" s="114" customFormat="1" ht="38.25">
      <c r="A684" s="136">
        <v>682</v>
      </c>
      <c r="B684" s="129" t="s">
        <v>2441</v>
      </c>
      <c r="C684" s="125">
        <v>6.6</v>
      </c>
      <c r="D684" s="137" t="s">
        <v>2439</v>
      </c>
      <c r="E684" s="84" t="s">
        <v>2442</v>
      </c>
      <c r="F684" s="113"/>
      <c r="G684" s="131"/>
      <c r="H684" s="186" t="s">
        <v>2323</v>
      </c>
      <c r="I684" s="125" t="s">
        <v>326</v>
      </c>
      <c r="J684" s="125" t="s">
        <v>346</v>
      </c>
      <c r="K684" s="125" t="s">
        <v>761</v>
      </c>
      <c r="L684" s="138" t="s">
        <v>316</v>
      </c>
      <c r="M684" s="125" t="s">
        <v>2326</v>
      </c>
    </row>
    <row r="685" spans="1:13" s="114" customFormat="1" ht="38.25">
      <c r="A685" s="136">
        <v>683</v>
      </c>
      <c r="B685" s="129" t="s">
        <v>2443</v>
      </c>
      <c r="C685" s="125">
        <v>6.6</v>
      </c>
      <c r="D685" s="137" t="s">
        <v>2439</v>
      </c>
      <c r="E685" s="84" t="s">
        <v>2444</v>
      </c>
      <c r="F685" s="113"/>
      <c r="G685" s="131"/>
      <c r="H685" s="186" t="s">
        <v>2375</v>
      </c>
      <c r="I685" s="125" t="s">
        <v>326</v>
      </c>
      <c r="J685" s="125" t="s">
        <v>346</v>
      </c>
      <c r="K685" s="125" t="s">
        <v>761</v>
      </c>
      <c r="L685" s="138" t="s">
        <v>507</v>
      </c>
      <c r="M685" s="125" t="s">
        <v>2326</v>
      </c>
    </row>
    <row r="686" spans="1:13" s="114" customFormat="1" ht="38.25">
      <c r="A686" s="136">
        <v>684</v>
      </c>
      <c r="B686" s="129" t="s">
        <v>2445</v>
      </c>
      <c r="C686" s="125">
        <v>6.6</v>
      </c>
      <c r="D686" s="137" t="s">
        <v>2439</v>
      </c>
      <c r="E686" s="84" t="s">
        <v>2446</v>
      </c>
      <c r="F686" s="113"/>
      <c r="G686" s="131"/>
      <c r="H686" s="186" t="s">
        <v>2375</v>
      </c>
      <c r="I686" s="125" t="s">
        <v>326</v>
      </c>
      <c r="J686" s="125" t="s">
        <v>346</v>
      </c>
      <c r="K686" s="125" t="s">
        <v>761</v>
      </c>
      <c r="L686" s="138" t="s">
        <v>507</v>
      </c>
      <c r="M686" s="125" t="s">
        <v>2326</v>
      </c>
    </row>
    <row r="687" spans="1:13" s="114" customFormat="1" ht="38.25">
      <c r="A687" s="136">
        <v>685</v>
      </c>
      <c r="B687" s="129" t="s">
        <v>2447</v>
      </c>
      <c r="C687" s="125">
        <v>6.6</v>
      </c>
      <c r="D687" s="137" t="s">
        <v>2439</v>
      </c>
      <c r="E687" s="84" t="s">
        <v>2448</v>
      </c>
      <c r="F687" s="113"/>
      <c r="G687" s="131"/>
      <c r="H687" s="186" t="s">
        <v>2375</v>
      </c>
      <c r="I687" s="125" t="s">
        <v>326</v>
      </c>
      <c r="J687" s="125" t="s">
        <v>346</v>
      </c>
      <c r="K687" s="125" t="s">
        <v>761</v>
      </c>
      <c r="L687" s="138" t="s">
        <v>507</v>
      </c>
      <c r="M687" s="125" t="s">
        <v>2326</v>
      </c>
    </row>
    <row r="688" spans="1:13" s="114" customFormat="1" ht="25.5">
      <c r="A688" s="136">
        <v>686</v>
      </c>
      <c r="B688" s="129" t="s">
        <v>2449</v>
      </c>
      <c r="C688" s="129" t="s">
        <v>2450</v>
      </c>
      <c r="D688" s="137" t="s">
        <v>2451</v>
      </c>
      <c r="E688" s="84" t="s">
        <v>2452</v>
      </c>
      <c r="F688" s="113"/>
      <c r="G688" s="131"/>
      <c r="H688" s="186" t="s">
        <v>1089</v>
      </c>
      <c r="I688" s="125" t="s">
        <v>327</v>
      </c>
      <c r="J688" s="125" t="s">
        <v>342</v>
      </c>
      <c r="K688" s="125" t="s">
        <v>1090</v>
      </c>
      <c r="L688" s="138" t="s">
        <v>507</v>
      </c>
      <c r="M688" s="138" t="s">
        <v>508</v>
      </c>
    </row>
    <row r="689" spans="1:13" s="114" customFormat="1" ht="38.25">
      <c r="A689" s="136">
        <v>687</v>
      </c>
      <c r="B689" s="129" t="s">
        <v>2453</v>
      </c>
      <c r="C689" s="129" t="s">
        <v>2450</v>
      </c>
      <c r="D689" s="137" t="s">
        <v>2451</v>
      </c>
      <c r="E689" s="84" t="s">
        <v>2454</v>
      </c>
      <c r="F689" s="113"/>
      <c r="G689" s="131"/>
      <c r="H689" s="186" t="s">
        <v>2455</v>
      </c>
      <c r="I689" s="125" t="s">
        <v>327</v>
      </c>
      <c r="J689" s="125" t="s">
        <v>337</v>
      </c>
      <c r="K689" s="125" t="s">
        <v>2456</v>
      </c>
      <c r="L689" s="138" t="s">
        <v>316</v>
      </c>
      <c r="M689" s="138" t="s">
        <v>2326</v>
      </c>
    </row>
    <row r="690" spans="1:13" s="114" customFormat="1" ht="38.25">
      <c r="A690" s="136">
        <v>688</v>
      </c>
      <c r="B690" s="129" t="s">
        <v>2457</v>
      </c>
      <c r="C690" s="129" t="s">
        <v>2450</v>
      </c>
      <c r="D690" s="137" t="s">
        <v>2451</v>
      </c>
      <c r="E690" s="84" t="s">
        <v>2458</v>
      </c>
      <c r="F690" s="113"/>
      <c r="G690" s="131"/>
      <c r="H690" s="186" t="s">
        <v>2453</v>
      </c>
      <c r="I690" s="125" t="s">
        <v>327</v>
      </c>
      <c r="J690" s="125" t="s">
        <v>337</v>
      </c>
      <c r="K690" s="125" t="s">
        <v>2456</v>
      </c>
      <c r="L690" s="138" t="s">
        <v>316</v>
      </c>
      <c r="M690" s="138" t="s">
        <v>2326</v>
      </c>
    </row>
    <row r="691" spans="1:13" s="114" customFormat="1" ht="25.5">
      <c r="A691" s="136">
        <v>689</v>
      </c>
      <c r="B691" s="129" t="s">
        <v>2459</v>
      </c>
      <c r="C691" s="129" t="s">
        <v>2450</v>
      </c>
      <c r="D691" s="137" t="s">
        <v>2451</v>
      </c>
      <c r="E691" s="84" t="s">
        <v>2460</v>
      </c>
      <c r="F691" s="113"/>
      <c r="G691" s="131"/>
      <c r="H691" s="186" t="s">
        <v>918</v>
      </c>
      <c r="I691" s="125" t="s">
        <v>326</v>
      </c>
      <c r="J691" s="125" t="s">
        <v>352</v>
      </c>
      <c r="K691" s="125" t="s">
        <v>526</v>
      </c>
      <c r="L691" s="138" t="s">
        <v>507</v>
      </c>
      <c r="M691" s="138" t="s">
        <v>508</v>
      </c>
    </row>
    <row r="692" spans="1:13" s="114" customFormat="1" ht="51">
      <c r="A692" s="136">
        <v>690</v>
      </c>
      <c r="B692" s="129" t="s">
        <v>2461</v>
      </c>
      <c r="C692" s="129" t="s">
        <v>2450</v>
      </c>
      <c r="D692" s="137" t="s">
        <v>2451</v>
      </c>
      <c r="E692" s="84" t="s">
        <v>2462</v>
      </c>
      <c r="F692" s="113"/>
      <c r="G692" s="131"/>
      <c r="H692" s="186" t="s">
        <v>1603</v>
      </c>
      <c r="I692" s="125" t="s">
        <v>326</v>
      </c>
      <c r="J692" s="125" t="s">
        <v>352</v>
      </c>
      <c r="K692" s="125" t="s">
        <v>597</v>
      </c>
      <c r="L692" s="138" t="s">
        <v>507</v>
      </c>
      <c r="M692" s="138" t="s">
        <v>508</v>
      </c>
    </row>
    <row r="693" spans="1:13" s="114" customFormat="1" ht="25.5">
      <c r="A693" s="136">
        <v>691</v>
      </c>
      <c r="B693" s="129" t="s">
        <v>2463</v>
      </c>
      <c r="C693" s="129" t="s">
        <v>2450</v>
      </c>
      <c r="D693" s="137" t="s">
        <v>2451</v>
      </c>
      <c r="E693" s="84" t="s">
        <v>2464</v>
      </c>
      <c r="F693" s="113"/>
      <c r="G693" s="131"/>
      <c r="H693" s="186" t="s">
        <v>1568</v>
      </c>
      <c r="I693" s="125" t="s">
        <v>326</v>
      </c>
      <c r="J693" s="125" t="s">
        <v>346</v>
      </c>
      <c r="K693" s="125" t="s">
        <v>761</v>
      </c>
      <c r="L693" s="138" t="s">
        <v>507</v>
      </c>
      <c r="M693" s="138" t="s">
        <v>508</v>
      </c>
    </row>
    <row r="694" spans="1:13" s="114" customFormat="1" ht="51">
      <c r="A694" s="136">
        <v>692</v>
      </c>
      <c r="B694" s="129" t="s">
        <v>2465</v>
      </c>
      <c r="C694" s="129" t="s">
        <v>2450</v>
      </c>
      <c r="D694" s="137" t="s">
        <v>2451</v>
      </c>
      <c r="E694" s="84" t="s">
        <v>2466</v>
      </c>
      <c r="F694" s="113"/>
      <c r="G694" s="131"/>
      <c r="H694" s="186" t="s">
        <v>1891</v>
      </c>
      <c r="I694" s="125" t="s">
        <v>327</v>
      </c>
      <c r="J694" s="125" t="s">
        <v>332</v>
      </c>
      <c r="K694" s="125" t="s">
        <v>1892</v>
      </c>
      <c r="L694" s="138" t="s">
        <v>314</v>
      </c>
      <c r="M694" s="138" t="s">
        <v>953</v>
      </c>
    </row>
    <row r="695" spans="1:13" s="114" customFormat="1" ht="25.5">
      <c r="A695" s="136">
        <v>693</v>
      </c>
      <c r="B695" s="129" t="s">
        <v>2467</v>
      </c>
      <c r="C695" s="129">
        <v>6.9</v>
      </c>
      <c r="D695" s="137" t="s">
        <v>2468</v>
      </c>
      <c r="E695" s="84" t="s">
        <v>2469</v>
      </c>
      <c r="F695" s="113"/>
      <c r="G695" s="131"/>
      <c r="H695" s="186" t="s">
        <v>1525</v>
      </c>
      <c r="I695" s="125" t="s">
        <v>326</v>
      </c>
      <c r="J695" s="125" t="s">
        <v>341</v>
      </c>
      <c r="K695" s="125" t="s">
        <v>1526</v>
      </c>
      <c r="L695" s="138" t="s">
        <v>507</v>
      </c>
      <c r="M695" s="138" t="s">
        <v>508</v>
      </c>
    </row>
    <row r="696" spans="1:13" s="114" customFormat="1" ht="38.25">
      <c r="A696" s="136">
        <v>694</v>
      </c>
      <c r="B696" s="129" t="s">
        <v>2470</v>
      </c>
      <c r="C696" s="125">
        <v>3</v>
      </c>
      <c r="D696" s="137" t="s">
        <v>2471</v>
      </c>
      <c r="E696" s="84" t="s">
        <v>2472</v>
      </c>
      <c r="F696" s="113"/>
      <c r="G696" s="131"/>
      <c r="H696" s="186" t="s">
        <v>513</v>
      </c>
      <c r="I696" s="125" t="s">
        <v>326</v>
      </c>
      <c r="J696" s="125" t="s">
        <v>331</v>
      </c>
      <c r="K696" s="125" t="s">
        <v>512</v>
      </c>
      <c r="L696" s="138" t="s">
        <v>507</v>
      </c>
      <c r="M696" s="138" t="s">
        <v>508</v>
      </c>
    </row>
    <row r="697" spans="1:13" s="114" customFormat="1" ht="38.25">
      <c r="A697" s="136">
        <v>695</v>
      </c>
      <c r="B697" s="129" t="s">
        <v>2473</v>
      </c>
      <c r="C697" s="125">
        <v>3</v>
      </c>
      <c r="D697" s="137" t="s">
        <v>2471</v>
      </c>
      <c r="E697" s="84" t="s">
        <v>2474</v>
      </c>
      <c r="F697" s="113"/>
      <c r="G697" s="131"/>
      <c r="H697" s="186" t="s">
        <v>2475</v>
      </c>
      <c r="I697" s="125" t="s">
        <v>326</v>
      </c>
      <c r="J697" s="125" t="s">
        <v>346</v>
      </c>
      <c r="K697" s="125" t="s">
        <v>659</v>
      </c>
      <c r="L697" s="138" t="s">
        <v>507</v>
      </c>
      <c r="M697" s="138" t="s">
        <v>508</v>
      </c>
    </row>
    <row r="698" spans="1:13" s="114" customFormat="1" ht="38.25">
      <c r="A698" s="136">
        <v>696</v>
      </c>
      <c r="B698" s="129" t="s">
        <v>2476</v>
      </c>
      <c r="C698" s="125">
        <v>3</v>
      </c>
      <c r="D698" s="137" t="s">
        <v>2471</v>
      </c>
      <c r="E698" s="84" t="s">
        <v>2477</v>
      </c>
      <c r="F698" s="113"/>
      <c r="G698" s="131"/>
      <c r="H698" s="186" t="s">
        <v>892</v>
      </c>
      <c r="I698" s="125" t="s">
        <v>326</v>
      </c>
      <c r="J698" s="125" t="s">
        <v>346</v>
      </c>
      <c r="K698" s="125" t="s">
        <v>893</v>
      </c>
      <c r="L698" s="138" t="s">
        <v>507</v>
      </c>
      <c r="M698" s="138" t="s">
        <v>508</v>
      </c>
    </row>
    <row r="699" spans="1:13" s="114" customFormat="1" ht="38.25">
      <c r="A699" s="136">
        <v>697</v>
      </c>
      <c r="B699" s="129" t="s">
        <v>2478</v>
      </c>
      <c r="C699" s="125" t="s">
        <v>2479</v>
      </c>
      <c r="D699" s="137" t="s">
        <v>2480</v>
      </c>
      <c r="E699" s="84" t="s">
        <v>2481</v>
      </c>
      <c r="F699" s="113"/>
      <c r="G699" s="131"/>
      <c r="H699" s="186" t="s">
        <v>518</v>
      </c>
      <c r="I699" s="125" t="s">
        <v>326</v>
      </c>
      <c r="J699" s="125" t="s">
        <v>331</v>
      </c>
      <c r="K699" s="125" t="s">
        <v>506</v>
      </c>
      <c r="L699" s="138" t="s">
        <v>507</v>
      </c>
      <c r="M699" s="138" t="s">
        <v>508</v>
      </c>
    </row>
    <row r="700" spans="1:13" s="114" customFormat="1" ht="38.25">
      <c r="A700" s="136">
        <v>698</v>
      </c>
      <c r="B700" s="129" t="s">
        <v>2482</v>
      </c>
      <c r="C700" s="125" t="s">
        <v>2479</v>
      </c>
      <c r="D700" s="137" t="s">
        <v>2480</v>
      </c>
      <c r="E700" s="84" t="s">
        <v>2483</v>
      </c>
      <c r="F700" s="113"/>
      <c r="G700" s="131"/>
      <c r="H700" s="186" t="s">
        <v>501</v>
      </c>
      <c r="I700" s="125" t="s">
        <v>326</v>
      </c>
      <c r="J700" s="125" t="s">
        <v>331</v>
      </c>
      <c r="K700" s="125" t="s">
        <v>506</v>
      </c>
      <c r="L700" s="138" t="s">
        <v>507</v>
      </c>
      <c r="M700" s="138" t="s">
        <v>508</v>
      </c>
    </row>
    <row r="701" spans="1:13" s="114" customFormat="1" ht="38.25">
      <c r="A701" s="136">
        <v>699</v>
      </c>
      <c r="B701" s="129" t="s">
        <v>2484</v>
      </c>
      <c r="C701" s="125" t="s">
        <v>2479</v>
      </c>
      <c r="D701" s="137" t="s">
        <v>2480</v>
      </c>
      <c r="E701" s="84" t="s">
        <v>2485</v>
      </c>
      <c r="F701" s="113"/>
      <c r="G701" s="131"/>
      <c r="H701" s="186" t="s">
        <v>501</v>
      </c>
      <c r="I701" s="125" t="s">
        <v>326</v>
      </c>
      <c r="J701" s="125" t="s">
        <v>331</v>
      </c>
      <c r="K701" s="125" t="s">
        <v>506</v>
      </c>
      <c r="L701" s="138" t="s">
        <v>507</v>
      </c>
      <c r="M701" s="138" t="s">
        <v>508</v>
      </c>
    </row>
    <row r="702" spans="1:13" s="114" customFormat="1" ht="38.25">
      <c r="A702" s="136">
        <v>700</v>
      </c>
      <c r="B702" s="129" t="s">
        <v>2486</v>
      </c>
      <c r="C702" s="125" t="s">
        <v>2479</v>
      </c>
      <c r="D702" s="137" t="s">
        <v>2480</v>
      </c>
      <c r="E702" s="84" t="s">
        <v>2487</v>
      </c>
      <c r="F702" s="113"/>
      <c r="G702" s="131"/>
      <c r="H702" s="186" t="s">
        <v>501</v>
      </c>
      <c r="I702" s="125" t="s">
        <v>326</v>
      </c>
      <c r="J702" s="125" t="s">
        <v>331</v>
      </c>
      <c r="K702" s="125" t="s">
        <v>506</v>
      </c>
      <c r="L702" s="138" t="s">
        <v>507</v>
      </c>
      <c r="M702" s="138" t="s">
        <v>508</v>
      </c>
    </row>
    <row r="703" spans="1:13" s="114" customFormat="1" ht="38.25">
      <c r="A703" s="136">
        <v>701</v>
      </c>
      <c r="B703" s="129" t="s">
        <v>1196</v>
      </c>
      <c r="C703" s="125" t="s">
        <v>2488</v>
      </c>
      <c r="D703" s="137" t="s">
        <v>2489</v>
      </c>
      <c r="E703" s="84" t="s">
        <v>2490</v>
      </c>
      <c r="F703" s="113"/>
      <c r="G703" s="131"/>
      <c r="H703" s="186" t="s">
        <v>2491</v>
      </c>
      <c r="I703" s="125" t="s">
        <v>326</v>
      </c>
      <c r="J703" s="125" t="s">
        <v>331</v>
      </c>
      <c r="K703" s="125" t="s">
        <v>506</v>
      </c>
      <c r="L703" s="138" t="s">
        <v>507</v>
      </c>
      <c r="M703" s="138" t="s">
        <v>508</v>
      </c>
    </row>
    <row r="704" spans="1:13" s="114" customFormat="1" ht="38.25">
      <c r="A704" s="136">
        <v>702</v>
      </c>
      <c r="B704" s="129" t="s">
        <v>2492</v>
      </c>
      <c r="C704" s="125" t="s">
        <v>2488</v>
      </c>
      <c r="D704" s="137" t="s">
        <v>2489</v>
      </c>
      <c r="E704" s="84" t="s">
        <v>2493</v>
      </c>
      <c r="F704" s="113"/>
      <c r="G704" s="131"/>
      <c r="H704" s="186" t="s">
        <v>513</v>
      </c>
      <c r="I704" s="125" t="s">
        <v>326</v>
      </c>
      <c r="J704" s="125" t="s">
        <v>331</v>
      </c>
      <c r="K704" s="125" t="s">
        <v>512</v>
      </c>
      <c r="L704" s="138" t="s">
        <v>507</v>
      </c>
      <c r="M704" s="138" t="s">
        <v>508</v>
      </c>
    </row>
    <row r="705" spans="1:13" s="114" customFormat="1" ht="51">
      <c r="A705" s="136">
        <v>703</v>
      </c>
      <c r="B705" s="129" t="s">
        <v>2494</v>
      </c>
      <c r="C705" s="125" t="s">
        <v>2495</v>
      </c>
      <c r="D705" s="137" t="s">
        <v>2496</v>
      </c>
      <c r="E705" s="84" t="s">
        <v>2497</v>
      </c>
      <c r="F705" s="113"/>
      <c r="G705" s="131"/>
      <c r="H705" s="186" t="s">
        <v>1299</v>
      </c>
      <c r="I705" s="125" t="s">
        <v>326</v>
      </c>
      <c r="J705" s="125" t="s">
        <v>331</v>
      </c>
      <c r="K705" s="125" t="s">
        <v>530</v>
      </c>
      <c r="L705" s="138" t="s">
        <v>507</v>
      </c>
      <c r="M705" s="138" t="s">
        <v>508</v>
      </c>
    </row>
    <row r="706" spans="1:13" s="114" customFormat="1" ht="25.5">
      <c r="A706" s="136">
        <v>704</v>
      </c>
      <c r="B706" s="129" t="s">
        <v>2498</v>
      </c>
      <c r="C706" s="125" t="s">
        <v>2499</v>
      </c>
      <c r="D706" s="137" t="s">
        <v>2500</v>
      </c>
      <c r="E706" s="84" t="s">
        <v>2501</v>
      </c>
      <c r="F706" s="113"/>
      <c r="G706" s="131"/>
      <c r="H706" s="186" t="s">
        <v>1221</v>
      </c>
      <c r="I706" s="125" t="s">
        <v>326</v>
      </c>
      <c r="J706" s="125" t="s">
        <v>331</v>
      </c>
      <c r="K706" s="125" t="s">
        <v>1178</v>
      </c>
      <c r="L706" s="138" t="s">
        <v>507</v>
      </c>
      <c r="M706" s="138" t="s">
        <v>508</v>
      </c>
    </row>
    <row r="707" spans="1:13" s="114" customFormat="1" ht="25.5">
      <c r="A707" s="136">
        <v>705</v>
      </c>
      <c r="B707" s="129" t="s">
        <v>2502</v>
      </c>
      <c r="C707" s="125" t="s">
        <v>2503</v>
      </c>
      <c r="D707" s="137" t="s">
        <v>2504</v>
      </c>
      <c r="E707" s="84" t="s">
        <v>2505</v>
      </c>
      <c r="F707" s="113"/>
      <c r="G707" s="131"/>
      <c r="H707" s="186" t="s">
        <v>1218</v>
      </c>
      <c r="I707" s="125" t="s">
        <v>326</v>
      </c>
      <c r="J707" s="125" t="s">
        <v>331</v>
      </c>
      <c r="K707" s="125" t="s">
        <v>1178</v>
      </c>
      <c r="L707" s="138" t="s">
        <v>507</v>
      </c>
      <c r="M707" s="138" t="s">
        <v>508</v>
      </c>
    </row>
    <row r="708" spans="1:13" s="114" customFormat="1" ht="25.5">
      <c r="A708" s="136">
        <v>706</v>
      </c>
      <c r="B708" s="129" t="s">
        <v>2506</v>
      </c>
      <c r="C708" s="125" t="s">
        <v>2503</v>
      </c>
      <c r="D708" s="137" t="s">
        <v>2504</v>
      </c>
      <c r="E708" s="84" t="s">
        <v>2507</v>
      </c>
      <c r="F708" s="113"/>
      <c r="G708" s="131"/>
      <c r="H708" s="186" t="s">
        <v>1218</v>
      </c>
      <c r="I708" s="125" t="s">
        <v>326</v>
      </c>
      <c r="J708" s="125" t="s">
        <v>331</v>
      </c>
      <c r="K708" s="125" t="s">
        <v>1178</v>
      </c>
      <c r="L708" s="138" t="s">
        <v>507</v>
      </c>
      <c r="M708" s="138" t="s">
        <v>508</v>
      </c>
    </row>
    <row r="709" spans="1:13" s="114" customFormat="1" ht="25.5">
      <c r="A709" s="136">
        <v>707</v>
      </c>
      <c r="B709" s="129" t="s">
        <v>2508</v>
      </c>
      <c r="C709" s="125" t="s">
        <v>2503</v>
      </c>
      <c r="D709" s="137" t="s">
        <v>2504</v>
      </c>
      <c r="E709" s="84" t="s">
        <v>2509</v>
      </c>
      <c r="F709" s="113"/>
      <c r="G709" s="131"/>
      <c r="H709" s="186" t="s">
        <v>1218</v>
      </c>
      <c r="I709" s="125" t="s">
        <v>326</v>
      </c>
      <c r="J709" s="125" t="s">
        <v>331</v>
      </c>
      <c r="K709" s="125" t="s">
        <v>1178</v>
      </c>
      <c r="L709" s="138" t="s">
        <v>507</v>
      </c>
      <c r="M709" s="138" t="s">
        <v>508</v>
      </c>
    </row>
    <row r="710" spans="1:13" s="114" customFormat="1" ht="25.5">
      <c r="A710" s="136">
        <v>708</v>
      </c>
      <c r="B710" s="129" t="s">
        <v>2510</v>
      </c>
      <c r="C710" s="125" t="s">
        <v>2503</v>
      </c>
      <c r="D710" s="137" t="s">
        <v>2504</v>
      </c>
      <c r="E710" s="84" t="s">
        <v>2511</v>
      </c>
      <c r="F710" s="113"/>
      <c r="G710" s="131"/>
      <c r="H710" s="186" t="s">
        <v>1218</v>
      </c>
      <c r="I710" s="125" t="s">
        <v>326</v>
      </c>
      <c r="J710" s="125" t="s">
        <v>331</v>
      </c>
      <c r="K710" s="125" t="s">
        <v>1178</v>
      </c>
      <c r="L710" s="138" t="s">
        <v>507</v>
      </c>
      <c r="M710" s="138" t="s">
        <v>508</v>
      </c>
    </row>
    <row r="711" spans="1:13" s="114" customFormat="1" ht="38.25">
      <c r="A711" s="136">
        <v>709</v>
      </c>
      <c r="B711" s="129" t="s">
        <v>2512</v>
      </c>
      <c r="C711" s="125" t="s">
        <v>2503</v>
      </c>
      <c r="D711" s="137" t="s">
        <v>2504</v>
      </c>
      <c r="E711" s="84" t="s">
        <v>2513</v>
      </c>
      <c r="F711" s="113"/>
      <c r="G711" s="131"/>
      <c r="H711" s="186" t="s">
        <v>1230</v>
      </c>
      <c r="I711" s="125" t="s">
        <v>326</v>
      </c>
      <c r="J711" s="125" t="s">
        <v>331</v>
      </c>
      <c r="K711" s="125" t="s">
        <v>1178</v>
      </c>
      <c r="L711" s="138" t="s">
        <v>507</v>
      </c>
      <c r="M711" s="138" t="s">
        <v>508</v>
      </c>
    </row>
    <row r="712" spans="1:13" s="114" customFormat="1" ht="38.25">
      <c r="A712" s="136">
        <v>710</v>
      </c>
      <c r="B712" s="129" t="s">
        <v>2514</v>
      </c>
      <c r="C712" s="125" t="s">
        <v>2503</v>
      </c>
      <c r="D712" s="137" t="s">
        <v>2504</v>
      </c>
      <c r="E712" s="84" t="s">
        <v>2515</v>
      </c>
      <c r="F712" s="113"/>
      <c r="G712" s="131"/>
      <c r="H712" s="186" t="s">
        <v>653</v>
      </c>
      <c r="I712" s="125" t="s">
        <v>326</v>
      </c>
      <c r="J712" s="125" t="s">
        <v>331</v>
      </c>
      <c r="K712" s="125" t="s">
        <v>506</v>
      </c>
      <c r="L712" s="138" t="s">
        <v>507</v>
      </c>
      <c r="M712" s="138" t="s">
        <v>508</v>
      </c>
    </row>
    <row r="713" spans="1:13" s="114" customFormat="1" ht="25.5">
      <c r="A713" s="136">
        <v>711</v>
      </c>
      <c r="B713" s="129" t="s">
        <v>2516</v>
      </c>
      <c r="C713" s="125" t="s">
        <v>2503</v>
      </c>
      <c r="D713" s="137" t="s">
        <v>2504</v>
      </c>
      <c r="E713" s="84" t="s">
        <v>2517</v>
      </c>
      <c r="F713" s="113"/>
      <c r="G713" s="131"/>
      <c r="H713" s="186" t="s">
        <v>1237</v>
      </c>
      <c r="I713" s="125" t="s">
        <v>326</v>
      </c>
      <c r="J713" s="125" t="s">
        <v>331</v>
      </c>
      <c r="K713" s="125" t="s">
        <v>1178</v>
      </c>
      <c r="L713" s="138" t="s">
        <v>507</v>
      </c>
      <c r="M713" s="138" t="s">
        <v>508</v>
      </c>
    </row>
    <row r="714" spans="1:13" s="114" customFormat="1" ht="51">
      <c r="A714" s="136">
        <v>712</v>
      </c>
      <c r="B714" s="129" t="s">
        <v>2518</v>
      </c>
      <c r="C714" s="125" t="s">
        <v>2519</v>
      </c>
      <c r="D714" s="137" t="s">
        <v>2520</v>
      </c>
      <c r="E714" s="84" t="s">
        <v>2521</v>
      </c>
      <c r="F714" s="113"/>
      <c r="G714" s="131"/>
      <c r="H714" s="186" t="s">
        <v>1148</v>
      </c>
      <c r="I714" s="125" t="s">
        <v>326</v>
      </c>
      <c r="J714" s="125" t="s">
        <v>331</v>
      </c>
      <c r="K714" s="125" t="s">
        <v>530</v>
      </c>
      <c r="L714" s="138" t="s">
        <v>507</v>
      </c>
      <c r="M714" s="138" t="s">
        <v>508</v>
      </c>
    </row>
    <row r="715" spans="1:13" s="114" customFormat="1" ht="25.5">
      <c r="A715" s="136">
        <v>713</v>
      </c>
      <c r="B715" s="129" t="s">
        <v>2522</v>
      </c>
      <c r="C715" s="125" t="s">
        <v>2519</v>
      </c>
      <c r="D715" s="137" t="s">
        <v>2520</v>
      </c>
      <c r="E715" s="84" t="s">
        <v>2523</v>
      </c>
      <c r="F715" s="113"/>
      <c r="G715" s="131"/>
      <c r="H715" s="186" t="s">
        <v>523</v>
      </c>
      <c r="I715" s="125" t="s">
        <v>326</v>
      </c>
      <c r="J715" s="125" t="s">
        <v>352</v>
      </c>
      <c r="K715" s="125" t="s">
        <v>526</v>
      </c>
      <c r="L715" s="138" t="s">
        <v>507</v>
      </c>
      <c r="M715" s="138" t="s">
        <v>508</v>
      </c>
    </row>
    <row r="716" spans="1:13" s="114" customFormat="1" ht="25.5">
      <c r="A716" s="136">
        <v>714</v>
      </c>
      <c r="B716" s="129" t="s">
        <v>2524</v>
      </c>
      <c r="C716" s="125" t="s">
        <v>2519</v>
      </c>
      <c r="D716" s="137" t="s">
        <v>2520</v>
      </c>
      <c r="E716" s="84" t="s">
        <v>2525</v>
      </c>
      <c r="F716" s="113"/>
      <c r="G716" s="131"/>
      <c r="H716" s="186" t="s">
        <v>523</v>
      </c>
      <c r="I716" s="125" t="s">
        <v>326</v>
      </c>
      <c r="J716" s="125" t="s">
        <v>352</v>
      </c>
      <c r="K716" s="125" t="s">
        <v>526</v>
      </c>
      <c r="L716" s="138" t="s">
        <v>507</v>
      </c>
      <c r="M716" s="138" t="s">
        <v>508</v>
      </c>
    </row>
    <row r="717" spans="1:13" s="114" customFormat="1" ht="38.25">
      <c r="A717" s="136">
        <v>715</v>
      </c>
      <c r="B717" s="129" t="s">
        <v>2526</v>
      </c>
      <c r="C717" s="125" t="s">
        <v>2527</v>
      </c>
      <c r="D717" s="137" t="s">
        <v>2528</v>
      </c>
      <c r="E717" s="84" t="s">
        <v>2529</v>
      </c>
      <c r="F717" s="113"/>
      <c r="G717" s="131"/>
      <c r="H717" s="186" t="s">
        <v>513</v>
      </c>
      <c r="I717" s="125" t="s">
        <v>326</v>
      </c>
      <c r="J717" s="125" t="s">
        <v>331</v>
      </c>
      <c r="K717" s="125" t="s">
        <v>512</v>
      </c>
      <c r="L717" s="138" t="s">
        <v>507</v>
      </c>
      <c r="M717" s="138" t="s">
        <v>508</v>
      </c>
    </row>
    <row r="718" spans="1:13" s="114" customFormat="1" ht="51">
      <c r="A718" s="136">
        <v>716</v>
      </c>
      <c r="B718" s="129" t="s">
        <v>2530</v>
      </c>
      <c r="C718" s="125" t="s">
        <v>2531</v>
      </c>
      <c r="D718" s="137" t="s">
        <v>2532</v>
      </c>
      <c r="E718" s="84" t="s">
        <v>2533</v>
      </c>
      <c r="F718" s="113"/>
      <c r="G718" s="131"/>
      <c r="H718" s="186" t="s">
        <v>1356</v>
      </c>
      <c r="I718" s="125" t="s">
        <v>326</v>
      </c>
      <c r="J718" s="125" t="s">
        <v>331</v>
      </c>
      <c r="K718" s="125" t="s">
        <v>1357</v>
      </c>
      <c r="L718" s="138" t="s">
        <v>314</v>
      </c>
      <c r="M718" s="138" t="s">
        <v>953</v>
      </c>
    </row>
    <row r="719" spans="1:13" s="114" customFormat="1" ht="38.25">
      <c r="A719" s="136">
        <v>717</v>
      </c>
      <c r="B719" s="129" t="s">
        <v>2534</v>
      </c>
      <c r="C719" s="125" t="s">
        <v>2535</v>
      </c>
      <c r="D719" s="137" t="s">
        <v>2536</v>
      </c>
      <c r="E719" s="84" t="s">
        <v>2537</v>
      </c>
      <c r="F719" s="113"/>
      <c r="G719" s="131"/>
      <c r="H719" s="186" t="s">
        <v>2356</v>
      </c>
      <c r="I719" s="125" t="s">
        <v>326</v>
      </c>
      <c r="J719" s="125" t="s">
        <v>331</v>
      </c>
      <c r="K719" s="125" t="s">
        <v>512</v>
      </c>
      <c r="L719" s="138" t="s">
        <v>507</v>
      </c>
      <c r="M719" s="138" t="s">
        <v>508</v>
      </c>
    </row>
    <row r="720" spans="1:13" s="114" customFormat="1" ht="51">
      <c r="A720" s="136">
        <v>718</v>
      </c>
      <c r="B720" s="129" t="s">
        <v>2538</v>
      </c>
      <c r="C720" s="125" t="s">
        <v>2539</v>
      </c>
      <c r="D720" s="137" t="s">
        <v>2540</v>
      </c>
      <c r="E720" s="84" t="s">
        <v>2541</v>
      </c>
      <c r="F720" s="113"/>
      <c r="G720" s="131"/>
      <c r="H720" s="186" t="s">
        <v>527</v>
      </c>
      <c r="I720" s="125" t="s">
        <v>326</v>
      </c>
      <c r="J720" s="125" t="s">
        <v>331</v>
      </c>
      <c r="K720" s="125" t="s">
        <v>530</v>
      </c>
      <c r="L720" s="138" t="s">
        <v>507</v>
      </c>
      <c r="M720" s="138" t="s">
        <v>508</v>
      </c>
    </row>
    <row r="721" spans="1:13" s="114" customFormat="1" ht="51">
      <c r="A721" s="136">
        <v>719</v>
      </c>
      <c r="B721" s="129" t="s">
        <v>2542</v>
      </c>
      <c r="C721" s="125" t="s">
        <v>2543</v>
      </c>
      <c r="D721" s="137" t="s">
        <v>2544</v>
      </c>
      <c r="E721" s="84" t="s">
        <v>2545</v>
      </c>
      <c r="F721" s="113"/>
      <c r="G721" s="131"/>
      <c r="H721" s="186" t="s">
        <v>689</v>
      </c>
      <c r="I721" s="125" t="s">
        <v>326</v>
      </c>
      <c r="J721" s="125" t="s">
        <v>331</v>
      </c>
      <c r="K721" s="125" t="s">
        <v>530</v>
      </c>
      <c r="L721" s="138" t="s">
        <v>507</v>
      </c>
      <c r="M721" s="138" t="s">
        <v>508</v>
      </c>
    </row>
    <row r="722" spans="1:13" s="114" customFormat="1" ht="38.25">
      <c r="A722" s="136">
        <v>720</v>
      </c>
      <c r="B722" s="129" t="s">
        <v>2546</v>
      </c>
      <c r="C722" s="125">
        <v>4.2</v>
      </c>
      <c r="D722" s="137" t="s">
        <v>2547</v>
      </c>
      <c r="E722" s="84" t="s">
        <v>2548</v>
      </c>
      <c r="F722" s="113"/>
      <c r="G722" s="131"/>
      <c r="H722" s="186" t="s">
        <v>2549</v>
      </c>
      <c r="I722" s="125" t="s">
        <v>326</v>
      </c>
      <c r="J722" s="125" t="s">
        <v>331</v>
      </c>
      <c r="K722" s="125" t="s">
        <v>512</v>
      </c>
      <c r="L722" s="138" t="s">
        <v>507</v>
      </c>
      <c r="M722" s="138" t="s">
        <v>508</v>
      </c>
    </row>
    <row r="723" spans="1:13" s="114" customFormat="1" ht="38.25">
      <c r="A723" s="136">
        <v>721</v>
      </c>
      <c r="B723" s="129" t="s">
        <v>2550</v>
      </c>
      <c r="C723" s="125">
        <v>4.2</v>
      </c>
      <c r="D723" s="137" t="s">
        <v>2547</v>
      </c>
      <c r="E723" s="84" t="s">
        <v>2551</v>
      </c>
      <c r="F723" s="113"/>
      <c r="G723" s="131"/>
      <c r="H723" s="186" t="s">
        <v>2546</v>
      </c>
      <c r="I723" s="125" t="s">
        <v>326</v>
      </c>
      <c r="J723" s="125" t="s">
        <v>331</v>
      </c>
      <c r="K723" s="125" t="s">
        <v>512</v>
      </c>
      <c r="L723" s="138" t="s">
        <v>507</v>
      </c>
      <c r="M723" s="138" t="s">
        <v>508</v>
      </c>
    </row>
    <row r="724" spans="1:13" s="114" customFormat="1" ht="38.25">
      <c r="A724" s="136">
        <v>722</v>
      </c>
      <c r="B724" s="129" t="s">
        <v>2552</v>
      </c>
      <c r="C724" s="125">
        <v>4.2</v>
      </c>
      <c r="D724" s="137" t="s">
        <v>2547</v>
      </c>
      <c r="E724" s="84" t="s">
        <v>2553</v>
      </c>
      <c r="F724" s="113"/>
      <c r="G724" s="131"/>
      <c r="H724" s="186" t="s">
        <v>2546</v>
      </c>
      <c r="I724" s="125" t="s">
        <v>326</v>
      </c>
      <c r="J724" s="125" t="s">
        <v>331</v>
      </c>
      <c r="K724" s="125" t="s">
        <v>512</v>
      </c>
      <c r="L724" s="138" t="s">
        <v>507</v>
      </c>
      <c r="M724" s="138" t="s">
        <v>508</v>
      </c>
    </row>
    <row r="725" spans="1:13" s="114" customFormat="1" ht="51">
      <c r="A725" s="136">
        <v>723</v>
      </c>
      <c r="B725" s="129" t="s">
        <v>2554</v>
      </c>
      <c r="C725" s="125" t="s">
        <v>2291</v>
      </c>
      <c r="D725" s="137" t="s">
        <v>2555</v>
      </c>
      <c r="E725" s="84" t="s">
        <v>2556</v>
      </c>
      <c r="F725" s="113"/>
      <c r="G725" s="131"/>
      <c r="H725" s="186" t="s">
        <v>974</v>
      </c>
      <c r="I725" s="125" t="s">
        <v>326</v>
      </c>
      <c r="J725" s="125" t="s">
        <v>352</v>
      </c>
      <c r="K725" s="125" t="s">
        <v>597</v>
      </c>
      <c r="L725" s="138" t="s">
        <v>314</v>
      </c>
      <c r="M725" s="138" t="s">
        <v>953</v>
      </c>
    </row>
    <row r="726" spans="1:13" s="114" customFormat="1" ht="51">
      <c r="A726" s="136">
        <v>724</v>
      </c>
      <c r="B726" s="129" t="s">
        <v>2557</v>
      </c>
      <c r="C726" s="125" t="s">
        <v>2291</v>
      </c>
      <c r="D726" s="137" t="s">
        <v>2555</v>
      </c>
      <c r="E726" s="84" t="s">
        <v>2558</v>
      </c>
      <c r="F726" s="113"/>
      <c r="G726" s="131"/>
      <c r="H726" s="186" t="s">
        <v>974</v>
      </c>
      <c r="I726" s="125" t="s">
        <v>326</v>
      </c>
      <c r="J726" s="125" t="s">
        <v>352</v>
      </c>
      <c r="K726" s="125" t="s">
        <v>597</v>
      </c>
      <c r="L726" s="138" t="s">
        <v>314</v>
      </c>
      <c r="M726" s="138" t="s">
        <v>953</v>
      </c>
    </row>
    <row r="727" spans="1:13" s="114" customFormat="1" ht="51">
      <c r="A727" s="136">
        <v>725</v>
      </c>
      <c r="B727" s="129" t="s">
        <v>2559</v>
      </c>
      <c r="C727" s="125" t="s">
        <v>2291</v>
      </c>
      <c r="D727" s="137" t="s">
        <v>2555</v>
      </c>
      <c r="E727" s="84" t="s">
        <v>2560</v>
      </c>
      <c r="F727" s="113"/>
      <c r="G727" s="131"/>
      <c r="H727" s="186" t="s">
        <v>2060</v>
      </c>
      <c r="I727" s="125" t="s">
        <v>326</v>
      </c>
      <c r="J727" s="125" t="s">
        <v>352</v>
      </c>
      <c r="K727" s="125" t="s">
        <v>597</v>
      </c>
      <c r="L727" s="138" t="s">
        <v>314</v>
      </c>
      <c r="M727" s="138" t="s">
        <v>953</v>
      </c>
    </row>
    <row r="728" spans="1:13" s="114" customFormat="1" ht="25.5">
      <c r="A728" s="136">
        <v>726</v>
      </c>
      <c r="B728" s="129" t="s">
        <v>2561</v>
      </c>
      <c r="C728" s="125" t="s">
        <v>2291</v>
      </c>
      <c r="D728" s="137" t="s">
        <v>2555</v>
      </c>
      <c r="E728" s="84" t="s">
        <v>2562</v>
      </c>
      <c r="F728" s="113"/>
      <c r="G728" s="131"/>
      <c r="H728" s="186" t="s">
        <v>1041</v>
      </c>
      <c r="I728" s="125" t="s">
        <v>326</v>
      </c>
      <c r="J728" s="125" t="s">
        <v>352</v>
      </c>
      <c r="K728" s="125" t="s">
        <v>1044</v>
      </c>
      <c r="L728" s="138" t="s">
        <v>507</v>
      </c>
      <c r="M728" s="138" t="s">
        <v>508</v>
      </c>
    </row>
    <row r="729" spans="1:13" s="114" customFormat="1" ht="51">
      <c r="A729" s="136">
        <v>727</v>
      </c>
      <c r="B729" s="129" t="s">
        <v>2563</v>
      </c>
      <c r="C729" s="125" t="s">
        <v>2291</v>
      </c>
      <c r="D729" s="137" t="s">
        <v>2555</v>
      </c>
      <c r="E729" s="84" t="s">
        <v>2564</v>
      </c>
      <c r="F729" s="113"/>
      <c r="G729" s="131"/>
      <c r="H729" s="186" t="s">
        <v>1586</v>
      </c>
      <c r="I729" s="125" t="s">
        <v>326</v>
      </c>
      <c r="J729" s="125" t="s">
        <v>331</v>
      </c>
      <c r="K729" s="125" t="s">
        <v>1191</v>
      </c>
      <c r="L729" s="138" t="s">
        <v>314</v>
      </c>
      <c r="M729" s="138" t="s">
        <v>953</v>
      </c>
    </row>
    <row r="730" spans="1:13" s="114" customFormat="1" ht="51">
      <c r="A730" s="136">
        <v>728</v>
      </c>
      <c r="B730" s="129" t="s">
        <v>2565</v>
      </c>
      <c r="C730" s="125" t="s">
        <v>2291</v>
      </c>
      <c r="D730" s="137" t="s">
        <v>2555</v>
      </c>
      <c r="E730" s="84" t="s">
        <v>2566</v>
      </c>
      <c r="F730" s="113"/>
      <c r="G730" s="131"/>
      <c r="H730" s="186" t="s">
        <v>974</v>
      </c>
      <c r="I730" s="125" t="s">
        <v>326</v>
      </c>
      <c r="J730" s="125" t="s">
        <v>352</v>
      </c>
      <c r="K730" s="125" t="s">
        <v>597</v>
      </c>
      <c r="L730" s="138" t="s">
        <v>314</v>
      </c>
      <c r="M730" s="138" t="s">
        <v>953</v>
      </c>
    </row>
    <row r="731" spans="1:13" s="114" customFormat="1" ht="51">
      <c r="A731" s="136">
        <v>729</v>
      </c>
      <c r="B731" s="129" t="s">
        <v>2567</v>
      </c>
      <c r="C731" s="125" t="s">
        <v>2291</v>
      </c>
      <c r="D731" s="137" t="s">
        <v>2555</v>
      </c>
      <c r="E731" s="84" t="s">
        <v>2568</v>
      </c>
      <c r="F731" s="113"/>
      <c r="G731" s="131"/>
      <c r="H731" s="186" t="s">
        <v>971</v>
      </c>
      <c r="I731" s="125" t="s">
        <v>326</v>
      </c>
      <c r="J731" s="125" t="s">
        <v>352</v>
      </c>
      <c r="K731" s="125" t="s">
        <v>597</v>
      </c>
      <c r="L731" s="138" t="s">
        <v>314</v>
      </c>
      <c r="M731" s="138" t="s">
        <v>953</v>
      </c>
    </row>
    <row r="732" spans="1:13" s="114" customFormat="1" ht="51">
      <c r="A732" s="136">
        <v>730</v>
      </c>
      <c r="B732" s="129" t="s">
        <v>2569</v>
      </c>
      <c r="C732" s="125" t="s">
        <v>2291</v>
      </c>
      <c r="D732" s="137" t="s">
        <v>2555</v>
      </c>
      <c r="E732" s="84" t="s">
        <v>2570</v>
      </c>
      <c r="F732" s="113"/>
      <c r="G732" s="131"/>
      <c r="H732" s="186" t="s">
        <v>971</v>
      </c>
      <c r="I732" s="125" t="s">
        <v>326</v>
      </c>
      <c r="J732" s="125" t="s">
        <v>352</v>
      </c>
      <c r="K732" s="125" t="s">
        <v>597</v>
      </c>
      <c r="L732" s="138" t="s">
        <v>314</v>
      </c>
      <c r="M732" s="138" t="s">
        <v>953</v>
      </c>
    </row>
    <row r="733" spans="1:13" s="114" customFormat="1" ht="25.5">
      <c r="A733" s="136">
        <v>731</v>
      </c>
      <c r="B733" s="129" t="s">
        <v>2571</v>
      </c>
      <c r="C733" s="125" t="s">
        <v>2291</v>
      </c>
      <c r="D733" s="137" t="s">
        <v>2555</v>
      </c>
      <c r="E733" s="84" t="s">
        <v>2572</v>
      </c>
      <c r="F733" s="113"/>
      <c r="G733" s="131"/>
      <c r="H733" s="186" t="s">
        <v>596</v>
      </c>
      <c r="I733" s="125" t="s">
        <v>326</v>
      </c>
      <c r="J733" s="125" t="s">
        <v>352</v>
      </c>
      <c r="K733" s="125" t="s">
        <v>597</v>
      </c>
      <c r="L733" s="138" t="s">
        <v>507</v>
      </c>
      <c r="M733" s="138" t="s">
        <v>508</v>
      </c>
    </row>
    <row r="734" spans="1:13" s="114" customFormat="1" ht="25.5">
      <c r="A734" s="136">
        <v>732</v>
      </c>
      <c r="B734" s="129" t="s">
        <v>2573</v>
      </c>
      <c r="C734" s="125" t="s">
        <v>2291</v>
      </c>
      <c r="D734" s="137" t="s">
        <v>2555</v>
      </c>
      <c r="E734" s="84" t="s">
        <v>2574</v>
      </c>
      <c r="F734" s="113"/>
      <c r="G734" s="131"/>
      <c r="H734" s="186" t="s">
        <v>600</v>
      </c>
      <c r="I734" s="125" t="s">
        <v>326</v>
      </c>
      <c r="J734" s="125" t="s">
        <v>341</v>
      </c>
      <c r="K734" s="125" t="s">
        <v>601</v>
      </c>
      <c r="L734" s="138" t="s">
        <v>507</v>
      </c>
      <c r="M734" s="138" t="s">
        <v>508</v>
      </c>
    </row>
    <row r="735" spans="1:13" s="114" customFormat="1" ht="25.5">
      <c r="A735" s="136">
        <v>733</v>
      </c>
      <c r="B735" s="129" t="s">
        <v>2575</v>
      </c>
      <c r="C735" s="125" t="s">
        <v>2576</v>
      </c>
      <c r="D735" s="137" t="s">
        <v>2577</v>
      </c>
      <c r="E735" s="84" t="s">
        <v>2578</v>
      </c>
      <c r="F735" s="113"/>
      <c r="G735" s="131"/>
      <c r="H735" s="186" t="s">
        <v>2579</v>
      </c>
      <c r="I735" s="125" t="s">
        <v>326</v>
      </c>
      <c r="J735" s="125" t="s">
        <v>352</v>
      </c>
      <c r="K735" s="125" t="s">
        <v>1044</v>
      </c>
      <c r="L735" s="138" t="s">
        <v>507</v>
      </c>
      <c r="M735" s="138" t="s">
        <v>508</v>
      </c>
    </row>
    <row r="736" spans="1:13" s="114" customFormat="1" ht="25.5">
      <c r="A736" s="136">
        <v>734</v>
      </c>
      <c r="B736" s="129" t="s">
        <v>2580</v>
      </c>
      <c r="C736" s="125" t="s">
        <v>2576</v>
      </c>
      <c r="D736" s="137" t="s">
        <v>2577</v>
      </c>
      <c r="E736" s="84" t="s">
        <v>2581</v>
      </c>
      <c r="F736" s="113"/>
      <c r="G736" s="131"/>
      <c r="H736" s="186" t="s">
        <v>2575</v>
      </c>
      <c r="I736" s="125" t="s">
        <v>326</v>
      </c>
      <c r="J736" s="125" t="s">
        <v>352</v>
      </c>
      <c r="K736" s="125" t="s">
        <v>1044</v>
      </c>
      <c r="L736" s="138" t="s">
        <v>507</v>
      </c>
      <c r="M736" s="138" t="s">
        <v>508</v>
      </c>
    </row>
    <row r="737" spans="1:13" s="114" customFormat="1" ht="25.5">
      <c r="A737" s="136">
        <v>735</v>
      </c>
      <c r="B737" s="129" t="s">
        <v>2582</v>
      </c>
      <c r="C737" s="125" t="s">
        <v>2583</v>
      </c>
      <c r="D737" s="139" t="s">
        <v>2584</v>
      </c>
      <c r="E737" s="84" t="s">
        <v>2585</v>
      </c>
      <c r="F737" s="113"/>
      <c r="G737" s="131"/>
      <c r="H737" s="186" t="s">
        <v>2586</v>
      </c>
      <c r="I737" s="125" t="s">
        <v>326</v>
      </c>
      <c r="J737" s="125" t="s">
        <v>341</v>
      </c>
      <c r="K737" s="125" t="s">
        <v>570</v>
      </c>
      <c r="L737" s="138" t="s">
        <v>507</v>
      </c>
      <c r="M737" s="138" t="s">
        <v>508</v>
      </c>
    </row>
    <row r="738" spans="1:13" s="114" customFormat="1" ht="25.5">
      <c r="A738" s="136">
        <v>736</v>
      </c>
      <c r="B738" s="129" t="s">
        <v>2587</v>
      </c>
      <c r="C738" s="125" t="s">
        <v>2583</v>
      </c>
      <c r="D738" s="139" t="s">
        <v>2584</v>
      </c>
      <c r="E738" s="84" t="s">
        <v>2588</v>
      </c>
      <c r="F738" s="113"/>
      <c r="G738" s="131"/>
      <c r="H738" s="186" t="s">
        <v>577</v>
      </c>
      <c r="I738" s="125" t="s">
        <v>326</v>
      </c>
      <c r="J738" s="125" t="s">
        <v>341</v>
      </c>
      <c r="K738" s="125" t="s">
        <v>580</v>
      </c>
      <c r="L738" s="138" t="s">
        <v>507</v>
      </c>
      <c r="M738" s="138" t="s">
        <v>508</v>
      </c>
    </row>
    <row r="739" spans="1:13" s="114" customFormat="1" ht="25.5">
      <c r="A739" s="136">
        <v>737</v>
      </c>
      <c r="B739" s="129" t="s">
        <v>2589</v>
      </c>
      <c r="C739" s="125" t="s">
        <v>2583</v>
      </c>
      <c r="D739" s="139" t="s">
        <v>2584</v>
      </c>
      <c r="E739" s="84" t="s">
        <v>2590</v>
      </c>
      <c r="F739" s="113"/>
      <c r="G739" s="131"/>
      <c r="H739" s="186" t="s">
        <v>577</v>
      </c>
      <c r="I739" s="125" t="s">
        <v>326</v>
      </c>
      <c r="J739" s="125" t="s">
        <v>341</v>
      </c>
      <c r="K739" s="125" t="s">
        <v>580</v>
      </c>
      <c r="L739" s="138" t="s">
        <v>507</v>
      </c>
      <c r="M739" s="138" t="s">
        <v>508</v>
      </c>
    </row>
    <row r="740" spans="1:13" s="114" customFormat="1" ht="25.5">
      <c r="A740" s="136">
        <v>738</v>
      </c>
      <c r="B740" s="129" t="s">
        <v>2591</v>
      </c>
      <c r="C740" s="125" t="s">
        <v>2583</v>
      </c>
      <c r="D740" s="139" t="s">
        <v>2584</v>
      </c>
      <c r="E740" s="84" t="s">
        <v>2592</v>
      </c>
      <c r="F740" s="113"/>
      <c r="G740" s="131"/>
      <c r="H740" s="186" t="s">
        <v>577</v>
      </c>
      <c r="I740" s="125" t="s">
        <v>326</v>
      </c>
      <c r="J740" s="125" t="s">
        <v>341</v>
      </c>
      <c r="K740" s="125" t="s">
        <v>580</v>
      </c>
      <c r="L740" s="138" t="s">
        <v>507</v>
      </c>
      <c r="M740" s="138" t="s">
        <v>508</v>
      </c>
    </row>
    <row r="741" spans="1:13" s="114" customFormat="1" ht="25.5">
      <c r="A741" s="136">
        <v>739</v>
      </c>
      <c r="B741" s="129" t="s">
        <v>2593</v>
      </c>
      <c r="C741" s="125" t="s">
        <v>2583</v>
      </c>
      <c r="D741" s="139" t="s">
        <v>2584</v>
      </c>
      <c r="E741" s="84" t="s">
        <v>2594</v>
      </c>
      <c r="F741" s="113"/>
      <c r="G741" s="131"/>
      <c r="H741" s="186" t="s">
        <v>577</v>
      </c>
      <c r="I741" s="125" t="s">
        <v>326</v>
      </c>
      <c r="J741" s="125" t="s">
        <v>341</v>
      </c>
      <c r="K741" s="125" t="s">
        <v>580</v>
      </c>
      <c r="L741" s="138" t="s">
        <v>507</v>
      </c>
      <c r="M741" s="138" t="s">
        <v>508</v>
      </c>
    </row>
    <row r="742" spans="1:13" s="114" customFormat="1" ht="51">
      <c r="A742" s="136">
        <v>740</v>
      </c>
      <c r="B742" s="129" t="s">
        <v>2595</v>
      </c>
      <c r="C742" s="125" t="s">
        <v>2596</v>
      </c>
      <c r="D742" s="137" t="s">
        <v>2597</v>
      </c>
      <c r="E742" s="84" t="s">
        <v>2598</v>
      </c>
      <c r="F742" s="113"/>
      <c r="G742" s="131"/>
      <c r="H742" s="186" t="s">
        <v>707</v>
      </c>
      <c r="I742" s="125" t="s">
        <v>326</v>
      </c>
      <c r="J742" s="125" t="s">
        <v>331</v>
      </c>
      <c r="K742" s="125" t="s">
        <v>530</v>
      </c>
      <c r="L742" s="138" t="s">
        <v>507</v>
      </c>
      <c r="M742" s="138" t="s">
        <v>508</v>
      </c>
    </row>
    <row r="743" spans="1:13" s="114" customFormat="1" ht="38.25">
      <c r="A743" s="136">
        <v>741</v>
      </c>
      <c r="B743" s="129" t="s">
        <v>2599</v>
      </c>
      <c r="C743" s="125" t="s">
        <v>2600</v>
      </c>
      <c r="D743" s="137" t="s">
        <v>2601</v>
      </c>
      <c r="E743" s="84" t="s">
        <v>2602</v>
      </c>
      <c r="F743" s="113"/>
      <c r="G743" s="131"/>
      <c r="H743" s="186" t="s">
        <v>2582</v>
      </c>
      <c r="I743" s="125" t="s">
        <v>326</v>
      </c>
      <c r="J743" s="125" t="s">
        <v>341</v>
      </c>
      <c r="K743" s="125" t="s">
        <v>570</v>
      </c>
      <c r="L743" s="138" t="s">
        <v>507</v>
      </c>
      <c r="M743" s="138" t="s">
        <v>508</v>
      </c>
    </row>
    <row r="744" spans="1:13" s="114" customFormat="1" ht="25.5">
      <c r="A744" s="136">
        <v>742</v>
      </c>
      <c r="B744" s="129" t="s">
        <v>2603</v>
      </c>
      <c r="C744" s="125" t="s">
        <v>2600</v>
      </c>
      <c r="D744" s="137" t="s">
        <v>2601</v>
      </c>
      <c r="E744" s="84" t="s">
        <v>2604</v>
      </c>
      <c r="F744" s="113"/>
      <c r="G744" s="131"/>
      <c r="H744" s="186" t="s">
        <v>1024</v>
      </c>
      <c r="I744" s="125" t="s">
        <v>326</v>
      </c>
      <c r="J744" s="125" t="s">
        <v>341</v>
      </c>
      <c r="K744" s="125" t="s">
        <v>580</v>
      </c>
      <c r="L744" s="138" t="s">
        <v>507</v>
      </c>
      <c r="M744" s="138" t="s">
        <v>508</v>
      </c>
    </row>
    <row r="745" spans="1:13" s="114" customFormat="1" ht="51">
      <c r="A745" s="136">
        <v>743</v>
      </c>
      <c r="B745" s="129" t="s">
        <v>2605</v>
      </c>
      <c r="C745" s="125" t="s">
        <v>2600</v>
      </c>
      <c r="D745" s="137" t="s">
        <v>2601</v>
      </c>
      <c r="E745" s="84" t="s">
        <v>2606</v>
      </c>
      <c r="F745" s="113"/>
      <c r="G745" s="131"/>
      <c r="H745" s="186" t="s">
        <v>596</v>
      </c>
      <c r="I745" s="125" t="s">
        <v>326</v>
      </c>
      <c r="J745" s="125" t="s">
        <v>352</v>
      </c>
      <c r="K745" s="125" t="s">
        <v>597</v>
      </c>
      <c r="L745" s="138" t="s">
        <v>507</v>
      </c>
      <c r="M745" s="138" t="s">
        <v>508</v>
      </c>
    </row>
    <row r="746" spans="1:13" s="114" customFormat="1" ht="25.5">
      <c r="A746" s="136">
        <v>744</v>
      </c>
      <c r="B746" s="129" t="s">
        <v>2607</v>
      </c>
      <c r="C746" s="125" t="s">
        <v>2608</v>
      </c>
      <c r="D746" s="137" t="s">
        <v>2609</v>
      </c>
      <c r="E746" s="84" t="s">
        <v>2610</v>
      </c>
      <c r="F746" s="113"/>
      <c r="G746" s="131"/>
      <c r="H746" s="186" t="s">
        <v>1671</v>
      </c>
      <c r="I746" s="125" t="s">
        <v>326</v>
      </c>
      <c r="J746" s="125" t="s">
        <v>341</v>
      </c>
      <c r="K746" s="125" t="s">
        <v>580</v>
      </c>
      <c r="L746" s="138" t="s">
        <v>507</v>
      </c>
      <c r="M746" s="138" t="s">
        <v>508</v>
      </c>
    </row>
    <row r="747" spans="1:13" s="114" customFormat="1" ht="38.25">
      <c r="A747" s="136">
        <v>745</v>
      </c>
      <c r="B747" s="129" t="s">
        <v>2611</v>
      </c>
      <c r="C747" s="125" t="s">
        <v>2612</v>
      </c>
      <c r="D747" s="137" t="s">
        <v>2613</v>
      </c>
      <c r="E747" s="84" t="s">
        <v>2614</v>
      </c>
      <c r="F747" s="113"/>
      <c r="G747" s="131"/>
      <c r="H747" s="186" t="s">
        <v>543</v>
      </c>
      <c r="I747" s="125" t="s">
        <v>326</v>
      </c>
      <c r="J747" s="125" t="s">
        <v>331</v>
      </c>
      <c r="K747" s="125" t="s">
        <v>512</v>
      </c>
      <c r="L747" s="138" t="s">
        <v>507</v>
      </c>
      <c r="M747" s="138" t="s">
        <v>508</v>
      </c>
    </row>
    <row r="748" spans="1:13" s="114" customFormat="1" ht="38.25">
      <c r="A748" s="136">
        <v>746</v>
      </c>
      <c r="B748" s="129" t="s">
        <v>2615</v>
      </c>
      <c r="C748" s="125" t="s">
        <v>2612</v>
      </c>
      <c r="D748" s="137" t="s">
        <v>2613</v>
      </c>
      <c r="E748" s="84" t="s">
        <v>2616</v>
      </c>
      <c r="F748" s="113"/>
      <c r="G748" s="131"/>
      <c r="H748" s="186" t="s">
        <v>776</v>
      </c>
      <c r="I748" s="125" t="s">
        <v>326</v>
      </c>
      <c r="J748" s="125" t="s">
        <v>352</v>
      </c>
      <c r="K748" s="125" t="s">
        <v>781</v>
      </c>
      <c r="L748" s="138" t="s">
        <v>507</v>
      </c>
      <c r="M748" s="138" t="s">
        <v>508</v>
      </c>
    </row>
    <row r="749" spans="1:13" s="114" customFormat="1" ht="51">
      <c r="A749" s="136">
        <v>747</v>
      </c>
      <c r="B749" s="129" t="s">
        <v>2617</v>
      </c>
      <c r="C749" s="125" t="s">
        <v>2618</v>
      </c>
      <c r="D749" s="137" t="s">
        <v>2619</v>
      </c>
      <c r="E749" s="84" t="s">
        <v>2620</v>
      </c>
      <c r="F749" s="113"/>
      <c r="G749" s="131"/>
      <c r="H749" s="186" t="s">
        <v>1356</v>
      </c>
      <c r="I749" s="125" t="s">
        <v>326</v>
      </c>
      <c r="J749" s="125" t="s">
        <v>331</v>
      </c>
      <c r="K749" s="125" t="s">
        <v>1357</v>
      </c>
      <c r="L749" s="138" t="s">
        <v>314</v>
      </c>
      <c r="M749" s="138" t="s">
        <v>953</v>
      </c>
    </row>
    <row r="750" spans="1:13" s="114" customFormat="1" ht="25.5">
      <c r="A750" s="136">
        <v>748</v>
      </c>
      <c r="B750" s="129" t="s">
        <v>2621</v>
      </c>
      <c r="C750" s="125">
        <v>4.4000000000000004</v>
      </c>
      <c r="D750" s="137" t="s">
        <v>2622</v>
      </c>
      <c r="E750" s="84" t="s">
        <v>2623</v>
      </c>
      <c r="F750" s="113"/>
      <c r="G750" s="131"/>
      <c r="H750" s="186" t="s">
        <v>1826</v>
      </c>
      <c r="I750" s="125" t="s">
        <v>327</v>
      </c>
      <c r="J750" s="125" t="s">
        <v>337</v>
      </c>
      <c r="K750" s="125" t="s">
        <v>1827</v>
      </c>
      <c r="L750" s="138" t="s">
        <v>507</v>
      </c>
      <c r="M750" s="138" t="s">
        <v>508</v>
      </c>
    </row>
    <row r="751" spans="1:13" s="114" customFormat="1" ht="25.5">
      <c r="A751" s="136">
        <v>749</v>
      </c>
      <c r="B751" s="129" t="s">
        <v>2624</v>
      </c>
      <c r="C751" s="129" t="s">
        <v>2625</v>
      </c>
      <c r="D751" s="140" t="s">
        <v>2626</v>
      </c>
      <c r="E751" s="84" t="s">
        <v>2627</v>
      </c>
      <c r="F751" s="113"/>
      <c r="G751" s="131"/>
      <c r="H751" s="186" t="s">
        <v>1836</v>
      </c>
      <c r="I751" s="125" t="s">
        <v>326</v>
      </c>
      <c r="J751" s="125" t="s">
        <v>349</v>
      </c>
      <c r="K751" s="125" t="s">
        <v>1336</v>
      </c>
      <c r="L751" s="138" t="s">
        <v>507</v>
      </c>
      <c r="M751" s="138" t="s">
        <v>508</v>
      </c>
    </row>
    <row r="752" spans="1:13" s="114" customFormat="1" ht="51">
      <c r="A752" s="136">
        <v>750</v>
      </c>
      <c r="B752" s="129" t="s">
        <v>2628</v>
      </c>
      <c r="C752" s="129" t="s">
        <v>2629</v>
      </c>
      <c r="D752" s="137" t="s">
        <v>2630</v>
      </c>
      <c r="E752" s="84" t="s">
        <v>2631</v>
      </c>
      <c r="F752" s="113"/>
      <c r="G752" s="131"/>
      <c r="H752" s="186" t="s">
        <v>2632</v>
      </c>
      <c r="I752" s="125" t="s">
        <v>326</v>
      </c>
      <c r="J752" s="125" t="s">
        <v>346</v>
      </c>
      <c r="K752" s="125" t="s">
        <v>1465</v>
      </c>
      <c r="L752" s="138" t="s">
        <v>314</v>
      </c>
      <c r="M752" s="138" t="s">
        <v>953</v>
      </c>
    </row>
    <row r="753" spans="1:13" s="114" customFormat="1" ht="25.5">
      <c r="A753" s="136">
        <v>751</v>
      </c>
      <c r="B753" s="129" t="s">
        <v>2633</v>
      </c>
      <c r="C753" s="129" t="s">
        <v>2629</v>
      </c>
      <c r="D753" s="137" t="s">
        <v>2630</v>
      </c>
      <c r="E753" s="84" t="s">
        <v>2634</v>
      </c>
      <c r="F753" s="113"/>
      <c r="G753" s="131"/>
      <c r="H753" s="186" t="s">
        <v>1836</v>
      </c>
      <c r="I753" s="125" t="s">
        <v>326</v>
      </c>
      <c r="J753" s="125" t="s">
        <v>349</v>
      </c>
      <c r="K753" s="125" t="s">
        <v>1336</v>
      </c>
      <c r="L753" s="138" t="s">
        <v>507</v>
      </c>
      <c r="M753" s="138" t="s">
        <v>508</v>
      </c>
    </row>
    <row r="754" spans="1:13" s="114" customFormat="1" ht="38.25">
      <c r="A754" s="136">
        <v>752</v>
      </c>
      <c r="B754" s="129" t="s">
        <v>2635</v>
      </c>
      <c r="C754" s="129" t="s">
        <v>2636</v>
      </c>
      <c r="D754" s="137" t="s">
        <v>2637</v>
      </c>
      <c r="E754" s="84" t="s">
        <v>2638</v>
      </c>
      <c r="F754" s="113"/>
      <c r="G754" s="131"/>
      <c r="H754" s="186" t="s">
        <v>1531</v>
      </c>
      <c r="I754" s="125" t="s">
        <v>326</v>
      </c>
      <c r="J754" s="125" t="s">
        <v>346</v>
      </c>
      <c r="K754" s="125" t="s">
        <v>761</v>
      </c>
      <c r="L754" s="138" t="s">
        <v>507</v>
      </c>
      <c r="M754" s="138" t="s">
        <v>508</v>
      </c>
    </row>
    <row r="755" spans="1:13" s="114" customFormat="1" ht="38.25">
      <c r="A755" s="136">
        <v>753</v>
      </c>
      <c r="B755" s="129" t="s">
        <v>2639</v>
      </c>
      <c r="C755" s="129" t="s">
        <v>2636</v>
      </c>
      <c r="D755" s="137" t="s">
        <v>2640</v>
      </c>
      <c r="E755" s="84" t="s">
        <v>2641</v>
      </c>
      <c r="F755" s="113"/>
      <c r="G755" s="131"/>
      <c r="H755" s="186" t="s">
        <v>513</v>
      </c>
      <c r="I755" s="125" t="s">
        <v>326</v>
      </c>
      <c r="J755" s="125" t="s">
        <v>331</v>
      </c>
      <c r="K755" s="125" t="s">
        <v>512</v>
      </c>
      <c r="L755" s="138" t="s">
        <v>507</v>
      </c>
      <c r="M755" s="138" t="s">
        <v>508</v>
      </c>
    </row>
    <row r="756" spans="1:13" s="114" customFormat="1" ht="25.5">
      <c r="A756" s="136">
        <v>754</v>
      </c>
      <c r="B756" s="129" t="s">
        <v>2642</v>
      </c>
      <c r="C756" s="129" t="s">
        <v>2636</v>
      </c>
      <c r="D756" s="137" t="s">
        <v>2640</v>
      </c>
      <c r="E756" s="84" t="s">
        <v>2643</v>
      </c>
      <c r="F756" s="113"/>
      <c r="G756" s="131"/>
      <c r="H756" s="186" t="s">
        <v>2632</v>
      </c>
      <c r="I756" s="107" t="s">
        <v>326</v>
      </c>
      <c r="J756" s="125" t="s">
        <v>346</v>
      </c>
      <c r="K756" s="125" t="s">
        <v>1465</v>
      </c>
      <c r="L756" s="138" t="s">
        <v>314</v>
      </c>
      <c r="M756" s="138" t="s">
        <v>508</v>
      </c>
    </row>
    <row r="757" spans="1:13" s="114" customFormat="1" ht="25.5">
      <c r="A757" s="136">
        <v>755</v>
      </c>
      <c r="B757" s="129" t="s">
        <v>2644</v>
      </c>
      <c r="C757" s="129" t="s">
        <v>2636</v>
      </c>
      <c r="D757" s="137" t="s">
        <v>2640</v>
      </c>
      <c r="E757" s="84" t="s">
        <v>2645</v>
      </c>
      <c r="F757" s="113"/>
      <c r="G757" s="131"/>
      <c r="H757" s="186" t="s">
        <v>2632</v>
      </c>
      <c r="I757" s="107" t="s">
        <v>326</v>
      </c>
      <c r="J757" s="125" t="s">
        <v>346</v>
      </c>
      <c r="K757" s="125" t="s">
        <v>1465</v>
      </c>
      <c r="L757" s="138" t="s">
        <v>314</v>
      </c>
      <c r="M757" s="138" t="s">
        <v>508</v>
      </c>
    </row>
    <row r="758" spans="1:13" s="114" customFormat="1" ht="25.5">
      <c r="A758" s="136">
        <v>756</v>
      </c>
      <c r="B758" s="129" t="s">
        <v>2646</v>
      </c>
      <c r="C758" s="129" t="s">
        <v>2647</v>
      </c>
      <c r="D758" s="137" t="s">
        <v>2648</v>
      </c>
      <c r="E758" s="84" t="s">
        <v>2649</v>
      </c>
      <c r="F758" s="113"/>
      <c r="G758" s="131"/>
      <c r="H758" s="186" t="s">
        <v>1051</v>
      </c>
      <c r="I758" s="125" t="s">
        <v>326</v>
      </c>
      <c r="J758" s="125" t="s">
        <v>352</v>
      </c>
      <c r="K758" s="125" t="s">
        <v>1044</v>
      </c>
      <c r="L758" s="138" t="s">
        <v>507</v>
      </c>
      <c r="M758" s="138" t="s">
        <v>508</v>
      </c>
    </row>
    <row r="759" spans="1:13" s="114" customFormat="1" ht="25.5">
      <c r="A759" s="136">
        <v>757</v>
      </c>
      <c r="B759" s="129" t="s">
        <v>1007</v>
      </c>
      <c r="C759" s="129" t="s">
        <v>2650</v>
      </c>
      <c r="D759" s="140" t="s">
        <v>2651</v>
      </c>
      <c r="E759" s="84" t="s">
        <v>2652</v>
      </c>
      <c r="F759" s="113"/>
      <c r="G759" s="131"/>
      <c r="H759" s="186" t="s">
        <v>2653</v>
      </c>
      <c r="I759" s="125" t="s">
        <v>326</v>
      </c>
      <c r="J759" s="125" t="s">
        <v>352</v>
      </c>
      <c r="K759" s="125" t="s">
        <v>526</v>
      </c>
      <c r="L759" s="138" t="s">
        <v>507</v>
      </c>
      <c r="M759" s="138" t="s">
        <v>508</v>
      </c>
    </row>
    <row r="760" spans="1:13" s="114" customFormat="1" ht="25.5">
      <c r="A760" s="136">
        <v>758</v>
      </c>
      <c r="B760" s="129" t="s">
        <v>889</v>
      </c>
      <c r="C760" s="129" t="s">
        <v>2650</v>
      </c>
      <c r="D760" s="140" t="s">
        <v>2651</v>
      </c>
      <c r="E760" s="84" t="s">
        <v>2654</v>
      </c>
      <c r="F760" s="113"/>
      <c r="G760" s="131"/>
      <c r="H760" s="186" t="s">
        <v>2655</v>
      </c>
      <c r="I760" s="125" t="s">
        <v>326</v>
      </c>
      <c r="J760" s="125" t="s">
        <v>352</v>
      </c>
      <c r="K760" s="125" t="s">
        <v>526</v>
      </c>
      <c r="L760" s="138" t="s">
        <v>507</v>
      </c>
      <c r="M760" s="138" t="s">
        <v>508</v>
      </c>
    </row>
    <row r="761" spans="1:13" s="114" customFormat="1" ht="25.5">
      <c r="A761" s="136">
        <v>759</v>
      </c>
      <c r="B761" s="129" t="s">
        <v>2656</v>
      </c>
      <c r="C761" s="129" t="s">
        <v>2650</v>
      </c>
      <c r="D761" s="140" t="s">
        <v>2651</v>
      </c>
      <c r="E761" s="84" t="s">
        <v>2657</v>
      </c>
      <c r="F761" s="113"/>
      <c r="G761" s="131"/>
      <c r="H761" s="186" t="s">
        <v>889</v>
      </c>
      <c r="I761" s="125" t="s">
        <v>326</v>
      </c>
      <c r="J761" s="125" t="s">
        <v>352</v>
      </c>
      <c r="K761" s="125" t="s">
        <v>526</v>
      </c>
      <c r="L761" s="138" t="s">
        <v>507</v>
      </c>
      <c r="M761" s="138" t="s">
        <v>508</v>
      </c>
    </row>
    <row r="762" spans="1:13" s="114" customFormat="1" ht="38.25">
      <c r="A762" s="136">
        <v>760</v>
      </c>
      <c r="B762" s="129" t="s">
        <v>2658</v>
      </c>
      <c r="C762" s="125" t="s">
        <v>2650</v>
      </c>
      <c r="D762" s="140" t="s">
        <v>2651</v>
      </c>
      <c r="E762" s="84" t="s">
        <v>2659</v>
      </c>
      <c r="F762" s="113"/>
      <c r="G762" s="131"/>
      <c r="H762" s="186" t="s">
        <v>889</v>
      </c>
      <c r="I762" s="125" t="s">
        <v>326</v>
      </c>
      <c r="J762" s="125" t="s">
        <v>352</v>
      </c>
      <c r="K762" s="125" t="s">
        <v>526</v>
      </c>
      <c r="L762" s="138" t="s">
        <v>507</v>
      </c>
      <c r="M762" s="138" t="s">
        <v>508</v>
      </c>
    </row>
    <row r="763" spans="1:13" s="114" customFormat="1" ht="38.25">
      <c r="A763" s="136">
        <v>761</v>
      </c>
      <c r="B763" s="129" t="s">
        <v>2660</v>
      </c>
      <c r="C763" s="125" t="s">
        <v>2650</v>
      </c>
      <c r="D763" s="140" t="s">
        <v>2651</v>
      </c>
      <c r="E763" s="84" t="s">
        <v>2661</v>
      </c>
      <c r="F763" s="113"/>
      <c r="G763" s="131"/>
      <c r="H763" s="186" t="s">
        <v>889</v>
      </c>
      <c r="I763" s="125" t="s">
        <v>326</v>
      </c>
      <c r="J763" s="125" t="s">
        <v>352</v>
      </c>
      <c r="K763" s="125" t="s">
        <v>526</v>
      </c>
      <c r="L763" s="138" t="s">
        <v>507</v>
      </c>
      <c r="M763" s="138" t="s">
        <v>508</v>
      </c>
    </row>
    <row r="764" spans="1:13" s="114" customFormat="1" ht="38.25">
      <c r="A764" s="136">
        <v>762</v>
      </c>
      <c r="B764" s="129" t="s">
        <v>2662</v>
      </c>
      <c r="C764" s="125" t="s">
        <v>2650</v>
      </c>
      <c r="D764" s="140" t="s">
        <v>2651</v>
      </c>
      <c r="E764" s="84" t="s">
        <v>2663</v>
      </c>
      <c r="F764" s="113"/>
      <c r="G764" s="131"/>
      <c r="H764" s="186" t="s">
        <v>892</v>
      </c>
      <c r="I764" s="125" t="s">
        <v>326</v>
      </c>
      <c r="J764" s="125" t="s">
        <v>346</v>
      </c>
      <c r="K764" s="125" t="s">
        <v>893</v>
      </c>
      <c r="L764" s="138" t="s">
        <v>507</v>
      </c>
      <c r="M764" s="138" t="s">
        <v>508</v>
      </c>
    </row>
    <row r="765" spans="1:13" s="114" customFormat="1" ht="25.5">
      <c r="A765" s="136">
        <v>763</v>
      </c>
      <c r="B765" s="129" t="s">
        <v>2055</v>
      </c>
      <c r="C765" s="125" t="s">
        <v>2650</v>
      </c>
      <c r="D765" s="140" t="s">
        <v>2651</v>
      </c>
      <c r="E765" s="84" t="s">
        <v>2664</v>
      </c>
      <c r="F765" s="113"/>
      <c r="G765" s="131"/>
      <c r="H765" s="186" t="s">
        <v>2665</v>
      </c>
      <c r="I765" s="125" t="s">
        <v>326</v>
      </c>
      <c r="J765" s="125" t="s">
        <v>341</v>
      </c>
      <c r="K765" s="125" t="s">
        <v>580</v>
      </c>
      <c r="L765" s="138" t="s">
        <v>507</v>
      </c>
      <c r="M765" s="138" t="s">
        <v>508</v>
      </c>
    </row>
    <row r="766" spans="1:13" s="114" customFormat="1" ht="25.5">
      <c r="A766" s="136">
        <v>764</v>
      </c>
      <c r="B766" s="129" t="s">
        <v>2666</v>
      </c>
      <c r="C766" s="129" t="s">
        <v>2667</v>
      </c>
      <c r="D766" s="140" t="s">
        <v>2668</v>
      </c>
      <c r="E766" s="84" t="s">
        <v>2669</v>
      </c>
      <c r="F766" s="113"/>
      <c r="G766" s="131"/>
      <c r="H766" s="186" t="s">
        <v>1089</v>
      </c>
      <c r="I766" s="125" t="s">
        <v>327</v>
      </c>
      <c r="J766" s="125" t="s">
        <v>342</v>
      </c>
      <c r="K766" s="125" t="s">
        <v>1090</v>
      </c>
      <c r="L766" s="138" t="s">
        <v>507</v>
      </c>
      <c r="M766" s="138" t="s">
        <v>508</v>
      </c>
    </row>
    <row r="767" spans="1:13" s="114" customFormat="1" ht="25.5">
      <c r="A767" s="136">
        <v>765</v>
      </c>
      <c r="B767" s="129" t="s">
        <v>2670</v>
      </c>
      <c r="C767" s="129" t="s">
        <v>2667</v>
      </c>
      <c r="D767" s="140" t="s">
        <v>2668</v>
      </c>
      <c r="E767" s="84" t="s">
        <v>2671</v>
      </c>
      <c r="F767" s="113"/>
      <c r="G767" s="131"/>
      <c r="H767" s="186" t="s">
        <v>1089</v>
      </c>
      <c r="I767" s="125" t="s">
        <v>327</v>
      </c>
      <c r="J767" s="125" t="s">
        <v>342</v>
      </c>
      <c r="K767" s="125" t="s">
        <v>1090</v>
      </c>
      <c r="L767" s="138" t="s">
        <v>507</v>
      </c>
      <c r="M767" s="138" t="s">
        <v>508</v>
      </c>
    </row>
    <row r="768" spans="1:13" s="114" customFormat="1" ht="25.5">
      <c r="A768" s="136">
        <v>766</v>
      </c>
      <c r="B768" s="129" t="s">
        <v>2672</v>
      </c>
      <c r="C768" s="129" t="s">
        <v>2673</v>
      </c>
      <c r="D768" s="140" t="s">
        <v>2674</v>
      </c>
      <c r="E768" s="84" t="s">
        <v>2675</v>
      </c>
      <c r="F768" s="113"/>
      <c r="G768" s="131"/>
      <c r="H768" s="186" t="s">
        <v>1671</v>
      </c>
      <c r="I768" s="125" t="s">
        <v>326</v>
      </c>
      <c r="J768" s="125" t="s">
        <v>341</v>
      </c>
      <c r="K768" s="125" t="s">
        <v>580</v>
      </c>
      <c r="L768" s="138" t="s">
        <v>507</v>
      </c>
      <c r="M768" s="138" t="s">
        <v>508</v>
      </c>
    </row>
    <row r="769" spans="1:13" s="114" customFormat="1" ht="25.5">
      <c r="A769" s="136">
        <v>767</v>
      </c>
      <c r="B769" s="129" t="s">
        <v>2676</v>
      </c>
      <c r="C769" s="129" t="s">
        <v>2673</v>
      </c>
      <c r="D769" s="140" t="s">
        <v>2674</v>
      </c>
      <c r="E769" s="84" t="s">
        <v>2677</v>
      </c>
      <c r="F769" s="113"/>
      <c r="G769" s="131"/>
      <c r="H769" s="186" t="s">
        <v>1024</v>
      </c>
      <c r="I769" s="125" t="s">
        <v>326</v>
      </c>
      <c r="J769" s="125" t="s">
        <v>341</v>
      </c>
      <c r="K769" s="125" t="s">
        <v>580</v>
      </c>
      <c r="L769" s="138" t="s">
        <v>507</v>
      </c>
      <c r="M769" s="138" t="s">
        <v>508</v>
      </c>
    </row>
    <row r="770" spans="1:13" s="114" customFormat="1" ht="25.5">
      <c r="A770" s="136">
        <v>768</v>
      </c>
      <c r="B770" s="129" t="s">
        <v>2678</v>
      </c>
      <c r="C770" s="129" t="s">
        <v>2673</v>
      </c>
      <c r="D770" s="140" t="s">
        <v>2674</v>
      </c>
      <c r="E770" s="84" t="s">
        <v>2679</v>
      </c>
      <c r="F770" s="113"/>
      <c r="G770" s="131"/>
      <c r="H770" s="186" t="s">
        <v>1024</v>
      </c>
      <c r="I770" s="125" t="s">
        <v>326</v>
      </c>
      <c r="J770" s="125" t="s">
        <v>341</v>
      </c>
      <c r="K770" s="125" t="s">
        <v>580</v>
      </c>
      <c r="L770" s="138" t="s">
        <v>507</v>
      </c>
      <c r="M770" s="138" t="s">
        <v>508</v>
      </c>
    </row>
    <row r="771" spans="1:13" s="114" customFormat="1" ht="25.5">
      <c r="A771" s="136">
        <v>769</v>
      </c>
      <c r="B771" s="129" t="s">
        <v>2680</v>
      </c>
      <c r="C771" s="129" t="s">
        <v>2681</v>
      </c>
      <c r="D771" s="140" t="s">
        <v>2682</v>
      </c>
      <c r="E771" s="84" t="s">
        <v>2683</v>
      </c>
      <c r="F771" s="113"/>
      <c r="G771" s="131"/>
      <c r="H771" s="186" t="s">
        <v>1671</v>
      </c>
      <c r="I771" s="125" t="s">
        <v>326</v>
      </c>
      <c r="J771" s="125" t="s">
        <v>341</v>
      </c>
      <c r="K771" s="125" t="s">
        <v>580</v>
      </c>
      <c r="L771" s="138" t="s">
        <v>507</v>
      </c>
      <c r="M771" s="138" t="s">
        <v>508</v>
      </c>
    </row>
    <row r="772" spans="1:13" s="114" customFormat="1" ht="25.5">
      <c r="A772" s="136">
        <v>770</v>
      </c>
      <c r="B772" s="129" t="s">
        <v>2684</v>
      </c>
      <c r="C772" s="129" t="s">
        <v>2685</v>
      </c>
      <c r="D772" s="140" t="s">
        <v>2686</v>
      </c>
      <c r="E772" s="84" t="s">
        <v>2687</v>
      </c>
      <c r="F772" s="113"/>
      <c r="G772" s="131"/>
      <c r="H772" s="186" t="s">
        <v>1131</v>
      </c>
      <c r="I772" s="125" t="s">
        <v>326</v>
      </c>
      <c r="J772" s="125" t="s">
        <v>346</v>
      </c>
      <c r="K772" s="125" t="s">
        <v>893</v>
      </c>
      <c r="L772" s="138" t="s">
        <v>507</v>
      </c>
      <c r="M772" s="138" t="s">
        <v>508</v>
      </c>
    </row>
    <row r="773" spans="1:13" s="114" customFormat="1" ht="38.25">
      <c r="A773" s="136">
        <v>771</v>
      </c>
      <c r="B773" s="129" t="s">
        <v>1617</v>
      </c>
      <c r="C773" s="129" t="s">
        <v>2688</v>
      </c>
      <c r="D773" s="140" t="s">
        <v>2689</v>
      </c>
      <c r="E773" s="84" t="s">
        <v>2690</v>
      </c>
      <c r="F773" s="113"/>
      <c r="G773" s="131"/>
      <c r="H773" s="186" t="s">
        <v>2691</v>
      </c>
      <c r="I773" s="125" t="s">
        <v>326</v>
      </c>
      <c r="J773" s="125" t="s">
        <v>352</v>
      </c>
      <c r="K773" s="125" t="s">
        <v>561</v>
      </c>
      <c r="L773" s="138" t="s">
        <v>507</v>
      </c>
      <c r="M773" s="138" t="s">
        <v>508</v>
      </c>
    </row>
    <row r="774" spans="1:13" s="114" customFormat="1" ht="38.25">
      <c r="A774" s="136">
        <v>772</v>
      </c>
      <c r="B774" s="129" t="s">
        <v>2692</v>
      </c>
      <c r="C774" s="129" t="s">
        <v>2688</v>
      </c>
      <c r="D774" s="140" t="s">
        <v>2689</v>
      </c>
      <c r="E774" s="84" t="s">
        <v>2693</v>
      </c>
      <c r="F774" s="113"/>
      <c r="G774" s="131"/>
      <c r="H774" s="186" t="s">
        <v>1617</v>
      </c>
      <c r="I774" s="125" t="s">
        <v>326</v>
      </c>
      <c r="J774" s="125" t="s">
        <v>352</v>
      </c>
      <c r="K774" s="125" t="s">
        <v>561</v>
      </c>
      <c r="L774" s="138" t="s">
        <v>507</v>
      </c>
      <c r="M774" s="138" t="s">
        <v>508</v>
      </c>
    </row>
    <row r="775" spans="1:13" s="114" customFormat="1" ht="38.25">
      <c r="A775" s="136">
        <v>773</v>
      </c>
      <c r="B775" s="129" t="s">
        <v>2333</v>
      </c>
      <c r="C775" s="129" t="s">
        <v>2694</v>
      </c>
      <c r="D775" s="137" t="s">
        <v>2695</v>
      </c>
      <c r="E775" s="84" t="s">
        <v>2696</v>
      </c>
      <c r="F775" s="113"/>
      <c r="G775" s="131"/>
      <c r="H775" s="186" t="s">
        <v>2697</v>
      </c>
      <c r="I775" s="125" t="s">
        <v>326</v>
      </c>
      <c r="J775" s="125" t="s">
        <v>341</v>
      </c>
      <c r="K775" s="125" t="s">
        <v>1736</v>
      </c>
      <c r="L775" s="138" t="s">
        <v>316</v>
      </c>
      <c r="M775" s="125" t="s">
        <v>2326</v>
      </c>
    </row>
    <row r="776" spans="1:13" s="114" customFormat="1" ht="38.25">
      <c r="A776" s="136">
        <v>774</v>
      </c>
      <c r="B776" s="129" t="s">
        <v>2698</v>
      </c>
      <c r="C776" s="129" t="s">
        <v>2694</v>
      </c>
      <c r="D776" s="137" t="s">
        <v>2695</v>
      </c>
      <c r="E776" s="84" t="s">
        <v>2699</v>
      </c>
      <c r="F776" s="113"/>
      <c r="G776" s="131"/>
      <c r="H776" s="186" t="s">
        <v>535</v>
      </c>
      <c r="I776" s="125" t="s">
        <v>326</v>
      </c>
      <c r="J776" s="125" t="s">
        <v>331</v>
      </c>
      <c r="K776" s="125" t="s">
        <v>512</v>
      </c>
      <c r="L776" s="138" t="s">
        <v>507</v>
      </c>
      <c r="M776" s="138" t="s">
        <v>508</v>
      </c>
    </row>
    <row r="777" spans="1:13" s="114" customFormat="1" ht="25.5">
      <c r="A777" s="136">
        <v>775</v>
      </c>
      <c r="B777" s="129" t="s">
        <v>2700</v>
      </c>
      <c r="C777" s="129" t="s">
        <v>2701</v>
      </c>
      <c r="D777" s="140" t="s">
        <v>2702</v>
      </c>
      <c r="E777" s="84" t="s">
        <v>2703</v>
      </c>
      <c r="F777" s="113"/>
      <c r="G777" s="131"/>
      <c r="H777" s="186" t="s">
        <v>600</v>
      </c>
      <c r="I777" s="125" t="s">
        <v>326</v>
      </c>
      <c r="J777" s="125" t="s">
        <v>341</v>
      </c>
      <c r="K777" s="125" t="s">
        <v>601</v>
      </c>
      <c r="L777" s="138" t="s">
        <v>507</v>
      </c>
      <c r="M777" s="138" t="s">
        <v>508</v>
      </c>
    </row>
    <row r="778" spans="1:13" s="114" customFormat="1" ht="51">
      <c r="A778" s="136">
        <v>776</v>
      </c>
      <c r="B778" s="129" t="s">
        <v>2704</v>
      </c>
      <c r="C778" s="129" t="s">
        <v>2705</v>
      </c>
      <c r="D778" s="137" t="s">
        <v>2706</v>
      </c>
      <c r="E778" s="84" t="s">
        <v>2707</v>
      </c>
      <c r="F778" s="113"/>
      <c r="G778" s="131"/>
      <c r="H778" s="186" t="s">
        <v>2708</v>
      </c>
      <c r="I778" s="125" t="s">
        <v>326</v>
      </c>
      <c r="J778" s="125" t="s">
        <v>331</v>
      </c>
      <c r="K778" s="125" t="s">
        <v>530</v>
      </c>
      <c r="L778" s="138" t="s">
        <v>315</v>
      </c>
      <c r="M778" s="138" t="s">
        <v>508</v>
      </c>
    </row>
    <row r="779" spans="1:13" s="114" customFormat="1" ht="25.5">
      <c r="A779" s="136">
        <v>777</v>
      </c>
      <c r="B779" s="129" t="s">
        <v>2709</v>
      </c>
      <c r="C779" s="129" t="s">
        <v>2705</v>
      </c>
      <c r="D779" s="137" t="s">
        <v>2706</v>
      </c>
      <c r="E779" s="84" t="s">
        <v>2710</v>
      </c>
      <c r="F779" s="113"/>
      <c r="G779" s="131"/>
      <c r="H779" s="186" t="s">
        <v>600</v>
      </c>
      <c r="I779" s="125" t="s">
        <v>326</v>
      </c>
      <c r="J779" s="125" t="s">
        <v>341</v>
      </c>
      <c r="K779" s="125" t="s">
        <v>601</v>
      </c>
      <c r="L779" s="138" t="s">
        <v>507</v>
      </c>
      <c r="M779" s="138" t="s">
        <v>508</v>
      </c>
    </row>
    <row r="780" spans="1:13" s="114" customFormat="1" ht="25.5">
      <c r="A780" s="136">
        <v>778</v>
      </c>
      <c r="B780" s="129" t="s">
        <v>2711</v>
      </c>
      <c r="C780" s="129" t="s">
        <v>2705</v>
      </c>
      <c r="D780" s="140" t="s">
        <v>2712</v>
      </c>
      <c r="E780" s="84" t="s">
        <v>2713</v>
      </c>
      <c r="F780" s="113"/>
      <c r="G780" s="131"/>
      <c r="H780" s="186" t="s">
        <v>2714</v>
      </c>
      <c r="I780" s="125" t="s">
        <v>326</v>
      </c>
      <c r="J780" s="125" t="s">
        <v>341</v>
      </c>
      <c r="K780" s="125" t="s">
        <v>601</v>
      </c>
      <c r="L780" s="138" t="s">
        <v>507</v>
      </c>
      <c r="M780" s="138" t="s">
        <v>508</v>
      </c>
    </row>
    <row r="781" spans="1:13" s="114" customFormat="1" ht="51">
      <c r="A781" s="136">
        <v>779</v>
      </c>
      <c r="B781" s="129" t="s">
        <v>2715</v>
      </c>
      <c r="C781" s="129" t="s">
        <v>2705</v>
      </c>
      <c r="D781" s="140" t="s">
        <v>2712</v>
      </c>
      <c r="E781" s="84" t="s">
        <v>2716</v>
      </c>
      <c r="F781" s="113"/>
      <c r="G781" s="131"/>
      <c r="H781" s="186" t="s">
        <v>2708</v>
      </c>
      <c r="I781" s="125" t="s">
        <v>326</v>
      </c>
      <c r="J781" s="125" t="s">
        <v>331</v>
      </c>
      <c r="K781" s="125" t="s">
        <v>530</v>
      </c>
      <c r="L781" s="138" t="s">
        <v>315</v>
      </c>
      <c r="M781" s="138" t="s">
        <v>508</v>
      </c>
    </row>
    <row r="782" spans="1:13" s="114" customFormat="1" ht="51">
      <c r="A782" s="136">
        <v>780</v>
      </c>
      <c r="B782" s="129" t="s">
        <v>2717</v>
      </c>
      <c r="C782" s="129" t="s">
        <v>2705</v>
      </c>
      <c r="D782" s="140" t="s">
        <v>2712</v>
      </c>
      <c r="E782" s="84" t="s">
        <v>2718</v>
      </c>
      <c r="F782" s="113"/>
      <c r="G782" s="131"/>
      <c r="H782" s="186" t="s">
        <v>2708</v>
      </c>
      <c r="I782" s="125" t="s">
        <v>326</v>
      </c>
      <c r="J782" s="125" t="s">
        <v>331</v>
      </c>
      <c r="K782" s="125" t="s">
        <v>530</v>
      </c>
      <c r="L782" s="138" t="s">
        <v>2719</v>
      </c>
      <c r="M782" s="138" t="s">
        <v>508</v>
      </c>
    </row>
    <row r="783" spans="1:13" s="114" customFormat="1" ht="51">
      <c r="A783" s="136">
        <v>781</v>
      </c>
      <c r="B783" s="129" t="s">
        <v>2720</v>
      </c>
      <c r="C783" s="129" t="s">
        <v>2721</v>
      </c>
      <c r="D783" s="137" t="s">
        <v>2722</v>
      </c>
      <c r="E783" s="84" t="s">
        <v>2723</v>
      </c>
      <c r="F783" s="113"/>
      <c r="G783" s="131"/>
      <c r="H783" s="186" t="s">
        <v>2708</v>
      </c>
      <c r="I783" s="125" t="s">
        <v>326</v>
      </c>
      <c r="J783" s="125" t="s">
        <v>331</v>
      </c>
      <c r="K783" s="125" t="s">
        <v>530</v>
      </c>
      <c r="L783" s="138" t="s">
        <v>2719</v>
      </c>
      <c r="M783" s="138" t="s">
        <v>508</v>
      </c>
    </row>
    <row r="784" spans="1:13" s="114" customFormat="1" ht="25.5">
      <c r="A784" s="136">
        <v>782</v>
      </c>
      <c r="B784" s="129" t="s">
        <v>2724</v>
      </c>
      <c r="C784" s="129" t="s">
        <v>2725</v>
      </c>
      <c r="D784" s="137" t="s">
        <v>2726</v>
      </c>
      <c r="E784" s="84" t="s">
        <v>2727</v>
      </c>
      <c r="F784" s="113"/>
      <c r="G784" s="131"/>
      <c r="H784" s="186" t="s">
        <v>773</v>
      </c>
      <c r="I784" s="125" t="s">
        <v>326</v>
      </c>
      <c r="J784" s="125" t="s">
        <v>341</v>
      </c>
      <c r="K784" s="125" t="s">
        <v>580</v>
      </c>
      <c r="L784" s="138" t="s">
        <v>507</v>
      </c>
      <c r="M784" s="138" t="s">
        <v>508</v>
      </c>
    </row>
    <row r="785" spans="1:13" s="114" customFormat="1" ht="51">
      <c r="A785" s="136">
        <v>783</v>
      </c>
      <c r="B785" s="129" t="s">
        <v>2728</v>
      </c>
      <c r="C785" s="129" t="s">
        <v>2725</v>
      </c>
      <c r="D785" s="137" t="s">
        <v>2726</v>
      </c>
      <c r="E785" s="84" t="s">
        <v>2729</v>
      </c>
      <c r="F785" s="113"/>
      <c r="G785" s="131"/>
      <c r="H785" s="186" t="s">
        <v>2730</v>
      </c>
      <c r="I785" s="125" t="s">
        <v>326</v>
      </c>
      <c r="J785" s="125" t="s">
        <v>331</v>
      </c>
      <c r="K785" s="125" t="s">
        <v>530</v>
      </c>
      <c r="L785" s="138" t="s">
        <v>315</v>
      </c>
      <c r="M785" s="138" t="s">
        <v>508</v>
      </c>
    </row>
    <row r="786" spans="1:13" s="114" customFormat="1" ht="51">
      <c r="A786" s="136">
        <v>784</v>
      </c>
      <c r="B786" s="129" t="s">
        <v>2731</v>
      </c>
      <c r="C786" s="129" t="s">
        <v>2725</v>
      </c>
      <c r="D786" s="137" t="s">
        <v>2726</v>
      </c>
      <c r="E786" s="84" t="s">
        <v>2732</v>
      </c>
      <c r="F786" s="113"/>
      <c r="G786" s="131"/>
      <c r="H786" s="186" t="s">
        <v>2728</v>
      </c>
      <c r="I786" s="125" t="s">
        <v>326</v>
      </c>
      <c r="J786" s="125" t="s">
        <v>331</v>
      </c>
      <c r="K786" s="125" t="s">
        <v>530</v>
      </c>
      <c r="L786" s="138" t="s">
        <v>315</v>
      </c>
      <c r="M786" s="138" t="s">
        <v>508</v>
      </c>
    </row>
    <row r="787" spans="1:13" s="114" customFormat="1" ht="51">
      <c r="A787" s="136">
        <v>785</v>
      </c>
      <c r="B787" s="129" t="s">
        <v>2733</v>
      </c>
      <c r="C787" s="129" t="s">
        <v>2734</v>
      </c>
      <c r="D787" s="137" t="s">
        <v>2735</v>
      </c>
      <c r="E787" s="84" t="s">
        <v>2736</v>
      </c>
      <c r="F787" s="113"/>
      <c r="G787" s="131"/>
      <c r="H787" s="186" t="s">
        <v>543</v>
      </c>
      <c r="I787" s="125" t="s">
        <v>326</v>
      </c>
      <c r="J787" s="125" t="s">
        <v>331</v>
      </c>
      <c r="K787" s="125" t="s">
        <v>512</v>
      </c>
      <c r="L787" s="138" t="s">
        <v>507</v>
      </c>
      <c r="M787" s="138" t="s">
        <v>508</v>
      </c>
    </row>
    <row r="788" spans="1:13" s="114" customFormat="1" ht="51">
      <c r="A788" s="136">
        <v>786</v>
      </c>
      <c r="B788" s="129" t="s">
        <v>2737</v>
      </c>
      <c r="C788" s="129" t="s">
        <v>2734</v>
      </c>
      <c r="D788" s="137" t="s">
        <v>2735</v>
      </c>
      <c r="E788" s="84" t="s">
        <v>2738</v>
      </c>
      <c r="F788" s="113"/>
      <c r="G788" s="131"/>
      <c r="H788" s="186" t="s">
        <v>543</v>
      </c>
      <c r="I788" s="125" t="s">
        <v>326</v>
      </c>
      <c r="J788" s="125" t="s">
        <v>331</v>
      </c>
      <c r="K788" s="125" t="s">
        <v>512</v>
      </c>
      <c r="L788" s="138" t="s">
        <v>507</v>
      </c>
      <c r="M788" s="138" t="s">
        <v>508</v>
      </c>
    </row>
    <row r="789" spans="1:13" s="114" customFormat="1" ht="51">
      <c r="A789" s="136">
        <v>787</v>
      </c>
      <c r="B789" s="129" t="s">
        <v>2739</v>
      </c>
      <c r="C789" s="129" t="s">
        <v>2734</v>
      </c>
      <c r="D789" s="137" t="s">
        <v>2735</v>
      </c>
      <c r="E789" s="84" t="s">
        <v>2740</v>
      </c>
      <c r="F789" s="113"/>
      <c r="G789" s="131"/>
      <c r="H789" s="186" t="s">
        <v>543</v>
      </c>
      <c r="I789" s="125" t="s">
        <v>326</v>
      </c>
      <c r="J789" s="125" t="s">
        <v>331</v>
      </c>
      <c r="K789" s="125" t="s">
        <v>512</v>
      </c>
      <c r="L789" s="138" t="s">
        <v>507</v>
      </c>
      <c r="M789" s="138" t="s">
        <v>508</v>
      </c>
    </row>
    <row r="790" spans="1:13" s="114" customFormat="1" ht="51">
      <c r="A790" s="136">
        <v>788</v>
      </c>
      <c r="B790" s="129" t="s">
        <v>2741</v>
      </c>
      <c r="C790" s="129" t="s">
        <v>2734</v>
      </c>
      <c r="D790" s="137" t="s">
        <v>2735</v>
      </c>
      <c r="E790" s="84" t="s">
        <v>2742</v>
      </c>
      <c r="F790" s="113"/>
      <c r="G790" s="131"/>
      <c r="H790" s="186" t="s">
        <v>543</v>
      </c>
      <c r="I790" s="125" t="s">
        <v>326</v>
      </c>
      <c r="J790" s="125" t="s">
        <v>331</v>
      </c>
      <c r="K790" s="125" t="s">
        <v>512</v>
      </c>
      <c r="L790" s="138" t="s">
        <v>507</v>
      </c>
      <c r="M790" s="138" t="s">
        <v>508</v>
      </c>
    </row>
    <row r="791" spans="1:13" s="114" customFormat="1" ht="51">
      <c r="A791" s="136">
        <v>789</v>
      </c>
      <c r="B791" s="129" t="s">
        <v>2743</v>
      </c>
      <c r="C791" s="129" t="s">
        <v>2734</v>
      </c>
      <c r="D791" s="137" t="s">
        <v>2735</v>
      </c>
      <c r="E791" s="84" t="s">
        <v>2744</v>
      </c>
      <c r="F791" s="113"/>
      <c r="G791" s="131"/>
      <c r="H791" s="186" t="s">
        <v>543</v>
      </c>
      <c r="I791" s="125" t="s">
        <v>326</v>
      </c>
      <c r="J791" s="125" t="s">
        <v>331</v>
      </c>
      <c r="K791" s="125" t="s">
        <v>512</v>
      </c>
      <c r="L791" s="138" t="s">
        <v>507</v>
      </c>
      <c r="M791" s="138" t="s">
        <v>508</v>
      </c>
    </row>
    <row r="792" spans="1:13" s="114" customFormat="1" ht="38.25">
      <c r="A792" s="136">
        <v>790</v>
      </c>
      <c r="B792" s="129" t="s">
        <v>2745</v>
      </c>
      <c r="C792" s="129" t="s">
        <v>2746</v>
      </c>
      <c r="D792" s="137" t="s">
        <v>2747</v>
      </c>
      <c r="E792" s="84" t="s">
        <v>2748</v>
      </c>
      <c r="F792" s="113"/>
      <c r="G792" s="131"/>
      <c r="H792" s="186" t="s">
        <v>543</v>
      </c>
      <c r="I792" s="125" t="s">
        <v>326</v>
      </c>
      <c r="J792" s="125" t="s">
        <v>331</v>
      </c>
      <c r="K792" s="125" t="s">
        <v>512</v>
      </c>
      <c r="L792" s="138" t="s">
        <v>507</v>
      </c>
      <c r="M792" s="138" t="s">
        <v>508</v>
      </c>
    </row>
    <row r="793" spans="1:13" s="114" customFormat="1" ht="38.25">
      <c r="A793" s="136">
        <v>791</v>
      </c>
      <c r="B793" s="129" t="s">
        <v>2749</v>
      </c>
      <c r="C793" s="129" t="s">
        <v>2746</v>
      </c>
      <c r="D793" s="137" t="s">
        <v>2747</v>
      </c>
      <c r="E793" s="84" t="s">
        <v>2750</v>
      </c>
      <c r="F793" s="113"/>
      <c r="G793" s="131"/>
      <c r="H793" s="186" t="s">
        <v>543</v>
      </c>
      <c r="I793" s="125" t="s">
        <v>326</v>
      </c>
      <c r="J793" s="125" t="s">
        <v>331</v>
      </c>
      <c r="K793" s="125" t="s">
        <v>512</v>
      </c>
      <c r="L793" s="138" t="s">
        <v>507</v>
      </c>
      <c r="M793" s="138" t="s">
        <v>508</v>
      </c>
    </row>
    <row r="794" spans="1:13" s="114" customFormat="1" ht="12.75">
      <c r="A794" s="136">
        <v>792</v>
      </c>
      <c r="B794" s="129" t="s">
        <v>2751</v>
      </c>
      <c r="C794" s="125" t="s">
        <v>2752</v>
      </c>
      <c r="D794" s="140" t="s">
        <v>2640</v>
      </c>
      <c r="E794" s="84" t="s">
        <v>2753</v>
      </c>
      <c r="F794" s="113"/>
      <c r="G794" s="131"/>
      <c r="H794" s="186" t="s">
        <v>1964</v>
      </c>
      <c r="I794" s="125" t="s">
        <v>326</v>
      </c>
      <c r="J794" s="125" t="s">
        <v>341</v>
      </c>
      <c r="K794" s="125" t="s">
        <v>570</v>
      </c>
      <c r="L794" s="138" t="s">
        <v>507</v>
      </c>
      <c r="M794" s="138" t="s">
        <v>508</v>
      </c>
    </row>
    <row r="795" spans="1:13" s="114" customFormat="1" ht="25.5">
      <c r="A795" s="136">
        <v>793</v>
      </c>
      <c r="B795" s="129" t="s">
        <v>2754</v>
      </c>
      <c r="C795" s="129" t="s">
        <v>2752</v>
      </c>
      <c r="D795" s="140" t="s">
        <v>2640</v>
      </c>
      <c r="E795" s="84" t="s">
        <v>2755</v>
      </c>
      <c r="F795" s="113"/>
      <c r="G795" s="131"/>
      <c r="H795" s="186" t="s">
        <v>2756</v>
      </c>
      <c r="I795" s="125" t="s">
        <v>326</v>
      </c>
      <c r="J795" s="125" t="s">
        <v>341</v>
      </c>
      <c r="K795" s="125" t="s">
        <v>580</v>
      </c>
      <c r="L795" s="138" t="s">
        <v>507</v>
      </c>
      <c r="M795" s="138" t="s">
        <v>508</v>
      </c>
    </row>
    <row r="796" spans="1:13" s="114" customFormat="1" ht="51">
      <c r="A796" s="136">
        <v>794</v>
      </c>
      <c r="B796" s="129" t="s">
        <v>2757</v>
      </c>
      <c r="C796" s="129" t="s">
        <v>2752</v>
      </c>
      <c r="D796" s="140" t="s">
        <v>2640</v>
      </c>
      <c r="E796" s="84" t="s">
        <v>2758</v>
      </c>
      <c r="F796" s="113"/>
      <c r="G796" s="131"/>
      <c r="H796" s="186" t="s">
        <v>684</v>
      </c>
      <c r="I796" s="125" t="s">
        <v>326</v>
      </c>
      <c r="J796" s="125" t="s">
        <v>331</v>
      </c>
      <c r="K796" s="125" t="s">
        <v>530</v>
      </c>
      <c r="L796" s="138" t="s">
        <v>507</v>
      </c>
      <c r="M796" s="138" t="s">
        <v>508</v>
      </c>
    </row>
    <row r="797" spans="1:13" s="114" customFormat="1" ht="25.5">
      <c r="A797" s="136">
        <v>795</v>
      </c>
      <c r="B797" s="129" t="s">
        <v>2759</v>
      </c>
      <c r="C797" s="129" t="s">
        <v>2752</v>
      </c>
      <c r="D797" s="140" t="s">
        <v>2640</v>
      </c>
      <c r="E797" s="84" t="s">
        <v>2760</v>
      </c>
      <c r="F797" s="113"/>
      <c r="G797" s="131"/>
      <c r="H797" s="186" t="s">
        <v>1568</v>
      </c>
      <c r="I797" s="125" t="s">
        <v>326</v>
      </c>
      <c r="J797" s="125" t="s">
        <v>346</v>
      </c>
      <c r="K797" s="125" t="s">
        <v>761</v>
      </c>
      <c r="L797" s="138" t="s">
        <v>507</v>
      </c>
      <c r="M797" s="138" t="s">
        <v>508</v>
      </c>
    </row>
    <row r="798" spans="1:13" s="114" customFormat="1" ht="25.5">
      <c r="A798" s="136">
        <v>796</v>
      </c>
      <c r="B798" s="129" t="s">
        <v>2761</v>
      </c>
      <c r="C798" s="129" t="s">
        <v>2752</v>
      </c>
      <c r="D798" s="140" t="s">
        <v>2640</v>
      </c>
      <c r="E798" s="84" t="s">
        <v>2762</v>
      </c>
      <c r="F798" s="113"/>
      <c r="G798" s="131"/>
      <c r="H798" s="186" t="s">
        <v>1568</v>
      </c>
      <c r="I798" s="125" t="s">
        <v>326</v>
      </c>
      <c r="J798" s="125" t="s">
        <v>346</v>
      </c>
      <c r="K798" s="125" t="s">
        <v>761</v>
      </c>
      <c r="L798" s="138" t="s">
        <v>507</v>
      </c>
      <c r="M798" s="138" t="s">
        <v>508</v>
      </c>
    </row>
    <row r="799" spans="1:13" s="114" customFormat="1" ht="25.5">
      <c r="A799" s="136">
        <v>797</v>
      </c>
      <c r="B799" s="129" t="s">
        <v>2763</v>
      </c>
      <c r="C799" s="129" t="s">
        <v>2752</v>
      </c>
      <c r="D799" s="140" t="s">
        <v>2640</v>
      </c>
      <c r="E799" s="84" t="s">
        <v>2764</v>
      </c>
      <c r="F799" s="113"/>
      <c r="G799" s="131"/>
      <c r="H799" s="186" t="s">
        <v>1490</v>
      </c>
      <c r="I799" s="125" t="s">
        <v>326</v>
      </c>
      <c r="J799" s="125" t="s">
        <v>346</v>
      </c>
      <c r="K799" s="125" t="s">
        <v>761</v>
      </c>
      <c r="L799" s="138" t="s">
        <v>314</v>
      </c>
      <c r="M799" s="138" t="s">
        <v>508</v>
      </c>
    </row>
    <row r="800" spans="1:13" s="114" customFormat="1" ht="51">
      <c r="A800" s="136">
        <v>798</v>
      </c>
      <c r="B800" s="129" t="s">
        <v>2765</v>
      </c>
      <c r="C800" s="129">
        <v>5.6</v>
      </c>
      <c r="D800" s="137" t="s">
        <v>2766</v>
      </c>
      <c r="E800" s="84" t="s">
        <v>2767</v>
      </c>
      <c r="F800" s="113"/>
      <c r="G800" s="131"/>
      <c r="H800" s="186" t="s">
        <v>2060</v>
      </c>
      <c r="I800" s="125" t="s">
        <v>326</v>
      </c>
      <c r="J800" s="125" t="s">
        <v>352</v>
      </c>
      <c r="K800" s="125" t="s">
        <v>597</v>
      </c>
      <c r="L800" s="138" t="s">
        <v>314</v>
      </c>
      <c r="M800" s="138" t="s">
        <v>953</v>
      </c>
    </row>
    <row r="801" spans="1:13" s="114" customFormat="1" ht="25.5">
      <c r="A801" s="136">
        <v>799</v>
      </c>
      <c r="B801" s="129" t="s">
        <v>2768</v>
      </c>
      <c r="C801" s="129">
        <v>5.6</v>
      </c>
      <c r="D801" s="137" t="s">
        <v>2766</v>
      </c>
      <c r="E801" s="84" t="s">
        <v>2769</v>
      </c>
      <c r="F801" s="113"/>
      <c r="G801" s="131"/>
      <c r="H801" s="186" t="s">
        <v>1041</v>
      </c>
      <c r="I801" s="125" t="s">
        <v>326</v>
      </c>
      <c r="J801" s="125" t="s">
        <v>352</v>
      </c>
      <c r="K801" s="125" t="s">
        <v>1044</v>
      </c>
      <c r="L801" s="138" t="s">
        <v>507</v>
      </c>
      <c r="M801" s="138" t="s">
        <v>508</v>
      </c>
    </row>
    <row r="802" spans="1:13" s="114" customFormat="1" ht="38.25">
      <c r="A802" s="136">
        <v>800</v>
      </c>
      <c r="B802" s="129" t="s">
        <v>2770</v>
      </c>
      <c r="C802" s="129">
        <v>5.6</v>
      </c>
      <c r="D802" s="137" t="s">
        <v>2766</v>
      </c>
      <c r="E802" s="84" t="s">
        <v>2771</v>
      </c>
      <c r="F802" s="113"/>
      <c r="G802" s="131"/>
      <c r="H802" s="186" t="s">
        <v>543</v>
      </c>
      <c r="I802" s="125" t="s">
        <v>326</v>
      </c>
      <c r="J802" s="125" t="s">
        <v>331</v>
      </c>
      <c r="K802" s="125" t="s">
        <v>512</v>
      </c>
      <c r="L802" s="138" t="s">
        <v>507</v>
      </c>
      <c r="M802" s="138" t="s">
        <v>508</v>
      </c>
    </row>
    <row r="803" spans="1:13" s="114" customFormat="1" ht="38.25">
      <c r="A803" s="136">
        <v>801</v>
      </c>
      <c r="B803" s="129" t="s">
        <v>2772</v>
      </c>
      <c r="C803" s="141" t="s">
        <v>2773</v>
      </c>
      <c r="D803" s="142" t="s">
        <v>2774</v>
      </c>
      <c r="E803" s="84" t="s">
        <v>2775</v>
      </c>
      <c r="F803" s="113"/>
      <c r="G803" s="131"/>
      <c r="H803" s="186" t="s">
        <v>543</v>
      </c>
      <c r="I803" s="107" t="s">
        <v>326</v>
      </c>
      <c r="J803" s="125" t="s">
        <v>331</v>
      </c>
      <c r="K803" s="125" t="s">
        <v>512</v>
      </c>
      <c r="L803" s="138" t="s">
        <v>507</v>
      </c>
      <c r="M803" s="138" t="s">
        <v>508</v>
      </c>
    </row>
    <row r="804" spans="1:13" s="114" customFormat="1" ht="38.25">
      <c r="A804" s="136">
        <v>802</v>
      </c>
      <c r="B804" s="129" t="s">
        <v>2776</v>
      </c>
      <c r="C804" s="141" t="s">
        <v>2773</v>
      </c>
      <c r="D804" s="142" t="s">
        <v>2777</v>
      </c>
      <c r="E804" s="84" t="s">
        <v>2778</v>
      </c>
      <c r="F804" s="113"/>
      <c r="G804" s="131"/>
      <c r="H804" s="186" t="s">
        <v>543</v>
      </c>
      <c r="I804" s="107" t="s">
        <v>326</v>
      </c>
      <c r="J804" s="125" t="s">
        <v>331</v>
      </c>
      <c r="K804" s="125" t="s">
        <v>512</v>
      </c>
      <c r="L804" s="138" t="s">
        <v>507</v>
      </c>
      <c r="M804" s="138" t="s">
        <v>508</v>
      </c>
    </row>
    <row r="805" spans="1:13" s="114" customFormat="1" ht="51">
      <c r="A805" s="136">
        <v>803</v>
      </c>
      <c r="B805" s="129" t="s">
        <v>2779</v>
      </c>
      <c r="C805" s="141" t="s">
        <v>2773</v>
      </c>
      <c r="D805" s="142">
        <v>3.13</v>
      </c>
      <c r="E805" s="84" t="s">
        <v>2780</v>
      </c>
      <c r="F805" s="113"/>
      <c r="G805" s="131"/>
      <c r="H805" s="186" t="s">
        <v>2060</v>
      </c>
      <c r="I805" s="107" t="s">
        <v>326</v>
      </c>
      <c r="J805" s="125" t="s">
        <v>352</v>
      </c>
      <c r="K805" s="125" t="s">
        <v>597</v>
      </c>
      <c r="L805" s="138" t="s">
        <v>314</v>
      </c>
      <c r="M805" s="138" t="s">
        <v>953</v>
      </c>
    </row>
    <row r="806" spans="1:13" s="114" customFormat="1" ht="38.25">
      <c r="A806" s="136">
        <v>804</v>
      </c>
      <c r="B806" s="129" t="s">
        <v>2781</v>
      </c>
      <c r="C806" s="141" t="s">
        <v>2773</v>
      </c>
      <c r="D806" s="142" t="s">
        <v>2782</v>
      </c>
      <c r="E806" s="84" t="s">
        <v>2783</v>
      </c>
      <c r="F806" s="113"/>
      <c r="G806" s="131"/>
      <c r="H806" s="186" t="s">
        <v>509</v>
      </c>
      <c r="I806" s="107" t="s">
        <v>326</v>
      </c>
      <c r="J806" s="125" t="s">
        <v>331</v>
      </c>
      <c r="K806" s="125" t="s">
        <v>512</v>
      </c>
      <c r="L806" s="138" t="s">
        <v>507</v>
      </c>
      <c r="M806" s="138" t="s">
        <v>508</v>
      </c>
    </row>
    <row r="807" spans="1:13" s="114" customFormat="1" ht="38.25">
      <c r="A807" s="136">
        <v>805</v>
      </c>
      <c r="B807" s="129" t="s">
        <v>2784</v>
      </c>
      <c r="C807" s="141" t="s">
        <v>2773</v>
      </c>
      <c r="D807" s="142" t="s">
        <v>2785</v>
      </c>
      <c r="E807" s="84" t="s">
        <v>2786</v>
      </c>
      <c r="F807" s="113"/>
      <c r="G807" s="131"/>
      <c r="H807" s="186" t="s">
        <v>535</v>
      </c>
      <c r="I807" s="107" t="s">
        <v>326</v>
      </c>
      <c r="J807" s="125" t="s">
        <v>331</v>
      </c>
      <c r="K807" s="125" t="s">
        <v>512</v>
      </c>
      <c r="L807" s="138" t="s">
        <v>507</v>
      </c>
      <c r="M807" s="138" t="s">
        <v>508</v>
      </c>
    </row>
    <row r="808" spans="1:13" s="114" customFormat="1" ht="38.25">
      <c r="A808" s="136">
        <v>806</v>
      </c>
      <c r="B808" s="129" t="s">
        <v>2787</v>
      </c>
      <c r="C808" s="141" t="s">
        <v>2773</v>
      </c>
      <c r="D808" s="142" t="s">
        <v>2788</v>
      </c>
      <c r="E808" s="84" t="s">
        <v>2789</v>
      </c>
      <c r="F808" s="113"/>
      <c r="G808" s="131"/>
      <c r="H808" s="186" t="s">
        <v>633</v>
      </c>
      <c r="I808" s="107" t="s">
        <v>326</v>
      </c>
      <c r="J808" s="125" t="s">
        <v>331</v>
      </c>
      <c r="K808" s="125" t="s">
        <v>512</v>
      </c>
      <c r="L808" s="138" t="s">
        <v>507</v>
      </c>
      <c r="M808" s="138" t="s">
        <v>508</v>
      </c>
    </row>
    <row r="809" spans="1:13" s="114" customFormat="1" ht="38.25">
      <c r="A809" s="136">
        <v>807</v>
      </c>
      <c r="B809" s="129" t="s">
        <v>2790</v>
      </c>
      <c r="C809" s="141" t="s">
        <v>2773</v>
      </c>
      <c r="D809" s="142" t="s">
        <v>2791</v>
      </c>
      <c r="E809" s="84" t="s">
        <v>2792</v>
      </c>
      <c r="F809" s="113"/>
      <c r="G809" s="131"/>
      <c r="H809" s="186" t="s">
        <v>633</v>
      </c>
      <c r="I809" s="107" t="s">
        <v>326</v>
      </c>
      <c r="J809" s="125" t="s">
        <v>331</v>
      </c>
      <c r="K809" s="125" t="s">
        <v>512</v>
      </c>
      <c r="L809" s="138" t="s">
        <v>507</v>
      </c>
      <c r="M809" s="138" t="s">
        <v>508</v>
      </c>
    </row>
    <row r="810" spans="1:13" s="114" customFormat="1" ht="38.25">
      <c r="A810" s="136">
        <v>808</v>
      </c>
      <c r="B810" s="129" t="s">
        <v>2793</v>
      </c>
      <c r="C810" s="141" t="s">
        <v>2773</v>
      </c>
      <c r="D810" s="142" t="s">
        <v>2794</v>
      </c>
      <c r="E810" s="84" t="s">
        <v>2795</v>
      </c>
      <c r="F810" s="113"/>
      <c r="G810" s="131"/>
      <c r="H810" s="186" t="s">
        <v>653</v>
      </c>
      <c r="I810" s="107" t="s">
        <v>326</v>
      </c>
      <c r="J810" s="125" t="s">
        <v>331</v>
      </c>
      <c r="K810" s="125" t="s">
        <v>506</v>
      </c>
      <c r="L810" s="138" t="s">
        <v>507</v>
      </c>
      <c r="M810" s="138" t="s">
        <v>508</v>
      </c>
    </row>
    <row r="811" spans="1:13" s="114" customFormat="1" ht="51">
      <c r="A811" s="136">
        <v>809</v>
      </c>
      <c r="B811" s="129" t="s">
        <v>2796</v>
      </c>
      <c r="C811" s="141" t="s">
        <v>2773</v>
      </c>
      <c r="D811" s="142" t="s">
        <v>2797</v>
      </c>
      <c r="E811" s="84" t="s">
        <v>2798</v>
      </c>
      <c r="F811" s="113"/>
      <c r="G811" s="131"/>
      <c r="H811" s="186" t="s">
        <v>660</v>
      </c>
      <c r="I811" s="107" t="s">
        <v>326</v>
      </c>
      <c r="J811" s="125" t="s">
        <v>331</v>
      </c>
      <c r="K811" s="125" t="s">
        <v>530</v>
      </c>
      <c r="L811" s="138" t="s">
        <v>507</v>
      </c>
      <c r="M811" s="138" t="s">
        <v>508</v>
      </c>
    </row>
    <row r="812" spans="1:13" s="114" customFormat="1" ht="51">
      <c r="A812" s="136">
        <v>810</v>
      </c>
      <c r="B812" s="129" t="s">
        <v>2799</v>
      </c>
      <c r="C812" s="141" t="s">
        <v>2773</v>
      </c>
      <c r="D812" s="142" t="s">
        <v>2800</v>
      </c>
      <c r="E812" s="84" t="s">
        <v>2801</v>
      </c>
      <c r="F812" s="113"/>
      <c r="G812" s="131"/>
      <c r="H812" s="186" t="s">
        <v>689</v>
      </c>
      <c r="I812" s="107" t="s">
        <v>326</v>
      </c>
      <c r="J812" s="125" t="s">
        <v>331</v>
      </c>
      <c r="K812" s="125" t="s">
        <v>530</v>
      </c>
      <c r="L812" s="138" t="s">
        <v>507</v>
      </c>
      <c r="M812" s="138" t="s">
        <v>508</v>
      </c>
    </row>
    <row r="813" spans="1:13" s="114" customFormat="1" ht="51">
      <c r="A813" s="136">
        <v>811</v>
      </c>
      <c r="B813" s="129" t="s">
        <v>2802</v>
      </c>
      <c r="C813" s="141" t="s">
        <v>2773</v>
      </c>
      <c r="D813" s="142" t="s">
        <v>2803</v>
      </c>
      <c r="E813" s="84" t="s">
        <v>2804</v>
      </c>
      <c r="F813" s="113"/>
      <c r="G813" s="131"/>
      <c r="H813" s="186" t="s">
        <v>690</v>
      </c>
      <c r="I813" s="107" t="s">
        <v>326</v>
      </c>
      <c r="J813" s="125" t="s">
        <v>331</v>
      </c>
      <c r="K813" s="125" t="s">
        <v>530</v>
      </c>
      <c r="L813" s="138" t="s">
        <v>507</v>
      </c>
      <c r="M813" s="138" t="s">
        <v>508</v>
      </c>
    </row>
    <row r="814" spans="1:13" s="114" customFormat="1" ht="25.5">
      <c r="A814" s="136">
        <v>812</v>
      </c>
      <c r="B814" s="129" t="s">
        <v>2805</v>
      </c>
      <c r="C814" s="141" t="s">
        <v>2773</v>
      </c>
      <c r="D814" s="142" t="s">
        <v>2806</v>
      </c>
      <c r="E814" s="84" t="s">
        <v>2807</v>
      </c>
      <c r="F814" s="113"/>
      <c r="G814" s="131"/>
      <c r="H814" s="186" t="s">
        <v>617</v>
      </c>
      <c r="I814" s="107" t="s">
        <v>326</v>
      </c>
      <c r="J814" s="125" t="s">
        <v>331</v>
      </c>
      <c r="K814" s="125" t="s">
        <v>618</v>
      </c>
      <c r="L814" s="138" t="s">
        <v>507</v>
      </c>
      <c r="M814" s="138" t="s">
        <v>508</v>
      </c>
    </row>
    <row r="815" spans="1:13" s="114" customFormat="1" ht="25.5">
      <c r="A815" s="136">
        <v>813</v>
      </c>
      <c r="B815" s="129" t="s">
        <v>2808</v>
      </c>
      <c r="C815" s="141" t="s">
        <v>2773</v>
      </c>
      <c r="D815" s="142" t="s">
        <v>2809</v>
      </c>
      <c r="E815" s="84" t="s">
        <v>2810</v>
      </c>
      <c r="F815" s="113"/>
      <c r="G815" s="131"/>
      <c r="H815" s="186" t="s">
        <v>617</v>
      </c>
      <c r="I815" s="107" t="s">
        <v>326</v>
      </c>
      <c r="J815" s="125" t="s">
        <v>331</v>
      </c>
      <c r="K815" s="125" t="s">
        <v>618</v>
      </c>
      <c r="L815" s="138" t="s">
        <v>507</v>
      </c>
      <c r="M815" s="138" t="s">
        <v>508</v>
      </c>
    </row>
    <row r="816" spans="1:13" s="114" customFormat="1" ht="25.5">
      <c r="A816" s="136">
        <v>814</v>
      </c>
      <c r="B816" s="129" t="s">
        <v>2811</v>
      </c>
      <c r="C816" s="141" t="s">
        <v>2773</v>
      </c>
      <c r="D816" s="142" t="s">
        <v>2812</v>
      </c>
      <c r="E816" s="84" t="s">
        <v>2813</v>
      </c>
      <c r="F816" s="113"/>
      <c r="G816" s="131"/>
      <c r="H816" s="186" t="s">
        <v>617</v>
      </c>
      <c r="I816" s="107" t="s">
        <v>326</v>
      </c>
      <c r="J816" s="125" t="s">
        <v>331</v>
      </c>
      <c r="K816" s="125" t="s">
        <v>618</v>
      </c>
      <c r="L816" s="138" t="s">
        <v>507</v>
      </c>
      <c r="M816" s="138" t="s">
        <v>508</v>
      </c>
    </row>
    <row r="817" spans="1:13" s="114" customFormat="1" ht="25.5">
      <c r="A817" s="136">
        <v>815</v>
      </c>
      <c r="B817" s="129" t="s">
        <v>2814</v>
      </c>
      <c r="C817" s="141" t="s">
        <v>2773</v>
      </c>
      <c r="D817" s="142" t="s">
        <v>2815</v>
      </c>
      <c r="E817" s="84" t="s">
        <v>2816</v>
      </c>
      <c r="F817" s="113"/>
      <c r="G817" s="131"/>
      <c r="H817" s="186" t="s">
        <v>617</v>
      </c>
      <c r="I817" s="107" t="s">
        <v>326</v>
      </c>
      <c r="J817" s="125" t="s">
        <v>331</v>
      </c>
      <c r="K817" s="125" t="s">
        <v>618</v>
      </c>
      <c r="L817" s="138" t="s">
        <v>507</v>
      </c>
      <c r="M817" s="138" t="s">
        <v>508</v>
      </c>
    </row>
    <row r="818" spans="1:13" s="114" customFormat="1" ht="38.25">
      <c r="A818" s="136">
        <v>816</v>
      </c>
      <c r="B818" s="129" t="s">
        <v>2817</v>
      </c>
      <c r="C818" s="141" t="s">
        <v>2773</v>
      </c>
      <c r="D818" s="142" t="s">
        <v>2818</v>
      </c>
      <c r="E818" s="84" t="s">
        <v>2819</v>
      </c>
      <c r="F818" s="113"/>
      <c r="G818" s="131"/>
      <c r="H818" s="186" t="s">
        <v>744</v>
      </c>
      <c r="I818" s="107" t="s">
        <v>326</v>
      </c>
      <c r="J818" s="125" t="s">
        <v>331</v>
      </c>
      <c r="K818" s="125" t="s">
        <v>512</v>
      </c>
      <c r="L818" s="138" t="s">
        <v>315</v>
      </c>
      <c r="M818" s="138" t="s">
        <v>508</v>
      </c>
    </row>
    <row r="819" spans="1:13" s="114" customFormat="1" ht="25.5">
      <c r="A819" s="136">
        <v>817</v>
      </c>
      <c r="B819" s="129" t="s">
        <v>2820</v>
      </c>
      <c r="C819" s="141" t="s">
        <v>2773</v>
      </c>
      <c r="D819" s="142" t="s">
        <v>2821</v>
      </c>
      <c r="E819" s="84" t="s">
        <v>2822</v>
      </c>
      <c r="F819" s="113"/>
      <c r="G819" s="131"/>
      <c r="H819" s="186" t="s">
        <v>751</v>
      </c>
      <c r="I819" s="107" t="s">
        <v>326</v>
      </c>
      <c r="J819" s="125" t="s">
        <v>341</v>
      </c>
      <c r="K819" s="125" t="s">
        <v>580</v>
      </c>
      <c r="L819" s="138" t="s">
        <v>315</v>
      </c>
      <c r="M819" s="138" t="s">
        <v>508</v>
      </c>
    </row>
    <row r="820" spans="1:13" s="114" customFormat="1" ht="38.25">
      <c r="A820" s="136">
        <v>818</v>
      </c>
      <c r="B820" s="129" t="s">
        <v>2823</v>
      </c>
      <c r="C820" s="141" t="s">
        <v>2773</v>
      </c>
      <c r="D820" s="142" t="s">
        <v>2824</v>
      </c>
      <c r="E820" s="84" t="s">
        <v>2825</v>
      </c>
      <c r="F820" s="113"/>
      <c r="G820" s="131"/>
      <c r="H820" s="186" t="s">
        <v>766</v>
      </c>
      <c r="I820" s="107" t="s">
        <v>326</v>
      </c>
      <c r="J820" s="125" t="s">
        <v>331</v>
      </c>
      <c r="K820" s="125" t="s">
        <v>512</v>
      </c>
      <c r="L820" s="138" t="s">
        <v>315</v>
      </c>
      <c r="M820" s="138" t="s">
        <v>508</v>
      </c>
    </row>
    <row r="821" spans="1:13" s="114" customFormat="1" ht="25.5">
      <c r="A821" s="136">
        <v>819</v>
      </c>
      <c r="B821" s="129" t="s">
        <v>2826</v>
      </c>
      <c r="C821" s="141" t="s">
        <v>2773</v>
      </c>
      <c r="D821" s="142" t="s">
        <v>2827</v>
      </c>
      <c r="E821" s="84" t="s">
        <v>2828</v>
      </c>
      <c r="F821" s="113"/>
      <c r="G821" s="131"/>
      <c r="H821" s="186" t="s">
        <v>773</v>
      </c>
      <c r="I821" s="107" t="s">
        <v>326</v>
      </c>
      <c r="J821" s="125" t="s">
        <v>341</v>
      </c>
      <c r="K821" s="125" t="s">
        <v>580</v>
      </c>
      <c r="L821" s="138" t="s">
        <v>315</v>
      </c>
      <c r="M821" s="138" t="s">
        <v>508</v>
      </c>
    </row>
    <row r="822" spans="1:13" s="114" customFormat="1" ht="51">
      <c r="A822" s="136">
        <v>820</v>
      </c>
      <c r="B822" s="129" t="s">
        <v>2829</v>
      </c>
      <c r="C822" s="141" t="s">
        <v>2773</v>
      </c>
      <c r="D822" s="142" t="s">
        <v>2830</v>
      </c>
      <c r="E822" s="84" t="s">
        <v>2831</v>
      </c>
      <c r="F822" s="113"/>
      <c r="G822" s="131"/>
      <c r="H822" s="186" t="s">
        <v>974</v>
      </c>
      <c r="I822" s="107" t="s">
        <v>326</v>
      </c>
      <c r="J822" s="125" t="s">
        <v>352</v>
      </c>
      <c r="K822" s="125" t="s">
        <v>597</v>
      </c>
      <c r="L822" s="138" t="s">
        <v>314</v>
      </c>
      <c r="M822" s="138" t="s">
        <v>953</v>
      </c>
    </row>
    <row r="823" spans="1:13" s="114" customFormat="1" ht="25.5">
      <c r="A823" s="136">
        <v>821</v>
      </c>
      <c r="B823" s="129" t="s">
        <v>2832</v>
      </c>
      <c r="C823" s="141" t="s">
        <v>2773</v>
      </c>
      <c r="D823" s="142" t="s">
        <v>2833</v>
      </c>
      <c r="E823" s="84" t="s">
        <v>2834</v>
      </c>
      <c r="F823" s="113"/>
      <c r="G823" s="131"/>
      <c r="H823" s="186" t="s">
        <v>776</v>
      </c>
      <c r="I823" s="107" t="s">
        <v>326</v>
      </c>
      <c r="J823" s="125" t="s">
        <v>352</v>
      </c>
      <c r="K823" s="125" t="s">
        <v>781</v>
      </c>
      <c r="L823" s="138" t="s">
        <v>507</v>
      </c>
      <c r="M823" s="138" t="s">
        <v>508</v>
      </c>
    </row>
    <row r="824" spans="1:13" s="114" customFormat="1" ht="12.75">
      <c r="A824" s="136">
        <v>822</v>
      </c>
      <c r="B824" s="129" t="s">
        <v>2835</v>
      </c>
      <c r="C824" s="141" t="s">
        <v>2773</v>
      </c>
      <c r="D824" s="142" t="s">
        <v>2836</v>
      </c>
      <c r="E824" s="84" t="s">
        <v>2837</v>
      </c>
      <c r="F824" s="113"/>
      <c r="G824" s="131"/>
      <c r="H824" s="186" t="s">
        <v>931</v>
      </c>
      <c r="I824" s="107" t="s">
        <v>326</v>
      </c>
      <c r="J824" s="125" t="s">
        <v>341</v>
      </c>
      <c r="K824" s="125" t="s">
        <v>570</v>
      </c>
      <c r="L824" s="138" t="s">
        <v>507</v>
      </c>
      <c r="M824" s="138" t="s">
        <v>508</v>
      </c>
    </row>
    <row r="825" spans="1:13" s="114" customFormat="1" ht="38.25">
      <c r="A825" s="136">
        <v>823</v>
      </c>
      <c r="B825" s="129" t="s">
        <v>2838</v>
      </c>
      <c r="C825" s="141" t="s">
        <v>2773</v>
      </c>
      <c r="D825" s="142" t="s">
        <v>2839</v>
      </c>
      <c r="E825" s="84" t="s">
        <v>2840</v>
      </c>
      <c r="F825" s="113"/>
      <c r="G825" s="131"/>
      <c r="H825" s="186" t="s">
        <v>918</v>
      </c>
      <c r="I825" s="107" t="s">
        <v>326</v>
      </c>
      <c r="J825" s="125" t="s">
        <v>352</v>
      </c>
      <c r="K825" s="125" t="s">
        <v>526</v>
      </c>
      <c r="L825" s="138" t="s">
        <v>507</v>
      </c>
      <c r="M825" s="138" t="s">
        <v>508</v>
      </c>
    </row>
    <row r="826" spans="1:13" s="114" customFormat="1" ht="25.5">
      <c r="A826" s="136">
        <v>824</v>
      </c>
      <c r="B826" s="129" t="s">
        <v>2841</v>
      </c>
      <c r="C826" s="141" t="s">
        <v>2773</v>
      </c>
      <c r="D826" s="142" t="s">
        <v>2842</v>
      </c>
      <c r="E826" s="84" t="s">
        <v>2843</v>
      </c>
      <c r="F826" s="113"/>
      <c r="G826" s="131"/>
      <c r="H826" s="186" t="s">
        <v>523</v>
      </c>
      <c r="I826" s="107" t="s">
        <v>326</v>
      </c>
      <c r="J826" s="125" t="s">
        <v>352</v>
      </c>
      <c r="K826" s="125" t="s">
        <v>526</v>
      </c>
      <c r="L826" s="138" t="s">
        <v>507</v>
      </c>
      <c r="M826" s="138" t="s">
        <v>508</v>
      </c>
    </row>
    <row r="827" spans="1:13" s="114" customFormat="1" ht="25.5">
      <c r="A827" s="136">
        <v>825</v>
      </c>
      <c r="B827" s="129" t="s">
        <v>2844</v>
      </c>
      <c r="C827" s="141" t="s">
        <v>2773</v>
      </c>
      <c r="D827" s="142" t="s">
        <v>2845</v>
      </c>
      <c r="E827" s="84" t="s">
        <v>2846</v>
      </c>
      <c r="F827" s="113"/>
      <c r="G827" s="131"/>
      <c r="H827" s="186" t="s">
        <v>804</v>
      </c>
      <c r="I827" s="107" t="s">
        <v>326</v>
      </c>
      <c r="J827" s="125" t="s">
        <v>352</v>
      </c>
      <c r="K827" s="125" t="s">
        <v>526</v>
      </c>
      <c r="L827" s="138" t="s">
        <v>507</v>
      </c>
      <c r="M827" s="138" t="s">
        <v>508</v>
      </c>
    </row>
    <row r="828" spans="1:13" s="114" customFormat="1" ht="25.5">
      <c r="A828" s="136">
        <v>826</v>
      </c>
      <c r="B828" s="129" t="s">
        <v>2847</v>
      </c>
      <c r="C828" s="141" t="s">
        <v>2773</v>
      </c>
      <c r="D828" s="142" t="s">
        <v>2848</v>
      </c>
      <c r="E828" s="84" t="s">
        <v>2849</v>
      </c>
      <c r="F828" s="113"/>
      <c r="G828" s="131"/>
      <c r="H828" s="186" t="s">
        <v>827</v>
      </c>
      <c r="I828" s="107" t="s">
        <v>326</v>
      </c>
      <c r="J828" s="125" t="s">
        <v>352</v>
      </c>
      <c r="K828" s="125" t="s">
        <v>526</v>
      </c>
      <c r="L828" s="138" t="s">
        <v>507</v>
      </c>
      <c r="M828" s="138" t="s">
        <v>508</v>
      </c>
    </row>
    <row r="829" spans="1:13" s="114" customFormat="1" ht="25.5">
      <c r="A829" s="136">
        <v>827</v>
      </c>
      <c r="B829" s="129" t="s">
        <v>2850</v>
      </c>
      <c r="C829" s="141" t="s">
        <v>2773</v>
      </c>
      <c r="D829" s="142" t="s">
        <v>2851</v>
      </c>
      <c r="E829" s="84" t="s">
        <v>2852</v>
      </c>
      <c r="F829" s="113"/>
      <c r="G829" s="131"/>
      <c r="H829" s="186" t="s">
        <v>842</v>
      </c>
      <c r="I829" s="107" t="s">
        <v>326</v>
      </c>
      <c r="J829" s="125" t="s">
        <v>352</v>
      </c>
      <c r="K829" s="125" t="s">
        <v>526</v>
      </c>
      <c r="L829" s="138" t="s">
        <v>507</v>
      </c>
      <c r="M829" s="138" t="s">
        <v>508</v>
      </c>
    </row>
    <row r="830" spans="1:13" s="114" customFormat="1" ht="25.5">
      <c r="A830" s="136">
        <v>828</v>
      </c>
      <c r="B830" s="129" t="s">
        <v>2853</v>
      </c>
      <c r="C830" s="141" t="s">
        <v>2773</v>
      </c>
      <c r="D830" s="142" t="s">
        <v>2854</v>
      </c>
      <c r="E830" s="84" t="s">
        <v>2855</v>
      </c>
      <c r="F830" s="113"/>
      <c r="G830" s="131"/>
      <c r="H830" s="186" t="s">
        <v>842</v>
      </c>
      <c r="I830" s="107" t="s">
        <v>326</v>
      </c>
      <c r="J830" s="125" t="s">
        <v>352</v>
      </c>
      <c r="K830" s="125" t="s">
        <v>526</v>
      </c>
      <c r="L830" s="138" t="s">
        <v>507</v>
      </c>
      <c r="M830" s="138" t="s">
        <v>508</v>
      </c>
    </row>
    <row r="831" spans="1:13" s="114" customFormat="1" ht="25.5">
      <c r="A831" s="136">
        <v>829</v>
      </c>
      <c r="B831" s="129" t="s">
        <v>2856</v>
      </c>
      <c r="C831" s="141" t="s">
        <v>2773</v>
      </c>
      <c r="D831" s="142" t="s">
        <v>2857</v>
      </c>
      <c r="E831" s="84" t="s">
        <v>2858</v>
      </c>
      <c r="F831" s="113"/>
      <c r="G831" s="131"/>
      <c r="H831" s="186" t="s">
        <v>871</v>
      </c>
      <c r="I831" s="107" t="s">
        <v>326</v>
      </c>
      <c r="J831" s="125" t="s">
        <v>352</v>
      </c>
      <c r="K831" s="125" t="s">
        <v>526</v>
      </c>
      <c r="L831" s="138" t="s">
        <v>507</v>
      </c>
      <c r="M831" s="138" t="s">
        <v>508</v>
      </c>
    </row>
    <row r="832" spans="1:13" s="114" customFormat="1" ht="38.25">
      <c r="A832" s="136">
        <v>830</v>
      </c>
      <c r="B832" s="129" t="s">
        <v>2859</v>
      </c>
      <c r="C832" s="141" t="s">
        <v>2773</v>
      </c>
      <c r="D832" s="142" t="s">
        <v>2860</v>
      </c>
      <c r="E832" s="84" t="s">
        <v>2861</v>
      </c>
      <c r="F832" s="113"/>
      <c r="G832" s="131"/>
      <c r="H832" s="186" t="s">
        <v>884</v>
      </c>
      <c r="I832" s="107" t="s">
        <v>326</v>
      </c>
      <c r="J832" s="125" t="s">
        <v>331</v>
      </c>
      <c r="K832" s="125" t="s">
        <v>512</v>
      </c>
      <c r="L832" s="138" t="s">
        <v>507</v>
      </c>
      <c r="M832" s="138" t="s">
        <v>508</v>
      </c>
    </row>
    <row r="833" spans="1:13" s="114" customFormat="1" ht="38.25">
      <c r="A833" s="136">
        <v>831</v>
      </c>
      <c r="B833" s="129" t="s">
        <v>2862</v>
      </c>
      <c r="C833" s="141" t="s">
        <v>2773</v>
      </c>
      <c r="D833" s="142" t="s">
        <v>2863</v>
      </c>
      <c r="E833" s="84" t="s">
        <v>2864</v>
      </c>
      <c r="F833" s="113"/>
      <c r="G833" s="131"/>
      <c r="H833" s="186" t="s">
        <v>884</v>
      </c>
      <c r="I833" s="107" t="s">
        <v>326</v>
      </c>
      <c r="J833" s="125" t="s">
        <v>331</v>
      </c>
      <c r="K833" s="125" t="s">
        <v>512</v>
      </c>
      <c r="L833" s="138" t="s">
        <v>507</v>
      </c>
      <c r="M833" s="138" t="s">
        <v>508</v>
      </c>
    </row>
    <row r="834" spans="1:13" s="114" customFormat="1" ht="51">
      <c r="A834" s="136">
        <v>832</v>
      </c>
      <c r="B834" s="129" t="s">
        <v>2865</v>
      </c>
      <c r="C834" s="141" t="s">
        <v>2773</v>
      </c>
      <c r="D834" s="142" t="s">
        <v>2866</v>
      </c>
      <c r="E834" s="84" t="s">
        <v>2867</v>
      </c>
      <c r="F834" s="113"/>
      <c r="G834" s="131"/>
      <c r="H834" s="186" t="s">
        <v>981</v>
      </c>
      <c r="I834" s="107" t="s">
        <v>326</v>
      </c>
      <c r="J834" s="125" t="s">
        <v>346</v>
      </c>
      <c r="K834" s="125" t="s">
        <v>984</v>
      </c>
      <c r="L834" s="138" t="s">
        <v>507</v>
      </c>
      <c r="M834" s="138" t="s">
        <v>508</v>
      </c>
    </row>
    <row r="835" spans="1:13" s="114" customFormat="1" ht="51">
      <c r="A835" s="136">
        <v>833</v>
      </c>
      <c r="B835" s="129" t="s">
        <v>2868</v>
      </c>
      <c r="C835" s="141" t="s">
        <v>2773</v>
      </c>
      <c r="D835" s="142" t="s">
        <v>2869</v>
      </c>
      <c r="E835" s="84" t="s">
        <v>2870</v>
      </c>
      <c r="F835" s="113"/>
      <c r="G835" s="131"/>
      <c r="H835" s="186" t="s">
        <v>981</v>
      </c>
      <c r="I835" s="107" t="s">
        <v>326</v>
      </c>
      <c r="J835" s="125" t="s">
        <v>346</v>
      </c>
      <c r="K835" s="125" t="s">
        <v>984</v>
      </c>
      <c r="L835" s="138" t="s">
        <v>507</v>
      </c>
      <c r="M835" s="138" t="s">
        <v>508</v>
      </c>
    </row>
    <row r="836" spans="1:13" s="114" customFormat="1" ht="25.5">
      <c r="A836" s="136">
        <v>834</v>
      </c>
      <c r="B836" s="129" t="s">
        <v>2871</v>
      </c>
      <c r="C836" s="141" t="s">
        <v>2773</v>
      </c>
      <c r="D836" s="142" t="s">
        <v>2872</v>
      </c>
      <c r="E836" s="84" t="s">
        <v>2873</v>
      </c>
      <c r="F836" s="113"/>
      <c r="G836" s="131"/>
      <c r="H836" s="186" t="s">
        <v>995</v>
      </c>
      <c r="I836" s="107" t="s">
        <v>326</v>
      </c>
      <c r="J836" s="125" t="s">
        <v>346</v>
      </c>
      <c r="K836" s="125" t="s">
        <v>998</v>
      </c>
      <c r="L836" s="138" t="s">
        <v>314</v>
      </c>
      <c r="M836" s="138" t="s">
        <v>508</v>
      </c>
    </row>
    <row r="837" spans="1:13" s="114" customFormat="1" ht="25.5">
      <c r="A837" s="136">
        <v>835</v>
      </c>
      <c r="B837" s="129" t="s">
        <v>2874</v>
      </c>
      <c r="C837" s="141" t="s">
        <v>2773</v>
      </c>
      <c r="D837" s="142" t="s">
        <v>2875</v>
      </c>
      <c r="E837" s="84" t="s">
        <v>2876</v>
      </c>
      <c r="F837" s="113"/>
      <c r="G837" s="131"/>
      <c r="H837" s="186" t="s">
        <v>1041</v>
      </c>
      <c r="I837" s="107" t="s">
        <v>326</v>
      </c>
      <c r="J837" s="125" t="s">
        <v>352</v>
      </c>
      <c r="K837" s="125" t="s">
        <v>1044</v>
      </c>
      <c r="L837" s="138" t="s">
        <v>507</v>
      </c>
      <c r="M837" s="138" t="s">
        <v>508</v>
      </c>
    </row>
    <row r="838" spans="1:13" s="114" customFormat="1" ht="38.25">
      <c r="A838" s="136">
        <v>836</v>
      </c>
      <c r="B838" s="129" t="s">
        <v>2877</v>
      </c>
      <c r="C838" s="141" t="s">
        <v>2773</v>
      </c>
      <c r="D838" s="142" t="s">
        <v>2878</v>
      </c>
      <c r="E838" s="84" t="s">
        <v>2879</v>
      </c>
      <c r="F838" s="113"/>
      <c r="G838" s="131"/>
      <c r="H838" s="186" t="s">
        <v>1051</v>
      </c>
      <c r="I838" s="107" t="s">
        <v>326</v>
      </c>
      <c r="J838" s="125" t="s">
        <v>352</v>
      </c>
      <c r="K838" s="125" t="s">
        <v>1044</v>
      </c>
      <c r="L838" s="138" t="s">
        <v>507</v>
      </c>
      <c r="M838" s="138" t="s">
        <v>508</v>
      </c>
    </row>
    <row r="839" spans="1:13" s="114" customFormat="1" ht="25.5">
      <c r="A839" s="136">
        <v>837</v>
      </c>
      <c r="B839" s="129" t="s">
        <v>2880</v>
      </c>
      <c r="C839" s="141" t="s">
        <v>2773</v>
      </c>
      <c r="D839" s="142" t="s">
        <v>2881</v>
      </c>
      <c r="E839" s="84" t="s">
        <v>2882</v>
      </c>
      <c r="F839" s="113"/>
      <c r="G839" s="131"/>
      <c r="H839" s="186" t="s">
        <v>1070</v>
      </c>
      <c r="I839" s="107" t="s">
        <v>327</v>
      </c>
      <c r="J839" s="125" t="s">
        <v>337</v>
      </c>
      <c r="K839" s="125" t="s">
        <v>1071</v>
      </c>
      <c r="L839" s="138" t="s">
        <v>314</v>
      </c>
      <c r="M839" s="138" t="s">
        <v>508</v>
      </c>
    </row>
    <row r="840" spans="1:13" s="114" customFormat="1" ht="38.25">
      <c r="A840" s="136">
        <v>838</v>
      </c>
      <c r="B840" s="129" t="s">
        <v>2883</v>
      </c>
      <c r="C840" s="141" t="s">
        <v>2773</v>
      </c>
      <c r="D840" s="142" t="s">
        <v>2884</v>
      </c>
      <c r="E840" s="84" t="s">
        <v>2885</v>
      </c>
      <c r="F840" s="113"/>
      <c r="G840" s="131"/>
      <c r="H840" s="186" t="s">
        <v>501</v>
      </c>
      <c r="I840" s="107" t="s">
        <v>326</v>
      </c>
      <c r="J840" s="125" t="s">
        <v>331</v>
      </c>
      <c r="K840" s="125" t="s">
        <v>506</v>
      </c>
      <c r="L840" s="138" t="s">
        <v>507</v>
      </c>
      <c r="M840" s="138" t="s">
        <v>508</v>
      </c>
    </row>
    <row r="841" spans="1:13" s="114" customFormat="1" ht="25.5">
      <c r="A841" s="136">
        <v>839</v>
      </c>
      <c r="B841" s="129" t="s">
        <v>2886</v>
      </c>
      <c r="C841" s="141" t="s">
        <v>2773</v>
      </c>
      <c r="D841" s="142" t="s">
        <v>2887</v>
      </c>
      <c r="E841" s="84" t="s">
        <v>2888</v>
      </c>
      <c r="F841" s="113"/>
      <c r="G841" s="131"/>
      <c r="H841" s="186" t="s">
        <v>1175</v>
      </c>
      <c r="I841" s="107" t="s">
        <v>326</v>
      </c>
      <c r="J841" s="125" t="s">
        <v>331</v>
      </c>
      <c r="K841" s="125" t="s">
        <v>1178</v>
      </c>
      <c r="L841" s="138" t="s">
        <v>507</v>
      </c>
      <c r="M841" s="138" t="s">
        <v>508</v>
      </c>
    </row>
    <row r="842" spans="1:13" s="114" customFormat="1" ht="51">
      <c r="A842" s="136">
        <v>840</v>
      </c>
      <c r="B842" s="129" t="s">
        <v>2889</v>
      </c>
      <c r="C842" s="141" t="s">
        <v>2773</v>
      </c>
      <c r="D842" s="142" t="s">
        <v>2890</v>
      </c>
      <c r="E842" s="84" t="s">
        <v>2891</v>
      </c>
      <c r="F842" s="113"/>
      <c r="G842" s="131"/>
      <c r="H842" s="186" t="s">
        <v>1148</v>
      </c>
      <c r="I842" s="107" t="s">
        <v>326</v>
      </c>
      <c r="J842" s="125" t="s">
        <v>331</v>
      </c>
      <c r="K842" s="125" t="s">
        <v>530</v>
      </c>
      <c r="L842" s="138" t="s">
        <v>507</v>
      </c>
      <c r="M842" s="138" t="s">
        <v>508</v>
      </c>
    </row>
    <row r="843" spans="1:13" s="114" customFormat="1" ht="51">
      <c r="A843" s="136">
        <v>841</v>
      </c>
      <c r="B843" s="129" t="s">
        <v>2892</v>
      </c>
      <c r="C843" s="141" t="s">
        <v>2773</v>
      </c>
      <c r="D843" s="143" t="s">
        <v>2893</v>
      </c>
      <c r="E843" s="84" t="s">
        <v>2894</v>
      </c>
      <c r="F843" s="113"/>
      <c r="G843" s="131"/>
      <c r="H843" s="186" t="s">
        <v>1165</v>
      </c>
      <c r="I843" s="107" t="s">
        <v>326</v>
      </c>
      <c r="J843" s="125" t="s">
        <v>331</v>
      </c>
      <c r="K843" s="125" t="s">
        <v>530</v>
      </c>
      <c r="L843" s="138" t="s">
        <v>507</v>
      </c>
      <c r="M843" s="138" t="s">
        <v>508</v>
      </c>
    </row>
    <row r="844" spans="1:13" s="114" customFormat="1" ht="38.25">
      <c r="A844" s="136">
        <v>842</v>
      </c>
      <c r="B844" s="129" t="s">
        <v>2895</v>
      </c>
      <c r="C844" s="141" t="s">
        <v>2773</v>
      </c>
      <c r="D844" s="143" t="s">
        <v>2896</v>
      </c>
      <c r="E844" s="84" t="s">
        <v>2897</v>
      </c>
      <c r="F844" s="113"/>
      <c r="G844" s="131"/>
      <c r="H844" s="186" t="s">
        <v>1196</v>
      </c>
      <c r="I844" s="107" t="s">
        <v>326</v>
      </c>
      <c r="J844" s="125" t="s">
        <v>331</v>
      </c>
      <c r="K844" s="125" t="s">
        <v>506</v>
      </c>
      <c r="L844" s="138" t="s">
        <v>507</v>
      </c>
      <c r="M844" s="138" t="s">
        <v>508</v>
      </c>
    </row>
    <row r="845" spans="1:13" s="114" customFormat="1" ht="38.25">
      <c r="A845" s="136">
        <v>843</v>
      </c>
      <c r="B845" s="129" t="s">
        <v>2898</v>
      </c>
      <c r="C845" s="141" t="s">
        <v>2773</v>
      </c>
      <c r="D845" s="143" t="s">
        <v>2899</v>
      </c>
      <c r="E845" s="84" t="s">
        <v>2900</v>
      </c>
      <c r="F845" s="113"/>
      <c r="G845" s="131"/>
      <c r="H845" s="186" t="s">
        <v>518</v>
      </c>
      <c r="I845" s="107" t="s">
        <v>326</v>
      </c>
      <c r="J845" s="125" t="s">
        <v>331</v>
      </c>
      <c r="K845" s="125" t="s">
        <v>506</v>
      </c>
      <c r="L845" s="138" t="s">
        <v>507</v>
      </c>
      <c r="M845" s="138" t="s">
        <v>508</v>
      </c>
    </row>
    <row r="846" spans="1:13" s="114" customFormat="1" ht="25.5">
      <c r="A846" s="136">
        <v>844</v>
      </c>
      <c r="B846" s="129" t="s">
        <v>2901</v>
      </c>
      <c r="C846" s="141" t="s">
        <v>2773</v>
      </c>
      <c r="D846" s="142" t="s">
        <v>2902</v>
      </c>
      <c r="E846" s="84" t="s">
        <v>2903</v>
      </c>
      <c r="F846" s="113"/>
      <c r="G846" s="131"/>
      <c r="H846" s="186" t="s">
        <v>1221</v>
      </c>
      <c r="I846" s="107" t="s">
        <v>326</v>
      </c>
      <c r="J846" s="125" t="s">
        <v>331</v>
      </c>
      <c r="K846" s="125" t="s">
        <v>1178</v>
      </c>
      <c r="L846" s="138" t="s">
        <v>507</v>
      </c>
      <c r="M846" s="138" t="s">
        <v>508</v>
      </c>
    </row>
    <row r="847" spans="1:13" s="114" customFormat="1" ht="25.5">
      <c r="A847" s="136">
        <v>845</v>
      </c>
      <c r="B847" s="129" t="s">
        <v>2904</v>
      </c>
      <c r="C847" s="141" t="s">
        <v>2773</v>
      </c>
      <c r="D847" s="142" t="s">
        <v>2905</v>
      </c>
      <c r="E847" s="84" t="s">
        <v>2906</v>
      </c>
      <c r="F847" s="113"/>
      <c r="G847" s="131"/>
      <c r="H847" s="186" t="s">
        <v>1221</v>
      </c>
      <c r="I847" s="107" t="s">
        <v>326</v>
      </c>
      <c r="J847" s="125" t="s">
        <v>331</v>
      </c>
      <c r="K847" s="125" t="s">
        <v>1178</v>
      </c>
      <c r="L847" s="138" t="s">
        <v>507</v>
      </c>
      <c r="M847" s="138" t="s">
        <v>508</v>
      </c>
    </row>
    <row r="848" spans="1:13" s="114" customFormat="1" ht="25.5">
      <c r="A848" s="136">
        <v>846</v>
      </c>
      <c r="B848" s="129" t="s">
        <v>2907</v>
      </c>
      <c r="C848" s="141" t="s">
        <v>2773</v>
      </c>
      <c r="D848" s="142" t="s">
        <v>2908</v>
      </c>
      <c r="E848" s="84" t="s">
        <v>2909</v>
      </c>
      <c r="F848" s="113"/>
      <c r="G848" s="131"/>
      <c r="H848" s="186" t="s">
        <v>1230</v>
      </c>
      <c r="I848" s="107" t="s">
        <v>326</v>
      </c>
      <c r="J848" s="125" t="s">
        <v>331</v>
      </c>
      <c r="K848" s="125" t="s">
        <v>1178</v>
      </c>
      <c r="L848" s="138" t="s">
        <v>507</v>
      </c>
      <c r="M848" s="138" t="s">
        <v>508</v>
      </c>
    </row>
    <row r="849" spans="1:13" s="114" customFormat="1" ht="25.5">
      <c r="A849" s="136">
        <v>847</v>
      </c>
      <c r="B849" s="129" t="s">
        <v>2910</v>
      </c>
      <c r="C849" s="141" t="s">
        <v>2773</v>
      </c>
      <c r="D849" s="142" t="s">
        <v>2911</v>
      </c>
      <c r="E849" s="84" t="s">
        <v>2912</v>
      </c>
      <c r="F849" s="113"/>
      <c r="G849" s="131"/>
      <c r="H849" s="186" t="s">
        <v>896</v>
      </c>
      <c r="I849" s="107" t="s">
        <v>326</v>
      </c>
      <c r="J849" s="125" t="s">
        <v>341</v>
      </c>
      <c r="K849" s="125" t="s">
        <v>580</v>
      </c>
      <c r="L849" s="138" t="s">
        <v>507</v>
      </c>
      <c r="M849" s="138" t="s">
        <v>508</v>
      </c>
    </row>
    <row r="850" spans="1:13" s="114" customFormat="1" ht="25.5">
      <c r="A850" s="136">
        <v>848</v>
      </c>
      <c r="B850" s="129" t="s">
        <v>2913</v>
      </c>
      <c r="C850" s="141" t="s">
        <v>2773</v>
      </c>
      <c r="D850" s="142" t="s">
        <v>2914</v>
      </c>
      <c r="E850" s="84" t="s">
        <v>2915</v>
      </c>
      <c r="F850" s="113"/>
      <c r="G850" s="131"/>
      <c r="H850" s="186" t="s">
        <v>567</v>
      </c>
      <c r="I850" s="107" t="s">
        <v>326</v>
      </c>
      <c r="J850" s="125" t="s">
        <v>341</v>
      </c>
      <c r="K850" s="125" t="s">
        <v>570</v>
      </c>
      <c r="L850" s="138" t="s">
        <v>507</v>
      </c>
      <c r="M850" s="138" t="s">
        <v>508</v>
      </c>
    </row>
    <row r="851" spans="1:13" s="114" customFormat="1" ht="25.5">
      <c r="A851" s="136">
        <v>849</v>
      </c>
      <c r="B851" s="129" t="s">
        <v>2916</v>
      </c>
      <c r="C851" s="141" t="s">
        <v>2773</v>
      </c>
      <c r="D851" s="142" t="s">
        <v>2917</v>
      </c>
      <c r="E851" s="84" t="s">
        <v>2918</v>
      </c>
      <c r="F851" s="113"/>
      <c r="G851" s="131"/>
      <c r="H851" s="186" t="s">
        <v>1089</v>
      </c>
      <c r="I851" s="107" t="s">
        <v>327</v>
      </c>
      <c r="J851" s="125" t="s">
        <v>342</v>
      </c>
      <c r="K851" s="125" t="s">
        <v>1090</v>
      </c>
      <c r="L851" s="138" t="s">
        <v>507</v>
      </c>
      <c r="M851" s="138" t="s">
        <v>508</v>
      </c>
    </row>
    <row r="852" spans="1:13" s="114" customFormat="1" ht="25.5">
      <c r="A852" s="136">
        <v>850</v>
      </c>
      <c r="B852" s="129" t="s">
        <v>2919</v>
      </c>
      <c r="C852" s="141" t="s">
        <v>2773</v>
      </c>
      <c r="D852" s="142" t="s">
        <v>2920</v>
      </c>
      <c r="E852" s="84" t="s">
        <v>2921</v>
      </c>
      <c r="F852" s="113"/>
      <c r="G852" s="131"/>
      <c r="H852" s="186" t="s">
        <v>1525</v>
      </c>
      <c r="I852" s="107" t="s">
        <v>326</v>
      </c>
      <c r="J852" s="125" t="s">
        <v>341</v>
      </c>
      <c r="K852" s="125" t="s">
        <v>1526</v>
      </c>
      <c r="L852" s="138" t="s">
        <v>507</v>
      </c>
      <c r="M852" s="138" t="s">
        <v>508</v>
      </c>
    </row>
    <row r="853" spans="1:13" s="114" customFormat="1" ht="25.5">
      <c r="A853" s="136">
        <v>851</v>
      </c>
      <c r="B853" s="129" t="s">
        <v>2922</v>
      </c>
      <c r="C853" s="141" t="s">
        <v>2773</v>
      </c>
      <c r="D853" s="142" t="s">
        <v>2923</v>
      </c>
      <c r="E853" s="84" t="s">
        <v>2924</v>
      </c>
      <c r="F853" s="113"/>
      <c r="G853" s="131"/>
      <c r="H853" s="186" t="s">
        <v>1330</v>
      </c>
      <c r="I853" s="107" t="s">
        <v>326</v>
      </c>
      <c r="J853" s="125" t="s">
        <v>352</v>
      </c>
      <c r="K853" s="125" t="s">
        <v>781</v>
      </c>
      <c r="L853" s="138" t="s">
        <v>507</v>
      </c>
      <c r="M853" s="138" t="s">
        <v>508</v>
      </c>
    </row>
    <row r="854" spans="1:13" s="114" customFormat="1" ht="51">
      <c r="A854" s="136">
        <v>852</v>
      </c>
      <c r="B854" s="129" t="s">
        <v>2925</v>
      </c>
      <c r="C854" s="141" t="s">
        <v>2773</v>
      </c>
      <c r="D854" s="142" t="s">
        <v>2926</v>
      </c>
      <c r="E854" s="84" t="s">
        <v>2927</v>
      </c>
      <c r="F854" s="113"/>
      <c r="G854" s="131"/>
      <c r="H854" s="186" t="s">
        <v>1148</v>
      </c>
      <c r="I854" s="107" t="s">
        <v>326</v>
      </c>
      <c r="J854" s="125" t="s">
        <v>331</v>
      </c>
      <c r="K854" s="125" t="s">
        <v>530</v>
      </c>
      <c r="L854" s="138" t="s">
        <v>507</v>
      </c>
      <c r="M854" s="138" t="s">
        <v>508</v>
      </c>
    </row>
    <row r="855" spans="1:13" s="114" customFormat="1" ht="25.5">
      <c r="A855" s="136">
        <v>853</v>
      </c>
      <c r="B855" s="129" t="s">
        <v>2928</v>
      </c>
      <c r="C855" s="141" t="s">
        <v>2773</v>
      </c>
      <c r="D855" s="142" t="s">
        <v>2929</v>
      </c>
      <c r="E855" s="84" t="s">
        <v>2930</v>
      </c>
      <c r="F855" s="113"/>
      <c r="G855" s="131"/>
      <c r="H855" s="186" t="s">
        <v>1331</v>
      </c>
      <c r="I855" s="107" t="s">
        <v>326</v>
      </c>
      <c r="J855" s="125" t="s">
        <v>349</v>
      </c>
      <c r="K855" s="125" t="s">
        <v>1336</v>
      </c>
      <c r="L855" s="138" t="s">
        <v>507</v>
      </c>
      <c r="M855" s="138" t="s">
        <v>508</v>
      </c>
    </row>
    <row r="856" spans="1:13" s="114" customFormat="1" ht="25.5">
      <c r="A856" s="136">
        <v>854</v>
      </c>
      <c r="B856" s="129" t="s">
        <v>2931</v>
      </c>
      <c r="C856" s="141" t="s">
        <v>2773</v>
      </c>
      <c r="D856" s="142" t="s">
        <v>2932</v>
      </c>
      <c r="E856" s="84" t="s">
        <v>2933</v>
      </c>
      <c r="F856" s="113"/>
      <c r="G856" s="131"/>
      <c r="H856" s="186" t="s">
        <v>1330</v>
      </c>
      <c r="I856" s="107" t="s">
        <v>326</v>
      </c>
      <c r="J856" s="125" t="s">
        <v>352</v>
      </c>
      <c r="K856" s="125" t="s">
        <v>781</v>
      </c>
      <c r="L856" s="138" t="s">
        <v>507</v>
      </c>
      <c r="M856" s="138" t="s">
        <v>508</v>
      </c>
    </row>
    <row r="857" spans="1:13" s="114" customFormat="1" ht="25.5">
      <c r="A857" s="136">
        <v>855</v>
      </c>
      <c r="B857" s="129" t="s">
        <v>2934</v>
      </c>
      <c r="C857" s="141" t="s">
        <v>2773</v>
      </c>
      <c r="D857" s="142" t="s">
        <v>2935</v>
      </c>
      <c r="E857" s="84" t="s">
        <v>2936</v>
      </c>
      <c r="F857" s="113"/>
      <c r="G857" s="131"/>
      <c r="H857" s="186" t="s">
        <v>1403</v>
      </c>
      <c r="I857" s="107" t="s">
        <v>326</v>
      </c>
      <c r="J857" s="125" t="s">
        <v>352</v>
      </c>
      <c r="K857" s="125" t="s">
        <v>781</v>
      </c>
      <c r="L857" s="138" t="s">
        <v>507</v>
      </c>
      <c r="M857" s="138" t="s">
        <v>508</v>
      </c>
    </row>
    <row r="858" spans="1:13" s="114" customFormat="1" ht="25.5">
      <c r="A858" s="136">
        <v>856</v>
      </c>
      <c r="B858" s="129" t="s">
        <v>2937</v>
      </c>
      <c r="C858" s="141" t="s">
        <v>2773</v>
      </c>
      <c r="D858" s="142" t="s">
        <v>2938</v>
      </c>
      <c r="E858" s="84" t="s">
        <v>2939</v>
      </c>
      <c r="F858" s="113"/>
      <c r="G858" s="131"/>
      <c r="H858" s="186" t="s">
        <v>776</v>
      </c>
      <c r="I858" s="107" t="s">
        <v>326</v>
      </c>
      <c r="J858" s="125" t="s">
        <v>352</v>
      </c>
      <c r="K858" s="125" t="s">
        <v>781</v>
      </c>
      <c r="L858" s="138" t="s">
        <v>507</v>
      </c>
      <c r="M858" s="138" t="s">
        <v>508</v>
      </c>
    </row>
    <row r="859" spans="1:13" s="114" customFormat="1" ht="38.25">
      <c r="A859" s="136">
        <v>857</v>
      </c>
      <c r="B859" s="129" t="s">
        <v>2940</v>
      </c>
      <c r="C859" s="141" t="s">
        <v>2773</v>
      </c>
      <c r="D859" s="142" t="s">
        <v>2941</v>
      </c>
      <c r="E859" s="84" t="s">
        <v>2942</v>
      </c>
      <c r="F859" s="113"/>
      <c r="G859" s="131"/>
      <c r="H859" s="186" t="s">
        <v>1330</v>
      </c>
      <c r="I859" s="107" t="s">
        <v>326</v>
      </c>
      <c r="J859" s="125" t="s">
        <v>352</v>
      </c>
      <c r="K859" s="125" t="s">
        <v>781</v>
      </c>
      <c r="L859" s="138" t="s">
        <v>507</v>
      </c>
      <c r="M859" s="138" t="s">
        <v>508</v>
      </c>
    </row>
    <row r="860" spans="1:13" s="114" customFormat="1" ht="25.5">
      <c r="A860" s="136">
        <v>858</v>
      </c>
      <c r="B860" s="129" t="s">
        <v>2943</v>
      </c>
      <c r="C860" s="141" t="s">
        <v>2773</v>
      </c>
      <c r="D860" s="142" t="s">
        <v>2944</v>
      </c>
      <c r="E860" s="84" t="s">
        <v>2945</v>
      </c>
      <c r="F860" s="113"/>
      <c r="G860" s="131"/>
      <c r="H860" s="186" t="s">
        <v>776</v>
      </c>
      <c r="I860" s="107" t="s">
        <v>326</v>
      </c>
      <c r="J860" s="125" t="s">
        <v>352</v>
      </c>
      <c r="K860" s="125" t="s">
        <v>781</v>
      </c>
      <c r="L860" s="138" t="s">
        <v>507</v>
      </c>
      <c r="M860" s="138" t="s">
        <v>508</v>
      </c>
    </row>
    <row r="861" spans="1:13" s="114" customFormat="1" ht="25.5">
      <c r="A861" s="136">
        <v>859</v>
      </c>
      <c r="B861" s="129" t="s">
        <v>2946</v>
      </c>
      <c r="C861" s="141" t="s">
        <v>2773</v>
      </c>
      <c r="D861" s="142" t="s">
        <v>2947</v>
      </c>
      <c r="E861" s="84" t="s">
        <v>2948</v>
      </c>
      <c r="F861" s="113"/>
      <c r="G861" s="131"/>
      <c r="H861" s="186" t="s">
        <v>776</v>
      </c>
      <c r="I861" s="107" t="s">
        <v>326</v>
      </c>
      <c r="J861" s="125" t="s">
        <v>352</v>
      </c>
      <c r="K861" s="125" t="s">
        <v>781</v>
      </c>
      <c r="L861" s="138" t="s">
        <v>507</v>
      </c>
      <c r="M861" s="138" t="s">
        <v>508</v>
      </c>
    </row>
    <row r="862" spans="1:13" s="114" customFormat="1" ht="25.5">
      <c r="A862" s="136">
        <v>860</v>
      </c>
      <c r="B862" s="129" t="s">
        <v>1131</v>
      </c>
      <c r="C862" s="141" t="s">
        <v>2773</v>
      </c>
      <c r="D862" s="142" t="s">
        <v>2949</v>
      </c>
      <c r="E862" s="84" t="s">
        <v>2950</v>
      </c>
      <c r="F862" s="113"/>
      <c r="G862" s="131"/>
      <c r="H862" s="186" t="s">
        <v>2951</v>
      </c>
      <c r="I862" s="107" t="s">
        <v>326</v>
      </c>
      <c r="J862" s="125" t="s">
        <v>346</v>
      </c>
      <c r="K862" s="125" t="s">
        <v>893</v>
      </c>
      <c r="L862" s="138" t="s">
        <v>507</v>
      </c>
      <c r="M862" s="138" t="s">
        <v>508</v>
      </c>
    </row>
    <row r="863" spans="1:13" s="114" customFormat="1" ht="38.25">
      <c r="A863" s="136">
        <v>861</v>
      </c>
      <c r="B863" s="129" t="s">
        <v>2952</v>
      </c>
      <c r="C863" s="141" t="s">
        <v>2773</v>
      </c>
      <c r="D863" s="142" t="s">
        <v>2953</v>
      </c>
      <c r="E863" s="84" t="s">
        <v>2954</v>
      </c>
      <c r="F863" s="113"/>
      <c r="G863" s="131"/>
      <c r="H863" s="186" t="s">
        <v>2042</v>
      </c>
      <c r="I863" s="107" t="s">
        <v>326</v>
      </c>
      <c r="J863" s="125" t="s">
        <v>331</v>
      </c>
      <c r="K863" s="125" t="s">
        <v>512</v>
      </c>
      <c r="L863" s="138" t="s">
        <v>507</v>
      </c>
      <c r="M863" s="138" t="s">
        <v>508</v>
      </c>
    </row>
    <row r="864" spans="1:13" s="114" customFormat="1" ht="25.5">
      <c r="A864" s="136">
        <v>862</v>
      </c>
      <c r="B864" s="129" t="s">
        <v>2955</v>
      </c>
      <c r="C864" s="141" t="s">
        <v>2773</v>
      </c>
      <c r="D864" s="142" t="s">
        <v>2956</v>
      </c>
      <c r="E864" s="84" t="s">
        <v>2957</v>
      </c>
      <c r="F864" s="113"/>
      <c r="G864" s="131"/>
      <c r="H864" s="186" t="s">
        <v>1462</v>
      </c>
      <c r="I864" s="107" t="s">
        <v>326</v>
      </c>
      <c r="J864" s="125" t="s">
        <v>346</v>
      </c>
      <c r="K864" s="125" t="s">
        <v>1465</v>
      </c>
      <c r="L864" s="138" t="s">
        <v>507</v>
      </c>
      <c r="M864" s="138" t="s">
        <v>508</v>
      </c>
    </row>
    <row r="865" spans="1:13" s="114" customFormat="1" ht="51">
      <c r="A865" s="136">
        <v>863</v>
      </c>
      <c r="B865" s="129" t="s">
        <v>2958</v>
      </c>
      <c r="C865" s="141" t="s">
        <v>2773</v>
      </c>
      <c r="D865" s="142" t="s">
        <v>2959</v>
      </c>
      <c r="E865" s="84" t="s">
        <v>2960</v>
      </c>
      <c r="F865" s="113"/>
      <c r="G865" s="131"/>
      <c r="H865" s="186" t="s">
        <v>1070</v>
      </c>
      <c r="I865" s="107" t="s">
        <v>327</v>
      </c>
      <c r="J865" s="125" t="s">
        <v>337</v>
      </c>
      <c r="K865" s="125" t="s">
        <v>1071</v>
      </c>
      <c r="L865" s="138" t="s">
        <v>314</v>
      </c>
      <c r="M865" s="138" t="s">
        <v>953</v>
      </c>
    </row>
    <row r="866" spans="1:13" s="114" customFormat="1" ht="51">
      <c r="A866" s="136">
        <v>864</v>
      </c>
      <c r="B866" s="129" t="s">
        <v>2961</v>
      </c>
      <c r="C866" s="141" t="s">
        <v>2773</v>
      </c>
      <c r="D866" s="142" t="s">
        <v>2962</v>
      </c>
      <c r="E866" s="84" t="s">
        <v>2963</v>
      </c>
      <c r="F866" s="113"/>
      <c r="G866" s="131"/>
      <c r="H866" s="186" t="s">
        <v>2060</v>
      </c>
      <c r="I866" s="107" t="s">
        <v>326</v>
      </c>
      <c r="J866" s="125" t="s">
        <v>352</v>
      </c>
      <c r="K866" s="125" t="s">
        <v>597</v>
      </c>
      <c r="L866" s="138" t="s">
        <v>314</v>
      </c>
      <c r="M866" s="138" t="s">
        <v>953</v>
      </c>
    </row>
    <row r="867" spans="1:13" s="114" customFormat="1" ht="38.25">
      <c r="A867" s="136">
        <v>865</v>
      </c>
      <c r="B867" s="129" t="s">
        <v>2964</v>
      </c>
      <c r="C867" s="141" t="s">
        <v>2773</v>
      </c>
      <c r="D867" s="142" t="s">
        <v>2965</v>
      </c>
      <c r="E867" s="84" t="s">
        <v>2966</v>
      </c>
      <c r="F867" s="113"/>
      <c r="G867" s="131"/>
      <c r="H867" s="186" t="s">
        <v>513</v>
      </c>
      <c r="I867" s="107" t="s">
        <v>326</v>
      </c>
      <c r="J867" s="125" t="s">
        <v>331</v>
      </c>
      <c r="K867" s="125" t="s">
        <v>512</v>
      </c>
      <c r="L867" s="138" t="s">
        <v>507</v>
      </c>
      <c r="M867" s="138" t="s">
        <v>508</v>
      </c>
    </row>
    <row r="868" spans="1:13" s="114" customFormat="1" ht="51">
      <c r="A868" s="136">
        <v>866</v>
      </c>
      <c r="B868" s="129" t="s">
        <v>2967</v>
      </c>
      <c r="C868" s="141" t="s">
        <v>2773</v>
      </c>
      <c r="D868" s="142" t="s">
        <v>2968</v>
      </c>
      <c r="E868" s="84" t="s">
        <v>2969</v>
      </c>
      <c r="F868" s="113"/>
      <c r="G868" s="131"/>
      <c r="H868" s="186" t="s">
        <v>1586</v>
      </c>
      <c r="I868" s="107" t="s">
        <v>326</v>
      </c>
      <c r="J868" s="125" t="s">
        <v>331</v>
      </c>
      <c r="K868" s="125" t="s">
        <v>1191</v>
      </c>
      <c r="L868" s="138" t="s">
        <v>314</v>
      </c>
      <c r="M868" s="138" t="s">
        <v>953</v>
      </c>
    </row>
    <row r="869" spans="1:13" s="114" customFormat="1" ht="51">
      <c r="A869" s="136">
        <v>867</v>
      </c>
      <c r="B869" s="129" t="s">
        <v>2970</v>
      </c>
      <c r="C869" s="141" t="s">
        <v>2773</v>
      </c>
      <c r="D869" s="142" t="s">
        <v>2971</v>
      </c>
      <c r="E869" s="84" t="s">
        <v>2972</v>
      </c>
      <c r="F869" s="113"/>
      <c r="G869" s="131"/>
      <c r="H869" s="186" t="s">
        <v>971</v>
      </c>
      <c r="I869" s="107" t="s">
        <v>326</v>
      </c>
      <c r="J869" s="125" t="s">
        <v>352</v>
      </c>
      <c r="K869" s="125" t="s">
        <v>597</v>
      </c>
      <c r="L869" s="138" t="s">
        <v>314</v>
      </c>
      <c r="M869" s="138" t="s">
        <v>953</v>
      </c>
    </row>
    <row r="870" spans="1:13" s="114" customFormat="1" ht="25.5">
      <c r="A870" s="136">
        <v>868</v>
      </c>
      <c r="B870" s="129" t="s">
        <v>2973</v>
      </c>
      <c r="C870" s="141" t="s">
        <v>2773</v>
      </c>
      <c r="D870" s="142" t="s">
        <v>2974</v>
      </c>
      <c r="E870" s="84" t="s">
        <v>2975</v>
      </c>
      <c r="F870" s="113"/>
      <c r="G870" s="131"/>
      <c r="H870" s="186" t="s">
        <v>617</v>
      </c>
      <c r="I870" s="107" t="s">
        <v>326</v>
      </c>
      <c r="J870" s="125" t="s">
        <v>331</v>
      </c>
      <c r="K870" s="125" t="s">
        <v>618</v>
      </c>
      <c r="L870" s="138" t="s">
        <v>507</v>
      </c>
      <c r="M870" s="138" t="s">
        <v>508</v>
      </c>
    </row>
    <row r="871" spans="1:13" s="114" customFormat="1" ht="25.5">
      <c r="A871" s="136">
        <v>869</v>
      </c>
      <c r="B871" s="129" t="s">
        <v>2976</v>
      </c>
      <c r="C871" s="141" t="s">
        <v>2773</v>
      </c>
      <c r="D871" s="142" t="s">
        <v>2977</v>
      </c>
      <c r="E871" s="84" t="s">
        <v>2978</v>
      </c>
      <c r="F871" s="113"/>
      <c r="G871" s="131"/>
      <c r="H871" s="186" t="s">
        <v>896</v>
      </c>
      <c r="I871" s="107" t="s">
        <v>326</v>
      </c>
      <c r="J871" s="125" t="s">
        <v>341</v>
      </c>
      <c r="K871" s="125" t="s">
        <v>580</v>
      </c>
      <c r="L871" s="138" t="s">
        <v>507</v>
      </c>
      <c r="M871" s="138" t="s">
        <v>508</v>
      </c>
    </row>
    <row r="872" spans="1:13" s="114" customFormat="1" ht="25.5">
      <c r="A872" s="136">
        <v>870</v>
      </c>
      <c r="B872" s="129" t="s">
        <v>2979</v>
      </c>
      <c r="C872" s="141" t="s">
        <v>2773</v>
      </c>
      <c r="D872" s="142" t="s">
        <v>2980</v>
      </c>
      <c r="E872" s="84" t="s">
        <v>2981</v>
      </c>
      <c r="F872" s="113"/>
      <c r="G872" s="131"/>
      <c r="H872" s="186" t="s">
        <v>974</v>
      </c>
      <c r="I872" s="107" t="s">
        <v>326</v>
      </c>
      <c r="J872" s="125" t="s">
        <v>352</v>
      </c>
      <c r="K872" s="125" t="s">
        <v>597</v>
      </c>
      <c r="L872" s="138" t="s">
        <v>507</v>
      </c>
      <c r="M872" s="138" t="s">
        <v>508</v>
      </c>
    </row>
    <row r="873" spans="1:13" s="114" customFormat="1" ht="25.5">
      <c r="A873" s="136">
        <v>871</v>
      </c>
      <c r="B873" s="129" t="s">
        <v>2982</v>
      </c>
      <c r="C873" s="141" t="s">
        <v>2773</v>
      </c>
      <c r="D873" s="142" t="s">
        <v>2983</v>
      </c>
      <c r="E873" s="84" t="s">
        <v>2984</v>
      </c>
      <c r="F873" s="113"/>
      <c r="G873" s="131"/>
      <c r="H873" s="186" t="s">
        <v>1650</v>
      </c>
      <c r="I873" s="107" t="s">
        <v>326</v>
      </c>
      <c r="J873" s="125" t="s">
        <v>341</v>
      </c>
      <c r="K873" s="125" t="s">
        <v>580</v>
      </c>
      <c r="L873" s="138" t="s">
        <v>507</v>
      </c>
      <c r="M873" s="138" t="s">
        <v>508</v>
      </c>
    </row>
    <row r="874" spans="1:13" s="114" customFormat="1" ht="25.5">
      <c r="A874" s="136">
        <v>872</v>
      </c>
      <c r="B874" s="129" t="s">
        <v>2985</v>
      </c>
      <c r="C874" s="141" t="s">
        <v>2773</v>
      </c>
      <c r="D874" s="142" t="s">
        <v>2986</v>
      </c>
      <c r="E874" s="84" t="s">
        <v>2987</v>
      </c>
      <c r="F874" s="113"/>
      <c r="G874" s="131"/>
      <c r="H874" s="186" t="s">
        <v>896</v>
      </c>
      <c r="I874" s="107" t="s">
        <v>326</v>
      </c>
      <c r="J874" s="125" t="s">
        <v>341</v>
      </c>
      <c r="K874" s="125" t="s">
        <v>580</v>
      </c>
      <c r="L874" s="138" t="s">
        <v>507</v>
      </c>
      <c r="M874" s="138" t="s">
        <v>508</v>
      </c>
    </row>
    <row r="875" spans="1:13" s="114" customFormat="1" ht="12.75">
      <c r="A875" s="136">
        <v>873</v>
      </c>
      <c r="B875" s="129" t="s">
        <v>2988</v>
      </c>
      <c r="C875" s="141" t="s">
        <v>2773</v>
      </c>
      <c r="D875" s="142" t="s">
        <v>2989</v>
      </c>
      <c r="E875" s="84" t="s">
        <v>2990</v>
      </c>
      <c r="F875" s="113"/>
      <c r="G875" s="131"/>
      <c r="H875" s="186" t="s">
        <v>1679</v>
      </c>
      <c r="I875" s="107" t="s">
        <v>327</v>
      </c>
      <c r="J875" s="125" t="s">
        <v>337</v>
      </c>
      <c r="K875" s="125" t="s">
        <v>1680</v>
      </c>
      <c r="L875" s="138" t="s">
        <v>507</v>
      </c>
      <c r="M875" s="138" t="s">
        <v>508</v>
      </c>
    </row>
    <row r="876" spans="1:13" s="114" customFormat="1" ht="12.75">
      <c r="A876" s="136">
        <v>874</v>
      </c>
      <c r="B876" s="129" t="s">
        <v>2991</v>
      </c>
      <c r="C876" s="141" t="s">
        <v>2773</v>
      </c>
      <c r="D876" s="142" t="s">
        <v>2992</v>
      </c>
      <c r="E876" s="84" t="s">
        <v>2993</v>
      </c>
      <c r="F876" s="113"/>
      <c r="G876" s="131"/>
      <c r="H876" s="186" t="s">
        <v>974</v>
      </c>
      <c r="I876" s="107" t="s">
        <v>326</v>
      </c>
      <c r="J876" s="136" t="s">
        <v>352</v>
      </c>
      <c r="K876" s="136" t="s">
        <v>597</v>
      </c>
      <c r="L876" s="138" t="s">
        <v>507</v>
      </c>
      <c r="M876" s="138" t="s">
        <v>508</v>
      </c>
    </row>
    <row r="877" spans="1:13" s="114" customFormat="1" ht="12.75">
      <c r="A877" s="136">
        <v>875</v>
      </c>
      <c r="B877" s="129" t="s">
        <v>2994</v>
      </c>
      <c r="C877" s="141" t="s">
        <v>2773</v>
      </c>
      <c r="D877" s="142" t="s">
        <v>2995</v>
      </c>
      <c r="E877" s="84" t="s">
        <v>2996</v>
      </c>
      <c r="F877" s="113"/>
      <c r="G877" s="131"/>
      <c r="H877" s="186" t="s">
        <v>1735</v>
      </c>
      <c r="I877" s="107" t="s">
        <v>326</v>
      </c>
      <c r="J877" s="136" t="s">
        <v>341</v>
      </c>
      <c r="K877" s="136" t="s">
        <v>1736</v>
      </c>
      <c r="L877" s="138" t="s">
        <v>507</v>
      </c>
      <c r="M877" s="138" t="s">
        <v>508</v>
      </c>
    </row>
    <row r="878" spans="1:13" s="114" customFormat="1" ht="25.5">
      <c r="A878" s="136">
        <v>876</v>
      </c>
      <c r="B878" s="129" t="s">
        <v>2997</v>
      </c>
      <c r="C878" s="141" t="s">
        <v>2773</v>
      </c>
      <c r="D878" s="142" t="s">
        <v>2998</v>
      </c>
      <c r="E878" s="84" t="s">
        <v>2999</v>
      </c>
      <c r="F878" s="113"/>
      <c r="G878" s="131"/>
      <c r="H878" s="186" t="s">
        <v>1826</v>
      </c>
      <c r="I878" s="107" t="s">
        <v>327</v>
      </c>
      <c r="J878" s="136" t="s">
        <v>337</v>
      </c>
      <c r="K878" s="136" t="s">
        <v>1827</v>
      </c>
      <c r="L878" s="138" t="s">
        <v>507</v>
      </c>
      <c r="M878" s="138" t="s">
        <v>508</v>
      </c>
    </row>
    <row r="879" spans="1:13" s="114" customFormat="1" ht="51">
      <c r="A879" s="136">
        <v>877</v>
      </c>
      <c r="B879" s="129" t="s">
        <v>3000</v>
      </c>
      <c r="C879" s="141" t="s">
        <v>2773</v>
      </c>
      <c r="D879" s="142" t="s">
        <v>3001</v>
      </c>
      <c r="E879" s="84" t="s">
        <v>3002</v>
      </c>
      <c r="F879" s="113"/>
      <c r="G879" s="131"/>
      <c r="H879" s="186" t="s">
        <v>1070</v>
      </c>
      <c r="I879" s="107" t="s">
        <v>327</v>
      </c>
      <c r="J879" s="136" t="s">
        <v>337</v>
      </c>
      <c r="K879" s="136" t="s">
        <v>1071</v>
      </c>
      <c r="L879" s="138" t="s">
        <v>314</v>
      </c>
      <c r="M879" s="138" t="s">
        <v>953</v>
      </c>
    </row>
    <row r="880" spans="1:13" s="114" customFormat="1" ht="25.5">
      <c r="A880" s="136">
        <v>878</v>
      </c>
      <c r="B880" s="129" t="s">
        <v>3003</v>
      </c>
      <c r="C880" s="141" t="s">
        <v>2773</v>
      </c>
      <c r="D880" s="142" t="s">
        <v>3004</v>
      </c>
      <c r="E880" s="84" t="s">
        <v>3005</v>
      </c>
      <c r="F880" s="113"/>
      <c r="G880" s="131"/>
      <c r="H880" s="186" t="s">
        <v>1836</v>
      </c>
      <c r="I880" s="107" t="s">
        <v>326</v>
      </c>
      <c r="J880" s="136" t="s">
        <v>349</v>
      </c>
      <c r="K880" s="136" t="s">
        <v>1336</v>
      </c>
      <c r="L880" s="138" t="s">
        <v>507</v>
      </c>
      <c r="M880" s="138" t="s">
        <v>508</v>
      </c>
    </row>
    <row r="881" spans="1:13" s="114" customFormat="1" ht="25.5">
      <c r="A881" s="136">
        <v>879</v>
      </c>
      <c r="B881" s="129" t="s">
        <v>3006</v>
      </c>
      <c r="C881" s="141" t="s">
        <v>2773</v>
      </c>
      <c r="D881" s="142" t="s">
        <v>3007</v>
      </c>
      <c r="E881" s="84" t="s">
        <v>3008</v>
      </c>
      <c r="F881" s="113"/>
      <c r="G881" s="131"/>
      <c r="H881" s="186" t="s">
        <v>1462</v>
      </c>
      <c r="I881" s="107" t="s">
        <v>326</v>
      </c>
      <c r="J881" s="136" t="s">
        <v>346</v>
      </c>
      <c r="K881" s="136" t="s">
        <v>1465</v>
      </c>
      <c r="L881" s="138" t="s">
        <v>507</v>
      </c>
      <c r="M881" s="138" t="s">
        <v>508</v>
      </c>
    </row>
    <row r="882" spans="1:13" s="114" customFormat="1" ht="51">
      <c r="A882" s="136">
        <v>880</v>
      </c>
      <c r="B882" s="129" t="s">
        <v>3009</v>
      </c>
      <c r="C882" s="141" t="s">
        <v>2773</v>
      </c>
      <c r="D882" s="142" t="s">
        <v>3010</v>
      </c>
      <c r="E882" s="84" t="s">
        <v>3011</v>
      </c>
      <c r="F882" s="113"/>
      <c r="G882" s="131"/>
      <c r="H882" s="186" t="s">
        <v>1579</v>
      </c>
      <c r="I882" s="107" t="s">
        <v>327</v>
      </c>
      <c r="J882" s="136" t="s">
        <v>337</v>
      </c>
      <c r="K882" s="136" t="s">
        <v>1440</v>
      </c>
      <c r="L882" s="138" t="s">
        <v>314</v>
      </c>
      <c r="M882" s="138" t="s">
        <v>953</v>
      </c>
    </row>
    <row r="883" spans="1:13" s="114" customFormat="1" ht="25.5">
      <c r="A883" s="136">
        <v>881</v>
      </c>
      <c r="B883" s="129" t="s">
        <v>3012</v>
      </c>
      <c r="C883" s="141" t="s">
        <v>2773</v>
      </c>
      <c r="D883" s="142" t="s">
        <v>3013</v>
      </c>
      <c r="E883" s="84" t="s">
        <v>3014</v>
      </c>
      <c r="F883" s="113"/>
      <c r="G883" s="131"/>
      <c r="H883" s="186" t="s">
        <v>1070</v>
      </c>
      <c r="I883" s="107" t="s">
        <v>327</v>
      </c>
      <c r="J883" s="136" t="s">
        <v>337</v>
      </c>
      <c r="K883" s="136" t="s">
        <v>1071</v>
      </c>
      <c r="L883" s="138" t="s">
        <v>314</v>
      </c>
      <c r="M883" s="138" t="s">
        <v>508</v>
      </c>
    </row>
    <row r="884" spans="1:13" s="114" customFormat="1" ht="25.5">
      <c r="A884" s="136">
        <v>882</v>
      </c>
      <c r="B884" s="129" t="s">
        <v>3015</v>
      </c>
      <c r="C884" s="129" t="s">
        <v>3016</v>
      </c>
      <c r="D884" s="137" t="s">
        <v>3017</v>
      </c>
      <c r="E884" s="84" t="s">
        <v>3018</v>
      </c>
      <c r="F884" s="113"/>
      <c r="G884" s="131"/>
      <c r="H884" s="186" t="s">
        <v>1330</v>
      </c>
      <c r="I884" s="125" t="s">
        <v>326</v>
      </c>
      <c r="J884" s="125" t="s">
        <v>352</v>
      </c>
      <c r="K884" s="125" t="s">
        <v>781</v>
      </c>
      <c r="L884" s="138" t="s">
        <v>507</v>
      </c>
      <c r="M884" s="138" t="s">
        <v>508</v>
      </c>
    </row>
    <row r="885" spans="1:13" s="114" customFormat="1" ht="38.25">
      <c r="A885" s="136">
        <v>883</v>
      </c>
      <c r="B885" s="129" t="s">
        <v>3019</v>
      </c>
      <c r="C885" s="129" t="s">
        <v>3020</v>
      </c>
      <c r="D885" s="137" t="s">
        <v>3017</v>
      </c>
      <c r="E885" s="84" t="s">
        <v>3021</v>
      </c>
      <c r="F885" s="113"/>
      <c r="G885" s="131"/>
      <c r="H885" s="186" t="s">
        <v>513</v>
      </c>
      <c r="I885" s="125" t="s">
        <v>326</v>
      </c>
      <c r="J885" s="125" t="s">
        <v>331</v>
      </c>
      <c r="K885" s="125" t="s">
        <v>512</v>
      </c>
      <c r="L885" s="138" t="s">
        <v>507</v>
      </c>
      <c r="M885" s="138" t="s">
        <v>508</v>
      </c>
    </row>
    <row r="886" spans="1:13" s="114" customFormat="1" ht="25.5">
      <c r="A886" s="136">
        <v>884</v>
      </c>
      <c r="B886" s="129" t="s">
        <v>3022</v>
      </c>
      <c r="C886" s="129" t="s">
        <v>3023</v>
      </c>
      <c r="D886" s="137" t="s">
        <v>3017</v>
      </c>
      <c r="E886" s="84" t="s">
        <v>3024</v>
      </c>
      <c r="F886" s="113"/>
      <c r="G886" s="131"/>
      <c r="H886" s="186" t="s">
        <v>1209</v>
      </c>
      <c r="I886" s="125" t="s">
        <v>326</v>
      </c>
      <c r="J886" s="125" t="s">
        <v>331</v>
      </c>
      <c r="K886" s="125" t="s">
        <v>1178</v>
      </c>
      <c r="L886" s="138" t="s">
        <v>507</v>
      </c>
      <c r="M886" s="138" t="s">
        <v>508</v>
      </c>
    </row>
    <row r="887" spans="1:13" s="114" customFormat="1" ht="38.25">
      <c r="A887" s="136">
        <v>885</v>
      </c>
      <c r="B887" s="129" t="s">
        <v>3025</v>
      </c>
      <c r="C887" s="129" t="s">
        <v>3026</v>
      </c>
      <c r="D887" s="137" t="s">
        <v>3017</v>
      </c>
      <c r="E887" s="84" t="s">
        <v>3027</v>
      </c>
      <c r="F887" s="113"/>
      <c r="G887" s="131"/>
      <c r="H887" s="186" t="s">
        <v>543</v>
      </c>
      <c r="I887" s="125" t="s">
        <v>326</v>
      </c>
      <c r="J887" s="125" t="s">
        <v>331</v>
      </c>
      <c r="K887" s="125" t="s">
        <v>512</v>
      </c>
      <c r="L887" s="138" t="s">
        <v>507</v>
      </c>
      <c r="M887" s="138" t="s">
        <v>508</v>
      </c>
    </row>
    <row r="888" spans="1:13" s="114" customFormat="1" ht="38.25">
      <c r="A888" s="136">
        <v>886</v>
      </c>
      <c r="B888" s="129" t="s">
        <v>3028</v>
      </c>
      <c r="C888" s="129" t="s">
        <v>3026</v>
      </c>
      <c r="D888" s="137" t="s">
        <v>3029</v>
      </c>
      <c r="E888" s="84" t="s">
        <v>3030</v>
      </c>
      <c r="F888" s="84"/>
      <c r="G888" s="131"/>
      <c r="H888" s="186" t="s">
        <v>535</v>
      </c>
      <c r="I888" s="125" t="s">
        <v>326</v>
      </c>
      <c r="J888" s="125" t="s">
        <v>331</v>
      </c>
      <c r="K888" s="125" t="s">
        <v>512</v>
      </c>
      <c r="L888" s="138" t="s">
        <v>507</v>
      </c>
      <c r="M888" s="138" t="s">
        <v>508</v>
      </c>
    </row>
    <row r="889" spans="1:13" s="114" customFormat="1" ht="38.25">
      <c r="A889" s="136">
        <v>887</v>
      </c>
      <c r="B889" s="129" t="s">
        <v>3031</v>
      </c>
      <c r="C889" s="129" t="s">
        <v>3026</v>
      </c>
      <c r="D889" s="137" t="s">
        <v>3029</v>
      </c>
      <c r="E889" s="84" t="s">
        <v>3032</v>
      </c>
      <c r="F889" s="113"/>
      <c r="G889" s="131"/>
      <c r="H889" s="186" t="s">
        <v>642</v>
      </c>
      <c r="I889" s="125" t="s">
        <v>326</v>
      </c>
      <c r="J889" s="125" t="s">
        <v>331</v>
      </c>
      <c r="K889" s="125" t="s">
        <v>512</v>
      </c>
      <c r="L889" s="138" t="s">
        <v>507</v>
      </c>
      <c r="M889" s="138" t="s">
        <v>508</v>
      </c>
    </row>
    <row r="890" spans="1:13" s="114" customFormat="1" ht="38.25">
      <c r="A890" s="136">
        <v>888</v>
      </c>
      <c r="B890" s="129" t="s">
        <v>3033</v>
      </c>
      <c r="C890" s="129" t="s">
        <v>3034</v>
      </c>
      <c r="D890" s="137" t="s">
        <v>3029</v>
      </c>
      <c r="E890" s="84" t="s">
        <v>3035</v>
      </c>
      <c r="F890" s="113"/>
      <c r="G890" s="131"/>
      <c r="H890" s="186" t="s">
        <v>1230</v>
      </c>
      <c r="I890" s="125" t="s">
        <v>326</v>
      </c>
      <c r="J890" s="125" t="s">
        <v>331</v>
      </c>
      <c r="K890" s="125" t="s">
        <v>1178</v>
      </c>
      <c r="L890" s="138" t="s">
        <v>507</v>
      </c>
      <c r="M890" s="138" t="s">
        <v>508</v>
      </c>
    </row>
    <row r="891" spans="1:13" s="114" customFormat="1" ht="38.25">
      <c r="A891" s="136">
        <v>889</v>
      </c>
      <c r="B891" s="129" t="s">
        <v>3036</v>
      </c>
      <c r="C891" s="129" t="s">
        <v>3034</v>
      </c>
      <c r="D891" s="137" t="s">
        <v>3029</v>
      </c>
      <c r="E891" s="84" t="s">
        <v>3037</v>
      </c>
      <c r="F891" s="113"/>
      <c r="G891" s="131"/>
      <c r="H891" s="186" t="s">
        <v>3038</v>
      </c>
      <c r="I891" s="125" t="s">
        <v>326</v>
      </c>
      <c r="J891" s="125" t="s">
        <v>331</v>
      </c>
      <c r="K891" s="125" t="s">
        <v>1178</v>
      </c>
      <c r="L891" s="138" t="s">
        <v>507</v>
      </c>
      <c r="M891" s="138" t="s">
        <v>508</v>
      </c>
    </row>
    <row r="892" spans="1:13" s="114" customFormat="1" ht="25.5">
      <c r="A892" s="136">
        <v>890</v>
      </c>
      <c r="B892" s="129" t="s">
        <v>3039</v>
      </c>
      <c r="C892" s="129" t="s">
        <v>3034</v>
      </c>
      <c r="D892" s="137" t="s">
        <v>3029</v>
      </c>
      <c r="E892" s="84" t="s">
        <v>3040</v>
      </c>
      <c r="F892" s="113"/>
      <c r="G892" s="131"/>
      <c r="H892" s="186" t="s">
        <v>1221</v>
      </c>
      <c r="I892" s="125" t="s">
        <v>326</v>
      </c>
      <c r="J892" s="125" t="s">
        <v>331</v>
      </c>
      <c r="K892" s="125" t="s">
        <v>1178</v>
      </c>
      <c r="L892" s="138" t="s">
        <v>507</v>
      </c>
      <c r="M892" s="138" t="s">
        <v>508</v>
      </c>
    </row>
    <row r="893" spans="1:13" s="114" customFormat="1" ht="25.5">
      <c r="A893" s="136">
        <v>891</v>
      </c>
      <c r="B893" s="129" t="s">
        <v>3041</v>
      </c>
      <c r="C893" s="129" t="s">
        <v>3034</v>
      </c>
      <c r="D893" s="137" t="s">
        <v>3029</v>
      </c>
      <c r="E893" s="84" t="s">
        <v>3042</v>
      </c>
      <c r="F893" s="118"/>
      <c r="G893" s="131"/>
      <c r="H893" s="186" t="s">
        <v>3038</v>
      </c>
      <c r="I893" s="125" t="s">
        <v>326</v>
      </c>
      <c r="J893" s="125" t="s">
        <v>331</v>
      </c>
      <c r="K893" s="125" t="s">
        <v>1178</v>
      </c>
      <c r="L893" s="138" t="s">
        <v>507</v>
      </c>
      <c r="M893" s="138" t="s">
        <v>508</v>
      </c>
    </row>
    <row r="894" spans="1:13" s="114" customFormat="1" ht="25.5">
      <c r="A894" s="136">
        <v>892</v>
      </c>
      <c r="B894" s="129" t="s">
        <v>3043</v>
      </c>
      <c r="C894" s="129" t="s">
        <v>3034</v>
      </c>
      <c r="D894" s="137" t="s">
        <v>3029</v>
      </c>
      <c r="E894" s="84" t="s">
        <v>3044</v>
      </c>
      <c r="F894" s="113"/>
      <c r="G894" s="131"/>
      <c r="H894" s="186" t="s">
        <v>1230</v>
      </c>
      <c r="I894" s="125" t="s">
        <v>326</v>
      </c>
      <c r="J894" s="125" t="s">
        <v>331</v>
      </c>
      <c r="K894" s="125" t="s">
        <v>1178</v>
      </c>
      <c r="L894" s="138" t="s">
        <v>507</v>
      </c>
      <c r="M894" s="138" t="s">
        <v>508</v>
      </c>
    </row>
    <row r="895" spans="1:13" s="114" customFormat="1" ht="38.25">
      <c r="A895" s="136">
        <v>893</v>
      </c>
      <c r="B895" s="129" t="s">
        <v>3045</v>
      </c>
      <c r="C895" s="129" t="s">
        <v>3046</v>
      </c>
      <c r="D895" s="137" t="s">
        <v>3017</v>
      </c>
      <c r="E895" s="84" t="s">
        <v>3047</v>
      </c>
      <c r="F895" s="113"/>
      <c r="G895" s="131"/>
      <c r="H895" s="186" t="s">
        <v>642</v>
      </c>
      <c r="I895" s="125" t="s">
        <v>326</v>
      </c>
      <c r="J895" s="125" t="s">
        <v>331</v>
      </c>
      <c r="K895" s="125" t="s">
        <v>512</v>
      </c>
      <c r="L895" s="138" t="s">
        <v>507</v>
      </c>
      <c r="M895" s="138" t="s">
        <v>508</v>
      </c>
    </row>
    <row r="896" spans="1:13" s="114" customFormat="1" ht="38.25">
      <c r="A896" s="136">
        <v>894</v>
      </c>
      <c r="B896" s="129" t="s">
        <v>642</v>
      </c>
      <c r="C896" s="129" t="s">
        <v>3046</v>
      </c>
      <c r="D896" s="137" t="s">
        <v>3029</v>
      </c>
      <c r="E896" s="84" t="s">
        <v>3048</v>
      </c>
      <c r="F896" s="84"/>
      <c r="G896" s="131"/>
      <c r="H896" s="186" t="s">
        <v>3049</v>
      </c>
      <c r="I896" s="125" t="s">
        <v>326</v>
      </c>
      <c r="J896" s="125" t="s">
        <v>331</v>
      </c>
      <c r="K896" s="125" t="s">
        <v>512</v>
      </c>
      <c r="L896" s="138" t="s">
        <v>507</v>
      </c>
      <c r="M896" s="138" t="s">
        <v>508</v>
      </c>
    </row>
    <row r="897" spans="1:13" s="114" customFormat="1" ht="38.25">
      <c r="A897" s="136">
        <v>895</v>
      </c>
      <c r="B897" s="129" t="s">
        <v>3050</v>
      </c>
      <c r="C897" s="129" t="s">
        <v>3046</v>
      </c>
      <c r="D897" s="137" t="s">
        <v>3029</v>
      </c>
      <c r="E897" s="84" t="s">
        <v>3051</v>
      </c>
      <c r="F897" s="113"/>
      <c r="G897" s="131"/>
      <c r="H897" s="186" t="s">
        <v>642</v>
      </c>
      <c r="I897" s="125" t="s">
        <v>326</v>
      </c>
      <c r="J897" s="125" t="s">
        <v>331</v>
      </c>
      <c r="K897" s="125" t="s">
        <v>512</v>
      </c>
      <c r="L897" s="138" t="s">
        <v>507</v>
      </c>
      <c r="M897" s="138" t="s">
        <v>508</v>
      </c>
    </row>
    <row r="898" spans="1:13" s="114" customFormat="1" ht="38.25">
      <c r="A898" s="136">
        <v>896</v>
      </c>
      <c r="B898" s="129" t="s">
        <v>3052</v>
      </c>
      <c r="C898" s="129" t="s">
        <v>3046</v>
      </c>
      <c r="D898" s="137" t="s">
        <v>3029</v>
      </c>
      <c r="E898" s="84" t="s">
        <v>3053</v>
      </c>
      <c r="F898" s="118"/>
      <c r="G898" s="131"/>
      <c r="H898" s="186" t="s">
        <v>642</v>
      </c>
      <c r="I898" s="125" t="s">
        <v>326</v>
      </c>
      <c r="J898" s="125" t="s">
        <v>331</v>
      </c>
      <c r="K898" s="125" t="s">
        <v>512</v>
      </c>
      <c r="L898" s="138" t="s">
        <v>507</v>
      </c>
      <c r="M898" s="138" t="s">
        <v>508</v>
      </c>
    </row>
    <row r="899" spans="1:13" s="114" customFormat="1" ht="38.25">
      <c r="A899" s="136">
        <v>897</v>
      </c>
      <c r="B899" s="129" t="s">
        <v>3054</v>
      </c>
      <c r="C899" s="129" t="s">
        <v>3046</v>
      </c>
      <c r="D899" s="137" t="s">
        <v>3029</v>
      </c>
      <c r="E899" s="84" t="s">
        <v>3055</v>
      </c>
      <c r="F899" s="118"/>
      <c r="G899" s="131"/>
      <c r="H899" s="186" t="s">
        <v>642</v>
      </c>
      <c r="I899" s="125" t="s">
        <v>326</v>
      </c>
      <c r="J899" s="125" t="s">
        <v>331</v>
      </c>
      <c r="K899" s="125" t="s">
        <v>512</v>
      </c>
      <c r="L899" s="138" t="s">
        <v>507</v>
      </c>
      <c r="M899" s="138" t="s">
        <v>508</v>
      </c>
    </row>
    <row r="900" spans="1:13" s="114" customFormat="1" ht="25.5">
      <c r="A900" s="136">
        <v>898</v>
      </c>
      <c r="B900" s="129" t="s">
        <v>3056</v>
      </c>
      <c r="C900" s="129" t="s">
        <v>3046</v>
      </c>
      <c r="D900" s="137" t="s">
        <v>3029</v>
      </c>
      <c r="E900" s="84" t="s">
        <v>3057</v>
      </c>
      <c r="F900" s="113"/>
      <c r="G900" s="131"/>
      <c r="H900" s="186" t="s">
        <v>523</v>
      </c>
      <c r="I900" s="125" t="s">
        <v>326</v>
      </c>
      <c r="J900" s="125" t="s">
        <v>352</v>
      </c>
      <c r="K900" s="125" t="s">
        <v>526</v>
      </c>
      <c r="L900" s="138" t="s">
        <v>507</v>
      </c>
      <c r="M900" s="138" t="s">
        <v>508</v>
      </c>
    </row>
    <row r="901" spans="1:13" s="114" customFormat="1" ht="38.25">
      <c r="A901" s="136">
        <v>899</v>
      </c>
      <c r="B901" s="129" t="s">
        <v>3058</v>
      </c>
      <c r="C901" s="129" t="s">
        <v>3059</v>
      </c>
      <c r="D901" s="137" t="s">
        <v>3017</v>
      </c>
      <c r="E901" s="84" t="s">
        <v>3060</v>
      </c>
      <c r="F901" s="113"/>
      <c r="G901" s="131"/>
      <c r="H901" s="186" t="s">
        <v>2042</v>
      </c>
      <c r="I901" s="125" t="s">
        <v>326</v>
      </c>
      <c r="J901" s="125" t="s">
        <v>331</v>
      </c>
      <c r="K901" s="125" t="s">
        <v>512</v>
      </c>
      <c r="L901" s="138" t="s">
        <v>507</v>
      </c>
      <c r="M901" s="138" t="s">
        <v>508</v>
      </c>
    </row>
    <row r="902" spans="1:13" s="114" customFormat="1" ht="51">
      <c r="A902" s="136">
        <v>900</v>
      </c>
      <c r="B902" s="129" t="s">
        <v>3061</v>
      </c>
      <c r="C902" s="129" t="s">
        <v>3062</v>
      </c>
      <c r="D902" s="137" t="s">
        <v>3017</v>
      </c>
      <c r="E902" s="84" t="s">
        <v>3063</v>
      </c>
      <c r="F902" s="113"/>
      <c r="G902" s="131"/>
      <c r="H902" s="186" t="s">
        <v>707</v>
      </c>
      <c r="I902" s="125" t="s">
        <v>326</v>
      </c>
      <c r="J902" s="125" t="s">
        <v>331</v>
      </c>
      <c r="K902" s="125" t="s">
        <v>530</v>
      </c>
      <c r="L902" s="138" t="s">
        <v>507</v>
      </c>
      <c r="M902" s="138" t="s">
        <v>508</v>
      </c>
    </row>
    <row r="903" spans="1:13" s="114" customFormat="1" ht="25.5">
      <c r="A903" s="136">
        <v>901</v>
      </c>
      <c r="B903" s="129" t="s">
        <v>3064</v>
      </c>
      <c r="C903" s="129" t="s">
        <v>3062</v>
      </c>
      <c r="D903" s="137" t="s">
        <v>3029</v>
      </c>
      <c r="E903" s="84" t="s">
        <v>3065</v>
      </c>
      <c r="F903" s="113"/>
      <c r="G903" s="131"/>
      <c r="H903" s="186" t="s">
        <v>567</v>
      </c>
      <c r="I903" s="125" t="s">
        <v>326</v>
      </c>
      <c r="J903" s="125" t="s">
        <v>341</v>
      </c>
      <c r="K903" s="125" t="s">
        <v>570</v>
      </c>
      <c r="L903" s="138" t="s">
        <v>507</v>
      </c>
      <c r="M903" s="138" t="s">
        <v>508</v>
      </c>
    </row>
    <row r="904" spans="1:13" s="114" customFormat="1" ht="51">
      <c r="A904" s="136">
        <v>902</v>
      </c>
      <c r="B904" s="129" t="s">
        <v>3066</v>
      </c>
      <c r="C904" s="129" t="s">
        <v>3062</v>
      </c>
      <c r="D904" s="137" t="s">
        <v>3029</v>
      </c>
      <c r="E904" s="84" t="s">
        <v>3067</v>
      </c>
      <c r="F904" s="113"/>
      <c r="G904" s="131"/>
      <c r="H904" s="186" t="s">
        <v>667</v>
      </c>
      <c r="I904" s="125" t="s">
        <v>326</v>
      </c>
      <c r="J904" s="125" t="s">
        <v>331</v>
      </c>
      <c r="K904" s="125" t="s">
        <v>530</v>
      </c>
      <c r="L904" s="138" t="s">
        <v>507</v>
      </c>
      <c r="M904" s="138" t="s">
        <v>508</v>
      </c>
    </row>
    <row r="905" spans="1:13" s="114" customFormat="1" ht="25.5">
      <c r="A905" s="136">
        <v>903</v>
      </c>
      <c r="B905" s="129" t="s">
        <v>3068</v>
      </c>
      <c r="C905" s="129" t="s">
        <v>3062</v>
      </c>
      <c r="D905" s="137" t="s">
        <v>3029</v>
      </c>
      <c r="E905" s="84" t="s">
        <v>3069</v>
      </c>
      <c r="F905" s="118"/>
      <c r="G905" s="131"/>
      <c r="H905" s="186" t="s">
        <v>567</v>
      </c>
      <c r="I905" s="125" t="s">
        <v>326</v>
      </c>
      <c r="J905" s="125" t="s">
        <v>341</v>
      </c>
      <c r="K905" s="125" t="s">
        <v>570</v>
      </c>
      <c r="L905" s="138" t="s">
        <v>507</v>
      </c>
      <c r="M905" s="138" t="s">
        <v>508</v>
      </c>
    </row>
    <row r="906" spans="1:13" s="114" customFormat="1" ht="25.5">
      <c r="A906" s="136">
        <v>904</v>
      </c>
      <c r="B906" s="129" t="s">
        <v>3070</v>
      </c>
      <c r="C906" s="129" t="s">
        <v>3062</v>
      </c>
      <c r="D906" s="137" t="s">
        <v>3029</v>
      </c>
      <c r="E906" s="84" t="s">
        <v>3071</v>
      </c>
      <c r="F906" s="118"/>
      <c r="G906" s="131"/>
      <c r="H906" s="186" t="s">
        <v>1964</v>
      </c>
      <c r="I906" s="125" t="s">
        <v>326</v>
      </c>
      <c r="J906" s="125" t="s">
        <v>341</v>
      </c>
      <c r="K906" s="125" t="s">
        <v>570</v>
      </c>
      <c r="L906" s="138" t="s">
        <v>507</v>
      </c>
      <c r="M906" s="138" t="s">
        <v>508</v>
      </c>
    </row>
    <row r="907" spans="1:13" s="114" customFormat="1" ht="25.5">
      <c r="A907" s="136">
        <v>905</v>
      </c>
      <c r="B907" s="129" t="s">
        <v>3072</v>
      </c>
      <c r="C907" s="129" t="s">
        <v>3062</v>
      </c>
      <c r="D907" s="137" t="s">
        <v>3029</v>
      </c>
      <c r="E907" s="84" t="s">
        <v>3073</v>
      </c>
      <c r="F907" s="113"/>
      <c r="G907" s="131"/>
      <c r="H907" s="186" t="s">
        <v>1568</v>
      </c>
      <c r="I907" s="125" t="s">
        <v>326</v>
      </c>
      <c r="J907" s="125" t="s">
        <v>346</v>
      </c>
      <c r="K907" s="125" t="s">
        <v>761</v>
      </c>
      <c r="L907" s="138" t="s">
        <v>507</v>
      </c>
      <c r="M907" s="138" t="s">
        <v>508</v>
      </c>
    </row>
    <row r="908" spans="1:13" s="114" customFormat="1" ht="25.5">
      <c r="A908" s="136">
        <v>906</v>
      </c>
      <c r="B908" s="129" t="s">
        <v>3074</v>
      </c>
      <c r="C908" s="129" t="s">
        <v>3062</v>
      </c>
      <c r="D908" s="137" t="s">
        <v>3029</v>
      </c>
      <c r="E908" s="84" t="s">
        <v>3075</v>
      </c>
      <c r="F908" s="118"/>
      <c r="G908" s="131"/>
      <c r="H908" s="186" t="s">
        <v>523</v>
      </c>
      <c r="I908" s="125" t="s">
        <v>326</v>
      </c>
      <c r="J908" s="125" t="s">
        <v>352</v>
      </c>
      <c r="K908" s="125" t="s">
        <v>526</v>
      </c>
      <c r="L908" s="138" t="s">
        <v>507</v>
      </c>
      <c r="M908" s="138" t="s">
        <v>508</v>
      </c>
    </row>
    <row r="909" spans="1:13" s="114" customFormat="1" ht="25.5">
      <c r="A909" s="136">
        <v>907</v>
      </c>
      <c r="B909" s="129" t="s">
        <v>3076</v>
      </c>
      <c r="C909" s="129" t="s">
        <v>3062</v>
      </c>
      <c r="D909" s="137" t="s">
        <v>3029</v>
      </c>
      <c r="E909" s="84" t="s">
        <v>3077</v>
      </c>
      <c r="F909" s="118"/>
      <c r="G909" s="131"/>
      <c r="H909" s="186" t="s">
        <v>1089</v>
      </c>
      <c r="I909" s="125" t="s">
        <v>327</v>
      </c>
      <c r="J909" s="125" t="s">
        <v>342</v>
      </c>
      <c r="K909" s="125" t="s">
        <v>1090</v>
      </c>
      <c r="L909" s="138" t="s">
        <v>507</v>
      </c>
      <c r="M909" s="138" t="s">
        <v>508</v>
      </c>
    </row>
    <row r="910" spans="1:13" s="114" customFormat="1" ht="51">
      <c r="A910" s="136">
        <v>908</v>
      </c>
      <c r="B910" s="129" t="s">
        <v>3078</v>
      </c>
      <c r="C910" s="129" t="s">
        <v>3062</v>
      </c>
      <c r="D910" s="137" t="s">
        <v>3029</v>
      </c>
      <c r="E910" s="84" t="s">
        <v>3079</v>
      </c>
      <c r="F910" s="113"/>
      <c r="G910" s="131"/>
      <c r="H910" s="186" t="s">
        <v>667</v>
      </c>
      <c r="I910" s="125" t="s">
        <v>326</v>
      </c>
      <c r="J910" s="125" t="s">
        <v>331</v>
      </c>
      <c r="K910" s="125" t="s">
        <v>530</v>
      </c>
      <c r="L910" s="138" t="s">
        <v>507</v>
      </c>
      <c r="M910" s="138" t="s">
        <v>508</v>
      </c>
    </row>
    <row r="911" spans="1:13" s="114" customFormat="1" ht="25.5">
      <c r="A911" s="136">
        <v>909</v>
      </c>
      <c r="B911" s="129" t="s">
        <v>3080</v>
      </c>
      <c r="C911" s="129" t="s">
        <v>3062</v>
      </c>
      <c r="D911" s="137" t="s">
        <v>3029</v>
      </c>
      <c r="E911" s="84" t="s">
        <v>3081</v>
      </c>
      <c r="F911" s="118"/>
      <c r="G911" s="131"/>
      <c r="H911" s="186" t="s">
        <v>1218</v>
      </c>
      <c r="I911" s="125" t="s">
        <v>326</v>
      </c>
      <c r="J911" s="125" t="s">
        <v>331</v>
      </c>
      <c r="K911" s="125" t="s">
        <v>1178</v>
      </c>
      <c r="L911" s="138" t="s">
        <v>507</v>
      </c>
      <c r="M911" s="138" t="s">
        <v>508</v>
      </c>
    </row>
    <row r="912" spans="1:13" s="114" customFormat="1" ht="25.5">
      <c r="A912" s="136">
        <v>910</v>
      </c>
      <c r="B912" s="129" t="s">
        <v>3082</v>
      </c>
      <c r="C912" s="129" t="s">
        <v>3062</v>
      </c>
      <c r="D912" s="137" t="s">
        <v>3029</v>
      </c>
      <c r="E912" s="84" t="s">
        <v>3083</v>
      </c>
      <c r="F912" s="118"/>
      <c r="G912" s="131"/>
      <c r="H912" s="186" t="s">
        <v>3038</v>
      </c>
      <c r="I912" s="125" t="s">
        <v>326</v>
      </c>
      <c r="J912" s="125" t="s">
        <v>331</v>
      </c>
      <c r="K912" s="125" t="s">
        <v>1178</v>
      </c>
      <c r="L912" s="138" t="s">
        <v>507</v>
      </c>
      <c r="M912" s="138" t="s">
        <v>508</v>
      </c>
    </row>
    <row r="913" spans="1:13" s="114" customFormat="1" ht="51">
      <c r="A913" s="136">
        <v>911</v>
      </c>
      <c r="B913" s="129" t="s">
        <v>3084</v>
      </c>
      <c r="C913" s="129" t="s">
        <v>3062</v>
      </c>
      <c r="D913" s="137" t="s">
        <v>3029</v>
      </c>
      <c r="E913" s="84" t="s">
        <v>3085</v>
      </c>
      <c r="F913" s="113"/>
      <c r="G913" s="131"/>
      <c r="H913" s="186" t="s">
        <v>690</v>
      </c>
      <c r="I913" s="125" t="s">
        <v>326</v>
      </c>
      <c r="J913" s="125" t="s">
        <v>331</v>
      </c>
      <c r="K913" s="125" t="s">
        <v>530</v>
      </c>
      <c r="L913" s="138" t="s">
        <v>507</v>
      </c>
      <c r="M913" s="138" t="s">
        <v>508</v>
      </c>
    </row>
    <row r="914" spans="1:13" s="114" customFormat="1" ht="25.5">
      <c r="A914" s="136">
        <v>912</v>
      </c>
      <c r="B914" s="129" t="s">
        <v>3086</v>
      </c>
      <c r="C914" s="129" t="s">
        <v>3062</v>
      </c>
      <c r="D914" s="137" t="s">
        <v>3029</v>
      </c>
      <c r="E914" s="84" t="s">
        <v>3087</v>
      </c>
      <c r="F914" s="118"/>
      <c r="G914" s="131"/>
      <c r="H914" s="186" t="s">
        <v>1568</v>
      </c>
      <c r="I914" s="125" t="s">
        <v>326</v>
      </c>
      <c r="J914" s="125" t="s">
        <v>346</v>
      </c>
      <c r="K914" s="125" t="s">
        <v>761</v>
      </c>
      <c r="L914" s="138" t="s">
        <v>507</v>
      </c>
      <c r="M914" s="138" t="s">
        <v>508</v>
      </c>
    </row>
    <row r="915" spans="1:13" s="114" customFormat="1" ht="38.25">
      <c r="A915" s="136">
        <v>913</v>
      </c>
      <c r="B915" s="129" t="s">
        <v>3088</v>
      </c>
      <c r="C915" s="129" t="s">
        <v>3089</v>
      </c>
      <c r="D915" s="137" t="s">
        <v>3029</v>
      </c>
      <c r="E915" s="84" t="s">
        <v>3090</v>
      </c>
      <c r="F915" s="84"/>
      <c r="G915" s="131"/>
      <c r="H915" s="186" t="s">
        <v>501</v>
      </c>
      <c r="I915" s="125" t="s">
        <v>326</v>
      </c>
      <c r="J915" s="125" t="s">
        <v>331</v>
      </c>
      <c r="K915" s="125" t="s">
        <v>506</v>
      </c>
      <c r="L915" s="138" t="s">
        <v>507</v>
      </c>
      <c r="M915" s="138" t="s">
        <v>508</v>
      </c>
    </row>
    <row r="916" spans="1:13" s="114" customFormat="1" ht="25.5">
      <c r="A916" s="136">
        <v>914</v>
      </c>
      <c r="B916" s="129" t="s">
        <v>3091</v>
      </c>
      <c r="C916" s="129" t="s">
        <v>3089</v>
      </c>
      <c r="D916" s="137" t="s">
        <v>3029</v>
      </c>
      <c r="E916" s="84" t="s">
        <v>3092</v>
      </c>
      <c r="F916" s="113"/>
      <c r="G916" s="131"/>
      <c r="H916" s="186" t="s">
        <v>1237</v>
      </c>
      <c r="I916" s="125" t="s">
        <v>326</v>
      </c>
      <c r="J916" s="125" t="s">
        <v>331</v>
      </c>
      <c r="K916" s="125" t="s">
        <v>1178</v>
      </c>
      <c r="L916" s="138" t="s">
        <v>507</v>
      </c>
      <c r="M916" s="138" t="s">
        <v>508</v>
      </c>
    </row>
    <row r="917" spans="1:13" s="114" customFormat="1" ht="25.5">
      <c r="A917" s="136">
        <v>915</v>
      </c>
      <c r="B917" s="129" t="s">
        <v>3093</v>
      </c>
      <c r="C917" s="129" t="s">
        <v>3089</v>
      </c>
      <c r="D917" s="137" t="s">
        <v>3029</v>
      </c>
      <c r="E917" s="84" t="s">
        <v>3094</v>
      </c>
      <c r="F917" s="118"/>
      <c r="G917" s="131"/>
      <c r="H917" s="186" t="s">
        <v>1221</v>
      </c>
      <c r="I917" s="125" t="s">
        <v>326</v>
      </c>
      <c r="J917" s="125" t="s">
        <v>331</v>
      </c>
      <c r="K917" s="125" t="s">
        <v>1178</v>
      </c>
      <c r="L917" s="138" t="s">
        <v>507</v>
      </c>
      <c r="M917" s="138" t="s">
        <v>508</v>
      </c>
    </row>
    <row r="918" spans="1:13" s="114" customFormat="1" ht="25.5">
      <c r="A918" s="136">
        <v>916</v>
      </c>
      <c r="B918" s="129" t="s">
        <v>3095</v>
      </c>
      <c r="C918" s="129" t="s">
        <v>3089</v>
      </c>
      <c r="D918" s="137" t="s">
        <v>3029</v>
      </c>
      <c r="E918" s="84" t="s">
        <v>3096</v>
      </c>
      <c r="F918" s="118"/>
      <c r="G918" s="131"/>
      <c r="H918" s="186" t="s">
        <v>1230</v>
      </c>
      <c r="I918" s="125" t="s">
        <v>326</v>
      </c>
      <c r="J918" s="125" t="s">
        <v>331</v>
      </c>
      <c r="K918" s="125" t="s">
        <v>1178</v>
      </c>
      <c r="L918" s="138" t="s">
        <v>507</v>
      </c>
      <c r="M918" s="138" t="s">
        <v>508</v>
      </c>
    </row>
    <row r="919" spans="1:13" s="114" customFormat="1" ht="25.5">
      <c r="A919" s="136">
        <v>917</v>
      </c>
      <c r="B919" s="129" t="s">
        <v>3097</v>
      </c>
      <c r="C919" s="129" t="s">
        <v>3089</v>
      </c>
      <c r="D919" s="137" t="s">
        <v>3029</v>
      </c>
      <c r="E919" s="84" t="s">
        <v>3098</v>
      </c>
      <c r="F919" s="118"/>
      <c r="G919" s="131"/>
      <c r="H919" s="186" t="s">
        <v>1237</v>
      </c>
      <c r="I919" s="125" t="s">
        <v>326</v>
      </c>
      <c r="J919" s="125" t="s">
        <v>331</v>
      </c>
      <c r="K919" s="125" t="s">
        <v>1178</v>
      </c>
      <c r="L919" s="138" t="s">
        <v>507</v>
      </c>
      <c r="M919" s="138" t="s">
        <v>508</v>
      </c>
    </row>
    <row r="920" spans="1:13" s="114" customFormat="1" ht="25.5">
      <c r="A920" s="136">
        <v>918</v>
      </c>
      <c r="B920" s="129" t="s">
        <v>3099</v>
      </c>
      <c r="C920" s="129" t="s">
        <v>3089</v>
      </c>
      <c r="D920" s="137" t="s">
        <v>3029</v>
      </c>
      <c r="E920" s="84" t="s">
        <v>3100</v>
      </c>
      <c r="F920" s="113"/>
      <c r="G920" s="131"/>
      <c r="H920" s="186" t="s">
        <v>1221</v>
      </c>
      <c r="I920" s="125" t="s">
        <v>326</v>
      </c>
      <c r="J920" s="125" t="s">
        <v>331</v>
      </c>
      <c r="K920" s="125" t="s">
        <v>1178</v>
      </c>
      <c r="L920" s="138" t="s">
        <v>507</v>
      </c>
      <c r="M920" s="138" t="s">
        <v>508</v>
      </c>
    </row>
    <row r="921" spans="1:13" s="114" customFormat="1" ht="25.5">
      <c r="A921" s="136">
        <v>919</v>
      </c>
      <c r="B921" s="129" t="s">
        <v>3101</v>
      </c>
      <c r="C921" s="129" t="s">
        <v>3089</v>
      </c>
      <c r="D921" s="137" t="s">
        <v>3029</v>
      </c>
      <c r="E921" s="84" t="s">
        <v>3102</v>
      </c>
      <c r="F921" s="118"/>
      <c r="G921" s="131"/>
      <c r="H921" s="186" t="s">
        <v>1218</v>
      </c>
      <c r="I921" s="125" t="s">
        <v>326</v>
      </c>
      <c r="J921" s="125" t="s">
        <v>331</v>
      </c>
      <c r="K921" s="125" t="s">
        <v>1178</v>
      </c>
      <c r="L921" s="138" t="s">
        <v>507</v>
      </c>
      <c r="M921" s="138" t="s">
        <v>508</v>
      </c>
    </row>
    <row r="922" spans="1:13" s="114" customFormat="1" ht="12.75">
      <c r="A922" s="136">
        <v>920</v>
      </c>
      <c r="B922" s="129" t="s">
        <v>3103</v>
      </c>
      <c r="C922" s="129" t="s">
        <v>3089</v>
      </c>
      <c r="D922" s="137" t="s">
        <v>3029</v>
      </c>
      <c r="E922" s="84" t="s">
        <v>3104</v>
      </c>
      <c r="F922" s="118"/>
      <c r="G922" s="131"/>
      <c r="H922" s="186" t="s">
        <v>1735</v>
      </c>
      <c r="I922" s="125" t="s">
        <v>326</v>
      </c>
      <c r="J922" s="125" t="s">
        <v>341</v>
      </c>
      <c r="K922" s="125" t="s">
        <v>1736</v>
      </c>
      <c r="L922" s="138" t="s">
        <v>316</v>
      </c>
      <c r="M922" s="138" t="s">
        <v>508</v>
      </c>
    </row>
    <row r="923" spans="1:13" s="114" customFormat="1" ht="25.5">
      <c r="A923" s="136">
        <v>921</v>
      </c>
      <c r="B923" s="129" t="s">
        <v>3105</v>
      </c>
      <c r="C923" s="129" t="s">
        <v>3089</v>
      </c>
      <c r="D923" s="137" t="s">
        <v>3029</v>
      </c>
      <c r="E923" s="84" t="s">
        <v>3106</v>
      </c>
      <c r="F923" s="118"/>
      <c r="G923" s="131"/>
      <c r="H923" s="186" t="s">
        <v>3038</v>
      </c>
      <c r="I923" s="125" t="s">
        <v>326</v>
      </c>
      <c r="J923" s="125" t="s">
        <v>331</v>
      </c>
      <c r="K923" s="125" t="s">
        <v>1178</v>
      </c>
      <c r="L923" s="138" t="s">
        <v>507</v>
      </c>
      <c r="M923" s="138" t="s">
        <v>508</v>
      </c>
    </row>
    <row r="924" spans="1:13" s="114" customFormat="1" ht="38.25">
      <c r="A924" s="136">
        <v>922</v>
      </c>
      <c r="B924" s="129" t="s">
        <v>3107</v>
      </c>
      <c r="C924" s="129" t="s">
        <v>3108</v>
      </c>
      <c r="D924" s="137" t="s">
        <v>3017</v>
      </c>
      <c r="E924" s="84" t="s">
        <v>3109</v>
      </c>
      <c r="F924" s="113"/>
      <c r="G924" s="131"/>
      <c r="H924" s="186" t="s">
        <v>1086</v>
      </c>
      <c r="I924" s="125" t="s">
        <v>326</v>
      </c>
      <c r="J924" s="125" t="s">
        <v>331</v>
      </c>
      <c r="K924" s="125" t="s">
        <v>512</v>
      </c>
      <c r="L924" s="138" t="s">
        <v>507</v>
      </c>
      <c r="M924" s="138" t="s">
        <v>508</v>
      </c>
    </row>
    <row r="925" spans="1:13" s="114" customFormat="1" ht="38.25">
      <c r="A925" s="136">
        <v>923</v>
      </c>
      <c r="B925" s="129" t="s">
        <v>1086</v>
      </c>
      <c r="C925" s="129" t="s">
        <v>3108</v>
      </c>
      <c r="D925" s="137" t="s">
        <v>3029</v>
      </c>
      <c r="E925" s="84" t="s">
        <v>3110</v>
      </c>
      <c r="F925" s="118"/>
      <c r="G925" s="131"/>
      <c r="H925" s="186" t="s">
        <v>3111</v>
      </c>
      <c r="I925" s="125" t="s">
        <v>326</v>
      </c>
      <c r="J925" s="125" t="s">
        <v>331</v>
      </c>
      <c r="K925" s="125" t="s">
        <v>512</v>
      </c>
      <c r="L925" s="138" t="s">
        <v>507</v>
      </c>
      <c r="M925" s="138" t="s">
        <v>508</v>
      </c>
    </row>
    <row r="926" spans="1:13" s="114" customFormat="1" ht="38.25">
      <c r="A926" s="136">
        <v>924</v>
      </c>
      <c r="B926" s="129" t="s">
        <v>3112</v>
      </c>
      <c r="C926" s="129" t="s">
        <v>3108</v>
      </c>
      <c r="D926" s="137" t="s">
        <v>3029</v>
      </c>
      <c r="E926" s="84" t="s">
        <v>3113</v>
      </c>
      <c r="F926" s="113"/>
      <c r="G926" s="131"/>
      <c r="H926" s="186" t="s">
        <v>1086</v>
      </c>
      <c r="I926" s="125" t="s">
        <v>326</v>
      </c>
      <c r="J926" s="125" t="s">
        <v>331</v>
      </c>
      <c r="K926" s="125" t="s">
        <v>512</v>
      </c>
      <c r="L926" s="138" t="s">
        <v>507</v>
      </c>
      <c r="M926" s="138" t="s">
        <v>508</v>
      </c>
    </row>
    <row r="927" spans="1:13" s="114" customFormat="1" ht="38.25">
      <c r="A927" s="136">
        <v>925</v>
      </c>
      <c r="B927" s="129" t="s">
        <v>3114</v>
      </c>
      <c r="C927" s="129" t="s">
        <v>3108</v>
      </c>
      <c r="D927" s="137" t="s">
        <v>3029</v>
      </c>
      <c r="E927" s="84" t="s">
        <v>3115</v>
      </c>
      <c r="F927" s="118"/>
      <c r="G927" s="131"/>
      <c r="H927" s="186" t="s">
        <v>1086</v>
      </c>
      <c r="I927" s="125" t="s">
        <v>326</v>
      </c>
      <c r="J927" s="125" t="s">
        <v>331</v>
      </c>
      <c r="K927" s="125" t="s">
        <v>512</v>
      </c>
      <c r="L927" s="138" t="s">
        <v>507</v>
      </c>
      <c r="M927" s="138" t="s">
        <v>508</v>
      </c>
    </row>
    <row r="928" spans="1:13" s="114" customFormat="1" ht="38.25">
      <c r="A928" s="136">
        <v>926</v>
      </c>
      <c r="B928" s="129" t="s">
        <v>3116</v>
      </c>
      <c r="C928" s="129" t="s">
        <v>3108</v>
      </c>
      <c r="D928" s="137" t="s">
        <v>3029</v>
      </c>
      <c r="E928" s="84" t="s">
        <v>3117</v>
      </c>
      <c r="F928" s="118"/>
      <c r="G928" s="131"/>
      <c r="H928" s="186" t="s">
        <v>1086</v>
      </c>
      <c r="I928" s="125" t="s">
        <v>326</v>
      </c>
      <c r="J928" s="125" t="s">
        <v>331</v>
      </c>
      <c r="K928" s="125" t="s">
        <v>512</v>
      </c>
      <c r="L928" s="138" t="s">
        <v>507</v>
      </c>
      <c r="M928" s="138" t="s">
        <v>508</v>
      </c>
    </row>
    <row r="929" spans="1:13" s="114" customFormat="1" ht="38.25">
      <c r="A929" s="136">
        <v>927</v>
      </c>
      <c r="B929" s="129" t="s">
        <v>3118</v>
      </c>
      <c r="C929" s="129" t="s">
        <v>3108</v>
      </c>
      <c r="D929" s="137" t="s">
        <v>3029</v>
      </c>
      <c r="E929" s="84" t="s">
        <v>3119</v>
      </c>
      <c r="F929" s="113"/>
      <c r="G929" s="131"/>
      <c r="H929" s="186" t="s">
        <v>1086</v>
      </c>
      <c r="I929" s="125" t="s">
        <v>326</v>
      </c>
      <c r="J929" s="125" t="s">
        <v>331</v>
      </c>
      <c r="K929" s="125" t="s">
        <v>512</v>
      </c>
      <c r="L929" s="138" t="s">
        <v>507</v>
      </c>
      <c r="M929" s="138" t="s">
        <v>508</v>
      </c>
    </row>
    <row r="930" spans="1:13" s="114" customFormat="1" ht="25.5">
      <c r="A930" s="136">
        <v>928</v>
      </c>
      <c r="B930" s="129" t="s">
        <v>3120</v>
      </c>
      <c r="C930" s="129" t="s">
        <v>3108</v>
      </c>
      <c r="D930" s="137" t="s">
        <v>3029</v>
      </c>
      <c r="E930" s="84" t="s">
        <v>3121</v>
      </c>
      <c r="F930" s="118"/>
      <c r="G930" s="131"/>
      <c r="H930" s="186" t="s">
        <v>1007</v>
      </c>
      <c r="I930" s="125" t="s">
        <v>326</v>
      </c>
      <c r="J930" s="125" t="s">
        <v>352</v>
      </c>
      <c r="K930" s="125" t="s">
        <v>526</v>
      </c>
      <c r="L930" s="138" t="s">
        <v>507</v>
      </c>
      <c r="M930" s="138" t="s">
        <v>508</v>
      </c>
    </row>
    <row r="931" spans="1:13" s="114" customFormat="1" ht="25.5">
      <c r="A931" s="136">
        <v>929</v>
      </c>
      <c r="B931" s="129" t="s">
        <v>3122</v>
      </c>
      <c r="C931" s="129" t="s">
        <v>3108</v>
      </c>
      <c r="D931" s="137" t="s">
        <v>3029</v>
      </c>
      <c r="E931" s="84" t="s">
        <v>3123</v>
      </c>
      <c r="F931" s="113"/>
      <c r="G931" s="131"/>
      <c r="H931" s="186" t="s">
        <v>1051</v>
      </c>
      <c r="I931" s="125" t="s">
        <v>326</v>
      </c>
      <c r="J931" s="125" t="s">
        <v>352</v>
      </c>
      <c r="K931" s="125" t="s">
        <v>1044</v>
      </c>
      <c r="L931" s="138" t="s">
        <v>507</v>
      </c>
      <c r="M931" s="138" t="s">
        <v>508</v>
      </c>
    </row>
    <row r="932" spans="1:13" s="114" customFormat="1" ht="38.25">
      <c r="A932" s="136">
        <v>930</v>
      </c>
      <c r="B932" s="129" t="s">
        <v>3124</v>
      </c>
      <c r="C932" s="129" t="s">
        <v>3108</v>
      </c>
      <c r="D932" s="137" t="s">
        <v>3029</v>
      </c>
      <c r="E932" s="84" t="s">
        <v>3125</v>
      </c>
      <c r="F932" s="118"/>
      <c r="G932" s="131"/>
      <c r="H932" s="186" t="s">
        <v>1086</v>
      </c>
      <c r="I932" s="125" t="s">
        <v>326</v>
      </c>
      <c r="J932" s="125" t="s">
        <v>331</v>
      </c>
      <c r="K932" s="125" t="s">
        <v>512</v>
      </c>
      <c r="L932" s="138" t="s">
        <v>507</v>
      </c>
      <c r="M932" s="138" t="s">
        <v>508</v>
      </c>
    </row>
    <row r="933" spans="1:13" s="114" customFormat="1" ht="63.75">
      <c r="A933" s="136">
        <v>931</v>
      </c>
      <c r="B933" s="129" t="s">
        <v>3126</v>
      </c>
      <c r="C933" s="129" t="s">
        <v>3127</v>
      </c>
      <c r="D933" s="137" t="s">
        <v>3017</v>
      </c>
      <c r="E933" s="84" t="s">
        <v>3128</v>
      </c>
      <c r="F933" s="113"/>
      <c r="G933" s="131"/>
      <c r="H933" s="186" t="s">
        <v>1485</v>
      </c>
      <c r="I933" s="125" t="s">
        <v>326</v>
      </c>
      <c r="J933" s="125" t="s">
        <v>346</v>
      </c>
      <c r="K933" s="125" t="s">
        <v>998</v>
      </c>
      <c r="L933" s="138" t="s">
        <v>314</v>
      </c>
      <c r="M933" s="138" t="s">
        <v>508</v>
      </c>
    </row>
    <row r="934" spans="1:13" s="114" customFormat="1" ht="25.5">
      <c r="A934" s="136">
        <v>932</v>
      </c>
      <c r="B934" s="129" t="s">
        <v>3129</v>
      </c>
      <c r="C934" s="129" t="s">
        <v>3127</v>
      </c>
      <c r="D934" s="137" t="s">
        <v>3029</v>
      </c>
      <c r="E934" s="84" t="s">
        <v>3130</v>
      </c>
      <c r="F934" s="113"/>
      <c r="G934" s="131"/>
      <c r="H934" s="186" t="s">
        <v>1485</v>
      </c>
      <c r="I934" s="125" t="s">
        <v>326</v>
      </c>
      <c r="J934" s="125" t="s">
        <v>346</v>
      </c>
      <c r="K934" s="125" t="s">
        <v>998</v>
      </c>
      <c r="L934" s="138" t="s">
        <v>314</v>
      </c>
      <c r="M934" s="138" t="s">
        <v>508</v>
      </c>
    </row>
    <row r="935" spans="1:13" s="114" customFormat="1" ht="25.5">
      <c r="A935" s="136">
        <v>933</v>
      </c>
      <c r="B935" s="129" t="s">
        <v>1485</v>
      </c>
      <c r="C935" s="129" t="s">
        <v>3127</v>
      </c>
      <c r="D935" s="137" t="s">
        <v>3029</v>
      </c>
      <c r="E935" s="84" t="s">
        <v>3131</v>
      </c>
      <c r="F935" s="113"/>
      <c r="G935" s="131"/>
      <c r="H935" s="186" t="s">
        <v>3132</v>
      </c>
      <c r="I935" s="125" t="s">
        <v>326</v>
      </c>
      <c r="J935" s="125" t="s">
        <v>346</v>
      </c>
      <c r="K935" s="125" t="s">
        <v>998</v>
      </c>
      <c r="L935" s="138" t="s">
        <v>314</v>
      </c>
      <c r="M935" s="138" t="s">
        <v>508</v>
      </c>
    </row>
    <row r="936" spans="1:13" s="114" customFormat="1" ht="25.5">
      <c r="A936" s="136">
        <v>934</v>
      </c>
      <c r="B936" s="129" t="s">
        <v>3133</v>
      </c>
      <c r="C936" s="129" t="s">
        <v>3127</v>
      </c>
      <c r="D936" s="137" t="s">
        <v>3029</v>
      </c>
      <c r="E936" s="84" t="s">
        <v>3134</v>
      </c>
      <c r="F936" s="118"/>
      <c r="G936" s="131"/>
      <c r="H936" s="186" t="s">
        <v>1485</v>
      </c>
      <c r="I936" s="125" t="s">
        <v>326</v>
      </c>
      <c r="J936" s="125" t="s">
        <v>346</v>
      </c>
      <c r="K936" s="125" t="s">
        <v>998</v>
      </c>
      <c r="L936" s="138" t="s">
        <v>314</v>
      </c>
      <c r="M936" s="138" t="s">
        <v>508</v>
      </c>
    </row>
    <row r="937" spans="1:13" s="114" customFormat="1" ht="38.25">
      <c r="A937" s="136">
        <v>935</v>
      </c>
      <c r="B937" s="129" t="s">
        <v>3135</v>
      </c>
      <c r="C937" s="129" t="s">
        <v>3127</v>
      </c>
      <c r="D937" s="137" t="s">
        <v>3029</v>
      </c>
      <c r="E937" s="84" t="s">
        <v>3136</v>
      </c>
      <c r="F937" s="118"/>
      <c r="G937" s="131"/>
      <c r="H937" s="186" t="s">
        <v>1485</v>
      </c>
      <c r="I937" s="125" t="s">
        <v>326</v>
      </c>
      <c r="J937" s="125" t="s">
        <v>346</v>
      </c>
      <c r="K937" s="125" t="s">
        <v>998</v>
      </c>
      <c r="L937" s="138" t="s">
        <v>314</v>
      </c>
      <c r="M937" s="138" t="s">
        <v>508</v>
      </c>
    </row>
    <row r="938" spans="1:13" s="114" customFormat="1" ht="25.5">
      <c r="A938" s="136">
        <v>936</v>
      </c>
      <c r="B938" s="129" t="s">
        <v>3137</v>
      </c>
      <c r="C938" s="129" t="s">
        <v>3127</v>
      </c>
      <c r="D938" s="137" t="s">
        <v>3029</v>
      </c>
      <c r="E938" s="84" t="s">
        <v>3138</v>
      </c>
      <c r="F938" s="113"/>
      <c r="G938" s="131"/>
      <c r="H938" s="186" t="s">
        <v>1485</v>
      </c>
      <c r="I938" s="125" t="s">
        <v>326</v>
      </c>
      <c r="J938" s="125" t="s">
        <v>346</v>
      </c>
      <c r="K938" s="125" t="s">
        <v>998</v>
      </c>
      <c r="L938" s="138" t="s">
        <v>314</v>
      </c>
      <c r="M938" s="138" t="s">
        <v>508</v>
      </c>
    </row>
    <row r="939" spans="1:13" s="114" customFormat="1" ht="25.5">
      <c r="A939" s="136">
        <v>937</v>
      </c>
      <c r="B939" s="129" t="s">
        <v>3139</v>
      </c>
      <c r="C939" s="129" t="s">
        <v>3127</v>
      </c>
      <c r="D939" s="137" t="s">
        <v>3029</v>
      </c>
      <c r="E939" s="84" t="s">
        <v>3140</v>
      </c>
      <c r="F939" s="118"/>
      <c r="G939" s="131"/>
      <c r="H939" s="186" t="s">
        <v>1007</v>
      </c>
      <c r="I939" s="125" t="s">
        <v>326</v>
      </c>
      <c r="J939" s="125" t="s">
        <v>352</v>
      </c>
      <c r="K939" s="125" t="s">
        <v>526</v>
      </c>
      <c r="L939" s="138" t="s">
        <v>507</v>
      </c>
      <c r="M939" s="138" t="s">
        <v>508</v>
      </c>
    </row>
    <row r="940" spans="1:13" s="114" customFormat="1" ht="38.25">
      <c r="A940" s="136">
        <v>938</v>
      </c>
      <c r="B940" s="129" t="s">
        <v>3141</v>
      </c>
      <c r="C940" s="129" t="s">
        <v>3142</v>
      </c>
      <c r="D940" s="137" t="s">
        <v>3029</v>
      </c>
      <c r="E940" s="84" t="s">
        <v>3143</v>
      </c>
      <c r="F940" s="113"/>
      <c r="G940" s="131"/>
      <c r="H940" s="186" t="s">
        <v>1650</v>
      </c>
      <c r="I940" s="125" t="s">
        <v>326</v>
      </c>
      <c r="J940" s="125" t="s">
        <v>341</v>
      </c>
      <c r="K940" s="125" t="s">
        <v>580</v>
      </c>
      <c r="L940" s="138" t="s">
        <v>507</v>
      </c>
      <c r="M940" s="138" t="s">
        <v>508</v>
      </c>
    </row>
    <row r="941" spans="1:13" s="114" customFormat="1" ht="25.5">
      <c r="A941" s="136">
        <v>939</v>
      </c>
      <c r="B941" s="129" t="s">
        <v>3144</v>
      </c>
      <c r="C941" s="129" t="s">
        <v>3145</v>
      </c>
      <c r="D941" s="137" t="s">
        <v>3029</v>
      </c>
      <c r="E941" s="84" t="s">
        <v>3146</v>
      </c>
      <c r="F941" s="118"/>
      <c r="G941" s="131"/>
      <c r="H941" s="186" t="s">
        <v>1370</v>
      </c>
      <c r="I941" s="125" t="s">
        <v>326</v>
      </c>
      <c r="J941" s="125" t="s">
        <v>349</v>
      </c>
      <c r="K941" s="125" t="s">
        <v>1336</v>
      </c>
      <c r="L941" s="138" t="s">
        <v>507</v>
      </c>
      <c r="M941" s="138" t="s">
        <v>508</v>
      </c>
    </row>
    <row r="942" spans="1:13" s="114" customFormat="1" ht="38.25">
      <c r="A942" s="136">
        <v>940</v>
      </c>
      <c r="B942" s="129" t="s">
        <v>3147</v>
      </c>
      <c r="C942" s="129" t="s">
        <v>3145</v>
      </c>
      <c r="D942" s="137" t="s">
        <v>3029</v>
      </c>
      <c r="E942" s="84" t="s">
        <v>3148</v>
      </c>
      <c r="F942" s="118"/>
      <c r="G942" s="131"/>
      <c r="H942" s="186" t="s">
        <v>1331</v>
      </c>
      <c r="I942" s="125" t="s">
        <v>326</v>
      </c>
      <c r="J942" s="125" t="s">
        <v>349</v>
      </c>
      <c r="K942" s="125" t="s">
        <v>1336</v>
      </c>
      <c r="L942" s="138" t="s">
        <v>507</v>
      </c>
      <c r="M942" s="138" t="s">
        <v>508</v>
      </c>
    </row>
    <row r="943" spans="1:13" s="114" customFormat="1" ht="25.5">
      <c r="A943" s="136">
        <v>941</v>
      </c>
      <c r="B943" s="129" t="s">
        <v>3149</v>
      </c>
      <c r="C943" s="129" t="s">
        <v>3150</v>
      </c>
      <c r="D943" s="137" t="s">
        <v>3017</v>
      </c>
      <c r="E943" s="84" t="s">
        <v>3151</v>
      </c>
      <c r="F943" s="113"/>
      <c r="G943" s="131"/>
      <c r="H943" s="186" t="s">
        <v>1331</v>
      </c>
      <c r="I943" s="125" t="s">
        <v>326</v>
      </c>
      <c r="J943" s="125" t="s">
        <v>349</v>
      </c>
      <c r="K943" s="125" t="s">
        <v>1336</v>
      </c>
      <c r="L943" s="138" t="s">
        <v>507</v>
      </c>
      <c r="M943" s="138" t="s">
        <v>508</v>
      </c>
    </row>
    <row r="944" spans="1:13" s="114" customFormat="1" ht="51">
      <c r="A944" s="136">
        <v>942</v>
      </c>
      <c r="B944" s="129" t="s">
        <v>3152</v>
      </c>
      <c r="C944" s="129" t="s">
        <v>3153</v>
      </c>
      <c r="D944" s="137" t="s">
        <v>3029</v>
      </c>
      <c r="E944" s="84" t="s">
        <v>3154</v>
      </c>
      <c r="F944" s="113"/>
      <c r="G944" s="131"/>
      <c r="H944" s="186" t="s">
        <v>1525</v>
      </c>
      <c r="I944" s="125" t="s">
        <v>326</v>
      </c>
      <c r="J944" s="125" t="s">
        <v>341</v>
      </c>
      <c r="K944" s="125" t="s">
        <v>1526</v>
      </c>
      <c r="L944" s="138" t="s">
        <v>507</v>
      </c>
      <c r="M944" s="138" t="s">
        <v>508</v>
      </c>
    </row>
    <row r="945" spans="1:13" s="114" customFormat="1" ht="38.25">
      <c r="A945" s="136">
        <v>943</v>
      </c>
      <c r="B945" s="129" t="s">
        <v>3155</v>
      </c>
      <c r="C945" s="129" t="s">
        <v>3156</v>
      </c>
      <c r="D945" s="137" t="s">
        <v>3017</v>
      </c>
      <c r="E945" s="84" t="s">
        <v>3157</v>
      </c>
      <c r="F945" s="113"/>
      <c r="G945" s="131"/>
      <c r="H945" s="186" t="s">
        <v>1525</v>
      </c>
      <c r="I945" s="125" t="s">
        <v>326</v>
      </c>
      <c r="J945" s="125" t="s">
        <v>341</v>
      </c>
      <c r="K945" s="125" t="s">
        <v>1526</v>
      </c>
      <c r="L945" s="138" t="s">
        <v>507</v>
      </c>
      <c r="M945" s="138" t="s">
        <v>508</v>
      </c>
    </row>
    <row r="946" spans="1:13" s="114" customFormat="1" ht="25.5">
      <c r="A946" s="136">
        <v>944</v>
      </c>
      <c r="B946" s="129" t="s">
        <v>3158</v>
      </c>
      <c r="C946" s="129" t="s">
        <v>3156</v>
      </c>
      <c r="D946" s="137" t="s">
        <v>3029</v>
      </c>
      <c r="E946" s="84" t="s">
        <v>3159</v>
      </c>
      <c r="F946" s="84"/>
      <c r="G946" s="131"/>
      <c r="H946" s="186" t="s">
        <v>1525</v>
      </c>
      <c r="I946" s="125" t="s">
        <v>326</v>
      </c>
      <c r="J946" s="125" t="s">
        <v>341</v>
      </c>
      <c r="K946" s="125" t="s">
        <v>1526</v>
      </c>
      <c r="L946" s="138" t="s">
        <v>507</v>
      </c>
      <c r="M946" s="138" t="s">
        <v>508</v>
      </c>
    </row>
    <row r="947" spans="1:13" s="114" customFormat="1" ht="51">
      <c r="A947" s="136">
        <v>945</v>
      </c>
      <c r="B947" s="129" t="s">
        <v>3160</v>
      </c>
      <c r="C947" s="129" t="s">
        <v>3156</v>
      </c>
      <c r="D947" s="137" t="s">
        <v>3029</v>
      </c>
      <c r="E947" s="84" t="s">
        <v>3161</v>
      </c>
      <c r="F947" s="113"/>
      <c r="G947" s="131"/>
      <c r="H947" s="186" t="s">
        <v>1403</v>
      </c>
      <c r="I947" s="125" t="s">
        <v>326</v>
      </c>
      <c r="J947" s="125" t="s">
        <v>352</v>
      </c>
      <c r="K947" s="125" t="s">
        <v>781</v>
      </c>
      <c r="L947" s="138" t="s">
        <v>507</v>
      </c>
      <c r="M947" s="138" t="s">
        <v>508</v>
      </c>
    </row>
    <row r="948" spans="1:13" s="114" customFormat="1" ht="25.5">
      <c r="A948" s="136">
        <v>946</v>
      </c>
      <c r="B948" s="129" t="s">
        <v>3162</v>
      </c>
      <c r="C948" s="129" t="s">
        <v>3156</v>
      </c>
      <c r="D948" s="137" t="s">
        <v>3163</v>
      </c>
      <c r="E948" s="84" t="s">
        <v>3164</v>
      </c>
      <c r="F948" s="113"/>
      <c r="G948" s="131"/>
      <c r="H948" s="186" t="s">
        <v>1330</v>
      </c>
      <c r="I948" s="125" t="s">
        <v>326</v>
      </c>
      <c r="J948" s="125" t="s">
        <v>352</v>
      </c>
      <c r="K948" s="125" t="s">
        <v>781</v>
      </c>
      <c r="L948" s="138" t="s">
        <v>507</v>
      </c>
      <c r="M948" s="138" t="s">
        <v>508</v>
      </c>
    </row>
    <row r="949" spans="1:13" s="114" customFormat="1" ht="25.5">
      <c r="A949" s="136">
        <v>947</v>
      </c>
      <c r="B949" s="129" t="s">
        <v>3165</v>
      </c>
      <c r="C949" s="129" t="s">
        <v>3156</v>
      </c>
      <c r="D949" s="137" t="s">
        <v>3163</v>
      </c>
      <c r="E949" s="84" t="s">
        <v>3166</v>
      </c>
      <c r="F949" s="113"/>
      <c r="G949" s="131"/>
      <c r="H949" s="186" t="s">
        <v>1330</v>
      </c>
      <c r="I949" s="125" t="s">
        <v>326</v>
      </c>
      <c r="J949" s="125" t="s">
        <v>352</v>
      </c>
      <c r="K949" s="125" t="s">
        <v>781</v>
      </c>
      <c r="L949" s="138" t="s">
        <v>507</v>
      </c>
      <c r="M949" s="138" t="s">
        <v>508</v>
      </c>
    </row>
    <row r="950" spans="1:13" s="114" customFormat="1" ht="25.5">
      <c r="A950" s="136">
        <v>948</v>
      </c>
      <c r="B950" s="129" t="s">
        <v>3167</v>
      </c>
      <c r="C950" s="129" t="s">
        <v>3156</v>
      </c>
      <c r="D950" s="137" t="s">
        <v>3163</v>
      </c>
      <c r="E950" s="84" t="s">
        <v>3168</v>
      </c>
      <c r="F950" s="118"/>
      <c r="G950" s="131"/>
      <c r="H950" s="186" t="s">
        <v>1330</v>
      </c>
      <c r="I950" s="125" t="s">
        <v>326</v>
      </c>
      <c r="J950" s="125" t="s">
        <v>352</v>
      </c>
      <c r="K950" s="125" t="s">
        <v>781</v>
      </c>
      <c r="L950" s="138" t="s">
        <v>507</v>
      </c>
      <c r="M950" s="138" t="s">
        <v>508</v>
      </c>
    </row>
    <row r="951" spans="1:13" s="114" customFormat="1" ht="51">
      <c r="A951" s="136">
        <v>949</v>
      </c>
      <c r="B951" s="129" t="s">
        <v>3169</v>
      </c>
      <c r="C951" s="129" t="s">
        <v>3170</v>
      </c>
      <c r="D951" s="137" t="s">
        <v>3029</v>
      </c>
      <c r="E951" s="84" t="s">
        <v>3171</v>
      </c>
      <c r="F951" s="84"/>
      <c r="G951" s="131"/>
      <c r="H951" s="186" t="s">
        <v>690</v>
      </c>
      <c r="I951" s="125" t="s">
        <v>326</v>
      </c>
      <c r="J951" s="125" t="s">
        <v>331</v>
      </c>
      <c r="K951" s="125" t="s">
        <v>530</v>
      </c>
      <c r="L951" s="138" t="s">
        <v>507</v>
      </c>
      <c r="M951" s="138" t="s">
        <v>508</v>
      </c>
    </row>
    <row r="952" spans="1:13" s="114" customFormat="1" ht="51">
      <c r="A952" s="136">
        <v>950</v>
      </c>
      <c r="B952" s="129" t="s">
        <v>3172</v>
      </c>
      <c r="C952" s="129" t="s">
        <v>3170</v>
      </c>
      <c r="D952" s="137" t="s">
        <v>3029</v>
      </c>
      <c r="E952" s="84" t="s">
        <v>3173</v>
      </c>
      <c r="F952" s="113"/>
      <c r="G952" s="131"/>
      <c r="H952" s="186" t="s">
        <v>527</v>
      </c>
      <c r="I952" s="125" t="s">
        <v>326</v>
      </c>
      <c r="J952" s="125" t="s">
        <v>331</v>
      </c>
      <c r="K952" s="125" t="s">
        <v>530</v>
      </c>
      <c r="L952" s="138" t="s">
        <v>507</v>
      </c>
      <c r="M952" s="138" t="s">
        <v>508</v>
      </c>
    </row>
    <row r="953" spans="1:13" s="114" customFormat="1" ht="25.5">
      <c r="A953" s="136">
        <v>951</v>
      </c>
      <c r="B953" s="129" t="s">
        <v>3174</v>
      </c>
      <c r="C953" s="129" t="s">
        <v>3170</v>
      </c>
      <c r="D953" s="137" t="s">
        <v>3029</v>
      </c>
      <c r="E953" s="84" t="s">
        <v>3175</v>
      </c>
      <c r="F953" s="118"/>
      <c r="G953" s="131"/>
      <c r="H953" s="186" t="s">
        <v>1218</v>
      </c>
      <c r="I953" s="125" t="s">
        <v>326</v>
      </c>
      <c r="J953" s="125" t="s">
        <v>331</v>
      </c>
      <c r="K953" s="125" t="s">
        <v>1178</v>
      </c>
      <c r="L953" s="138" t="s">
        <v>507</v>
      </c>
      <c r="M953" s="138" t="s">
        <v>508</v>
      </c>
    </row>
    <row r="954" spans="1:13" s="114" customFormat="1" ht="51">
      <c r="A954" s="136">
        <v>952</v>
      </c>
      <c r="B954" s="129" t="s">
        <v>3176</v>
      </c>
      <c r="C954" s="129" t="s">
        <v>3177</v>
      </c>
      <c r="D954" s="137" t="s">
        <v>3029</v>
      </c>
      <c r="E954" s="84" t="s">
        <v>3178</v>
      </c>
      <c r="F954" s="113"/>
      <c r="G954" s="131"/>
      <c r="H954" s="186" t="s">
        <v>1218</v>
      </c>
      <c r="I954" s="125" t="s">
        <v>326</v>
      </c>
      <c r="J954" s="125" t="s">
        <v>331</v>
      </c>
      <c r="K954" s="125" t="s">
        <v>1178</v>
      </c>
      <c r="L954" s="138" t="s">
        <v>507</v>
      </c>
      <c r="M954" s="138" t="s">
        <v>508</v>
      </c>
    </row>
    <row r="955" spans="1:13" s="114" customFormat="1" ht="63.75">
      <c r="A955" s="136">
        <v>953</v>
      </c>
      <c r="B955" s="129" t="s">
        <v>3179</v>
      </c>
      <c r="C955" s="129" t="s">
        <v>3180</v>
      </c>
      <c r="D955" s="137" t="s">
        <v>3029</v>
      </c>
      <c r="E955" s="84" t="s">
        <v>3181</v>
      </c>
      <c r="F955" s="113"/>
      <c r="G955" s="131"/>
      <c r="H955" s="186" t="s">
        <v>1575</v>
      </c>
      <c r="I955" s="125" t="s">
        <v>326</v>
      </c>
      <c r="J955" s="125" t="s">
        <v>341</v>
      </c>
      <c r="K955" s="125" t="s">
        <v>1576</v>
      </c>
      <c r="L955" s="138" t="s">
        <v>314</v>
      </c>
      <c r="M955" s="138" t="s">
        <v>508</v>
      </c>
    </row>
    <row r="956" spans="1:13" s="114" customFormat="1" ht="25.5">
      <c r="A956" s="136">
        <v>954</v>
      </c>
      <c r="B956" s="129" t="s">
        <v>3182</v>
      </c>
      <c r="C956" s="129" t="s">
        <v>3183</v>
      </c>
      <c r="D956" s="137" t="s">
        <v>3029</v>
      </c>
      <c r="E956" s="84" t="s">
        <v>3184</v>
      </c>
      <c r="F956" s="113"/>
      <c r="G956" s="131"/>
      <c r="H956" s="186" t="s">
        <v>2299</v>
      </c>
      <c r="I956" s="125" t="s">
        <v>326</v>
      </c>
      <c r="J956" s="125" t="s">
        <v>341</v>
      </c>
      <c r="K956" s="125" t="s">
        <v>2303</v>
      </c>
      <c r="L956" s="138" t="s">
        <v>314</v>
      </c>
      <c r="M956" s="138" t="s">
        <v>508</v>
      </c>
    </row>
    <row r="957" spans="1:13" s="114" customFormat="1" ht="25.5">
      <c r="A957" s="136">
        <v>955</v>
      </c>
      <c r="B957" s="129" t="s">
        <v>3185</v>
      </c>
      <c r="C957" s="129" t="s">
        <v>3183</v>
      </c>
      <c r="D957" s="137" t="s">
        <v>3029</v>
      </c>
      <c r="E957" s="84" t="s">
        <v>3186</v>
      </c>
      <c r="F957" s="113"/>
      <c r="G957" s="131"/>
      <c r="H957" s="186" t="s">
        <v>2299</v>
      </c>
      <c r="I957" s="125" t="s">
        <v>326</v>
      </c>
      <c r="J957" s="125" t="s">
        <v>341</v>
      </c>
      <c r="K957" s="125" t="s">
        <v>2303</v>
      </c>
      <c r="L957" s="138" t="s">
        <v>314</v>
      </c>
      <c r="M957" s="138" t="s">
        <v>508</v>
      </c>
    </row>
    <row r="958" spans="1:13" s="114" customFormat="1" ht="25.5">
      <c r="A958" s="136">
        <v>956</v>
      </c>
      <c r="B958" s="129" t="s">
        <v>3187</v>
      </c>
      <c r="C958" s="129" t="s">
        <v>3183</v>
      </c>
      <c r="D958" s="137" t="s">
        <v>3029</v>
      </c>
      <c r="E958" s="84" t="s">
        <v>3188</v>
      </c>
      <c r="F958" s="113"/>
      <c r="G958" s="131"/>
      <c r="H958" s="186" t="s">
        <v>2299</v>
      </c>
      <c r="I958" s="125" t="s">
        <v>326</v>
      </c>
      <c r="J958" s="125" t="s">
        <v>341</v>
      </c>
      <c r="K958" s="125" t="s">
        <v>2303</v>
      </c>
      <c r="L958" s="138" t="s">
        <v>314</v>
      </c>
      <c r="M958" s="138" t="s">
        <v>508</v>
      </c>
    </row>
    <row r="959" spans="1:13" s="114" customFormat="1" ht="38.25">
      <c r="A959" s="136">
        <v>957</v>
      </c>
      <c r="B959" s="129" t="s">
        <v>3189</v>
      </c>
      <c r="C959" s="129" t="s">
        <v>3183</v>
      </c>
      <c r="D959" s="137" t="s">
        <v>3029</v>
      </c>
      <c r="E959" s="84" t="s">
        <v>3190</v>
      </c>
      <c r="F959" s="113"/>
      <c r="G959" s="131"/>
      <c r="H959" s="186" t="s">
        <v>2299</v>
      </c>
      <c r="I959" s="125" t="s">
        <v>326</v>
      </c>
      <c r="J959" s="125" t="s">
        <v>341</v>
      </c>
      <c r="K959" s="125" t="s">
        <v>2303</v>
      </c>
      <c r="L959" s="138" t="s">
        <v>314</v>
      </c>
      <c r="M959" s="138" t="s">
        <v>508</v>
      </c>
    </row>
    <row r="960" spans="1:13" s="114" customFormat="1" ht="25.5">
      <c r="A960" s="136">
        <v>958</v>
      </c>
      <c r="B960" s="129" t="s">
        <v>3191</v>
      </c>
      <c r="C960" s="129" t="s">
        <v>3183</v>
      </c>
      <c r="D960" s="137" t="s">
        <v>3029</v>
      </c>
      <c r="E960" s="84" t="s">
        <v>3192</v>
      </c>
      <c r="F960" s="113"/>
      <c r="G960" s="131"/>
      <c r="H960" s="186" t="s">
        <v>931</v>
      </c>
      <c r="I960" s="125" t="s">
        <v>326</v>
      </c>
      <c r="J960" s="125" t="s">
        <v>341</v>
      </c>
      <c r="K960" s="125" t="s">
        <v>570</v>
      </c>
      <c r="L960" s="138" t="s">
        <v>507</v>
      </c>
      <c r="M960" s="138" t="s">
        <v>508</v>
      </c>
    </row>
    <row r="961" spans="1:13" s="114" customFormat="1" ht="25.5">
      <c r="A961" s="136">
        <v>959</v>
      </c>
      <c r="B961" s="129" t="s">
        <v>3193</v>
      </c>
      <c r="C961" s="129" t="s">
        <v>3194</v>
      </c>
      <c r="D961" s="137" t="s">
        <v>3017</v>
      </c>
      <c r="E961" s="84" t="s">
        <v>3195</v>
      </c>
      <c r="F961" s="144"/>
      <c r="G961" s="131"/>
      <c r="H961" s="186" t="s">
        <v>2632</v>
      </c>
      <c r="I961" s="125" t="s">
        <v>326</v>
      </c>
      <c r="J961" s="125" t="s">
        <v>346</v>
      </c>
      <c r="K961" s="125" t="s">
        <v>1465</v>
      </c>
      <c r="L961" s="138" t="s">
        <v>507</v>
      </c>
      <c r="M961" s="138" t="s">
        <v>508</v>
      </c>
    </row>
    <row r="962" spans="1:13" s="114" customFormat="1" ht="25.5">
      <c r="A962" s="136">
        <v>960</v>
      </c>
      <c r="B962" s="129" t="s">
        <v>1051</v>
      </c>
      <c r="C962" s="129" t="s">
        <v>3194</v>
      </c>
      <c r="D962" s="137" t="s">
        <v>3029</v>
      </c>
      <c r="E962" s="84" t="s">
        <v>3196</v>
      </c>
      <c r="F962" s="113"/>
      <c r="G962" s="131"/>
      <c r="H962" s="186" t="s">
        <v>3197</v>
      </c>
      <c r="I962" s="125" t="s">
        <v>326</v>
      </c>
      <c r="J962" s="125" t="s">
        <v>352</v>
      </c>
      <c r="K962" s="125" t="s">
        <v>1044</v>
      </c>
      <c r="L962" s="138" t="s">
        <v>507</v>
      </c>
      <c r="M962" s="138" t="s">
        <v>508</v>
      </c>
    </row>
    <row r="963" spans="1:13" s="114" customFormat="1" ht="25.5">
      <c r="A963" s="136">
        <v>961</v>
      </c>
      <c r="B963" s="129" t="s">
        <v>3198</v>
      </c>
      <c r="C963" s="129" t="s">
        <v>3194</v>
      </c>
      <c r="D963" s="137" t="s">
        <v>3029</v>
      </c>
      <c r="E963" s="84" t="s">
        <v>3199</v>
      </c>
      <c r="F963" s="118"/>
      <c r="G963" s="131"/>
      <c r="H963" s="186" t="s">
        <v>1070</v>
      </c>
      <c r="I963" s="125" t="s">
        <v>327</v>
      </c>
      <c r="J963" s="125" t="s">
        <v>337</v>
      </c>
      <c r="K963" s="125" t="s">
        <v>1071</v>
      </c>
      <c r="L963" s="138" t="s">
        <v>314</v>
      </c>
      <c r="M963" s="138" t="s">
        <v>508</v>
      </c>
    </row>
    <row r="964" spans="1:13" s="114" customFormat="1" ht="25.5">
      <c r="A964" s="136">
        <v>962</v>
      </c>
      <c r="B964" s="129" t="s">
        <v>3200</v>
      </c>
      <c r="C964" s="129" t="s">
        <v>3194</v>
      </c>
      <c r="D964" s="137" t="s">
        <v>3029</v>
      </c>
      <c r="E964" s="84" t="s">
        <v>3201</v>
      </c>
      <c r="F964" s="113"/>
      <c r="G964" s="131"/>
      <c r="H964" s="186" t="s">
        <v>1462</v>
      </c>
      <c r="I964" s="107" t="s">
        <v>326</v>
      </c>
      <c r="J964" s="136" t="s">
        <v>346</v>
      </c>
      <c r="K964" s="136" t="s">
        <v>1465</v>
      </c>
      <c r="L964" s="138" t="s">
        <v>507</v>
      </c>
      <c r="M964" s="138" t="s">
        <v>508</v>
      </c>
    </row>
    <row r="965" spans="1:13" s="114" customFormat="1" ht="25.5">
      <c r="A965" s="136">
        <v>963</v>
      </c>
      <c r="B965" s="129" t="s">
        <v>3202</v>
      </c>
      <c r="C965" s="129" t="s">
        <v>3194</v>
      </c>
      <c r="D965" s="137" t="s">
        <v>3029</v>
      </c>
      <c r="E965" s="84" t="s">
        <v>3203</v>
      </c>
      <c r="F965" s="113"/>
      <c r="G965" s="131"/>
      <c r="H965" s="186" t="s">
        <v>1462</v>
      </c>
      <c r="I965" s="107" t="s">
        <v>326</v>
      </c>
      <c r="J965" s="136" t="s">
        <v>346</v>
      </c>
      <c r="K965" s="136" t="s">
        <v>1465</v>
      </c>
      <c r="L965" s="138" t="s">
        <v>507</v>
      </c>
      <c r="M965" s="138" t="s">
        <v>508</v>
      </c>
    </row>
    <row r="966" spans="1:13" s="114" customFormat="1" ht="51">
      <c r="A966" s="136">
        <v>964</v>
      </c>
      <c r="B966" s="129" t="s">
        <v>3204</v>
      </c>
      <c r="C966" s="129" t="s">
        <v>3194</v>
      </c>
      <c r="D966" s="137" t="s">
        <v>3029</v>
      </c>
      <c r="E966" s="84" t="s">
        <v>3205</v>
      </c>
      <c r="F966" s="118"/>
      <c r="G966" s="131"/>
      <c r="H966" s="186" t="s">
        <v>2632</v>
      </c>
      <c r="I966" s="107" t="s">
        <v>326</v>
      </c>
      <c r="J966" s="136" t="s">
        <v>346</v>
      </c>
      <c r="K966" s="136" t="s">
        <v>1465</v>
      </c>
      <c r="L966" s="138" t="s">
        <v>314</v>
      </c>
      <c r="M966" s="138" t="s">
        <v>953</v>
      </c>
    </row>
    <row r="967" spans="1:13" s="114" customFormat="1" ht="51">
      <c r="A967" s="136">
        <v>965</v>
      </c>
      <c r="B967" s="129" t="s">
        <v>3206</v>
      </c>
      <c r="C967" s="129" t="s">
        <v>3194</v>
      </c>
      <c r="D967" s="137" t="s">
        <v>3029</v>
      </c>
      <c r="E967" s="84" t="s">
        <v>3207</v>
      </c>
      <c r="F967" s="118"/>
      <c r="G967" s="131"/>
      <c r="H967" s="186" t="s">
        <v>2632</v>
      </c>
      <c r="I967" s="107" t="s">
        <v>326</v>
      </c>
      <c r="J967" s="136" t="s">
        <v>346</v>
      </c>
      <c r="K967" s="136" t="s">
        <v>1465</v>
      </c>
      <c r="L967" s="138" t="s">
        <v>314</v>
      </c>
      <c r="M967" s="138" t="s">
        <v>953</v>
      </c>
    </row>
    <row r="968" spans="1:13" s="114" customFormat="1" ht="25.5">
      <c r="A968" s="136">
        <v>966</v>
      </c>
      <c r="B968" s="129" t="s">
        <v>3208</v>
      </c>
      <c r="C968" s="129" t="s">
        <v>3209</v>
      </c>
      <c r="D968" s="137" t="s">
        <v>3017</v>
      </c>
      <c r="E968" s="84" t="s">
        <v>3210</v>
      </c>
      <c r="F968" s="84"/>
      <c r="G968" s="131"/>
      <c r="H968" s="186" t="s">
        <v>892</v>
      </c>
      <c r="I968" s="125" t="s">
        <v>326</v>
      </c>
      <c r="J968" s="125" t="s">
        <v>346</v>
      </c>
      <c r="K968" s="125" t="s">
        <v>893</v>
      </c>
      <c r="L968" s="138" t="s">
        <v>507</v>
      </c>
      <c r="M968" s="138" t="s">
        <v>508</v>
      </c>
    </row>
    <row r="969" spans="1:13" s="114" customFormat="1" ht="51">
      <c r="A969" s="136">
        <v>967</v>
      </c>
      <c r="B969" s="129" t="s">
        <v>3211</v>
      </c>
      <c r="C969" s="129" t="s">
        <v>3209</v>
      </c>
      <c r="D969" s="137" t="s">
        <v>3029</v>
      </c>
      <c r="E969" s="84" t="s">
        <v>3212</v>
      </c>
      <c r="F969" s="113"/>
      <c r="G969" s="131"/>
      <c r="H969" s="186" t="s">
        <v>892</v>
      </c>
      <c r="I969" s="125" t="s">
        <v>326</v>
      </c>
      <c r="J969" s="125" t="s">
        <v>346</v>
      </c>
      <c r="K969" s="125" t="s">
        <v>893</v>
      </c>
      <c r="L969" s="138" t="s">
        <v>507</v>
      </c>
      <c r="M969" s="138" t="s">
        <v>508</v>
      </c>
    </row>
    <row r="970" spans="1:13" s="114" customFormat="1" ht="51">
      <c r="A970" s="136">
        <v>968</v>
      </c>
      <c r="B970" s="129" t="s">
        <v>3213</v>
      </c>
      <c r="C970" s="129" t="s">
        <v>3209</v>
      </c>
      <c r="D970" s="137" t="s">
        <v>3029</v>
      </c>
      <c r="E970" s="84" t="s">
        <v>3214</v>
      </c>
      <c r="F970" s="113"/>
      <c r="G970" s="131"/>
      <c r="H970" s="186" t="s">
        <v>952</v>
      </c>
      <c r="I970" s="125" t="s">
        <v>326</v>
      </c>
      <c r="J970" s="125" t="s">
        <v>352</v>
      </c>
      <c r="K970" s="125" t="s">
        <v>561</v>
      </c>
      <c r="L970" s="138" t="s">
        <v>314</v>
      </c>
      <c r="M970" s="138" t="s">
        <v>953</v>
      </c>
    </row>
    <row r="971" spans="1:13" s="114" customFormat="1" ht="51">
      <c r="A971" s="136">
        <v>969</v>
      </c>
      <c r="B971" s="129" t="s">
        <v>3215</v>
      </c>
      <c r="C971" s="129" t="s">
        <v>3209</v>
      </c>
      <c r="D971" s="137" t="s">
        <v>3029</v>
      </c>
      <c r="E971" s="84" t="s">
        <v>3216</v>
      </c>
      <c r="F971" s="113"/>
      <c r="G971" s="131"/>
      <c r="H971" s="186" t="s">
        <v>1131</v>
      </c>
      <c r="I971" s="125" t="s">
        <v>326</v>
      </c>
      <c r="J971" s="125" t="s">
        <v>346</v>
      </c>
      <c r="K971" s="125" t="s">
        <v>893</v>
      </c>
      <c r="L971" s="138" t="s">
        <v>507</v>
      </c>
      <c r="M971" s="138" t="s">
        <v>953</v>
      </c>
    </row>
    <row r="972" spans="1:13" s="114" customFormat="1" ht="25.5">
      <c r="A972" s="136">
        <v>970</v>
      </c>
      <c r="B972" s="129" t="s">
        <v>3217</v>
      </c>
      <c r="C972" s="129" t="s">
        <v>3209</v>
      </c>
      <c r="D972" s="137" t="s">
        <v>3029</v>
      </c>
      <c r="E972" s="84" t="s">
        <v>3218</v>
      </c>
      <c r="F972" s="113"/>
      <c r="G972" s="131"/>
      <c r="H972" s="186" t="s">
        <v>1131</v>
      </c>
      <c r="I972" s="125" t="s">
        <v>326</v>
      </c>
      <c r="J972" s="125" t="s">
        <v>346</v>
      </c>
      <c r="K972" s="125" t="s">
        <v>893</v>
      </c>
      <c r="L972" s="138" t="s">
        <v>507</v>
      </c>
      <c r="M972" s="138" t="s">
        <v>508</v>
      </c>
    </row>
    <row r="973" spans="1:13" s="114" customFormat="1" ht="25.5">
      <c r="A973" s="136">
        <v>971</v>
      </c>
      <c r="B973" s="129" t="s">
        <v>3219</v>
      </c>
      <c r="C973" s="129" t="s">
        <v>3209</v>
      </c>
      <c r="D973" s="137" t="s">
        <v>3029</v>
      </c>
      <c r="E973" s="84" t="s">
        <v>3220</v>
      </c>
      <c r="F973" s="113"/>
      <c r="G973" s="131"/>
      <c r="H973" s="186" t="s">
        <v>3221</v>
      </c>
      <c r="I973" s="125" t="s">
        <v>326</v>
      </c>
      <c r="J973" s="125" t="s">
        <v>346</v>
      </c>
      <c r="K973" s="125" t="s">
        <v>893</v>
      </c>
      <c r="L973" s="138" t="s">
        <v>507</v>
      </c>
      <c r="M973" s="138" t="s">
        <v>508</v>
      </c>
    </row>
    <row r="974" spans="1:13" s="114" customFormat="1" ht="38.25">
      <c r="A974" s="136">
        <v>972</v>
      </c>
      <c r="B974" s="129" t="s">
        <v>3222</v>
      </c>
      <c r="C974" s="129" t="s">
        <v>3223</v>
      </c>
      <c r="D974" s="137" t="s">
        <v>3017</v>
      </c>
      <c r="E974" s="84" t="s">
        <v>3224</v>
      </c>
      <c r="F974" s="84"/>
      <c r="G974" s="131"/>
      <c r="H974" s="186" t="s">
        <v>523</v>
      </c>
      <c r="I974" s="125" t="s">
        <v>326</v>
      </c>
      <c r="J974" s="125" t="s">
        <v>352</v>
      </c>
      <c r="K974" s="125" t="s">
        <v>526</v>
      </c>
      <c r="L974" s="138" t="s">
        <v>507</v>
      </c>
      <c r="M974" s="138" t="s">
        <v>508</v>
      </c>
    </row>
    <row r="975" spans="1:13" s="114" customFormat="1" ht="102">
      <c r="A975" s="136">
        <v>973</v>
      </c>
      <c r="B975" s="129" t="s">
        <v>3225</v>
      </c>
      <c r="C975" s="129" t="s">
        <v>3223</v>
      </c>
      <c r="D975" s="137" t="s">
        <v>3029</v>
      </c>
      <c r="E975" s="84" t="s">
        <v>3226</v>
      </c>
      <c r="F975" s="113"/>
      <c r="G975" s="131"/>
      <c r="H975" s="186" t="s">
        <v>523</v>
      </c>
      <c r="I975" s="125" t="s">
        <v>326</v>
      </c>
      <c r="J975" s="125" t="s">
        <v>352</v>
      </c>
      <c r="K975" s="125" t="s">
        <v>526</v>
      </c>
      <c r="L975" s="138" t="s">
        <v>507</v>
      </c>
      <c r="M975" s="138" t="s">
        <v>508</v>
      </c>
    </row>
    <row r="976" spans="1:13" s="114" customFormat="1" ht="38.25">
      <c r="A976" s="136">
        <v>974</v>
      </c>
      <c r="B976" s="129" t="s">
        <v>3227</v>
      </c>
      <c r="C976" s="129" t="s">
        <v>3223</v>
      </c>
      <c r="D976" s="137" t="s">
        <v>3163</v>
      </c>
      <c r="E976" s="84" t="s">
        <v>3228</v>
      </c>
      <c r="F976" s="113"/>
      <c r="G976" s="131"/>
      <c r="H976" s="186" t="s">
        <v>884</v>
      </c>
      <c r="I976" s="125" t="s">
        <v>326</v>
      </c>
      <c r="J976" s="125" t="s">
        <v>331</v>
      </c>
      <c r="K976" s="125" t="s">
        <v>512</v>
      </c>
      <c r="L976" s="138" t="s">
        <v>507</v>
      </c>
      <c r="M976" s="138" t="s">
        <v>508</v>
      </c>
    </row>
    <row r="977" spans="1:13" s="114" customFormat="1" ht="38.25">
      <c r="A977" s="136">
        <v>975</v>
      </c>
      <c r="B977" s="129" t="s">
        <v>3229</v>
      </c>
      <c r="C977" s="129" t="s">
        <v>3230</v>
      </c>
      <c r="D977" s="137" t="s">
        <v>3017</v>
      </c>
      <c r="E977" s="84" t="s">
        <v>3231</v>
      </c>
      <c r="F977" s="84"/>
      <c r="G977" s="131"/>
      <c r="H977" s="186" t="s">
        <v>884</v>
      </c>
      <c r="I977" s="125" t="s">
        <v>326</v>
      </c>
      <c r="J977" s="125" t="s">
        <v>331</v>
      </c>
      <c r="K977" s="125" t="s">
        <v>512</v>
      </c>
      <c r="L977" s="138" t="s">
        <v>507</v>
      </c>
      <c r="M977" s="138" t="s">
        <v>508</v>
      </c>
    </row>
    <row r="978" spans="1:13" s="114" customFormat="1" ht="38.25">
      <c r="A978" s="136">
        <v>976</v>
      </c>
      <c r="B978" s="129" t="s">
        <v>3232</v>
      </c>
      <c r="C978" s="129" t="s">
        <v>3230</v>
      </c>
      <c r="D978" s="137" t="s">
        <v>3029</v>
      </c>
      <c r="E978" s="84" t="s">
        <v>3233</v>
      </c>
      <c r="F978" s="113"/>
      <c r="G978" s="131"/>
      <c r="H978" s="186" t="s">
        <v>884</v>
      </c>
      <c r="I978" s="125" t="s">
        <v>326</v>
      </c>
      <c r="J978" s="125" t="s">
        <v>331</v>
      </c>
      <c r="K978" s="125" t="s">
        <v>512</v>
      </c>
      <c r="L978" s="138" t="s">
        <v>507</v>
      </c>
      <c r="M978" s="138" t="s">
        <v>508</v>
      </c>
    </row>
    <row r="979" spans="1:13" s="114" customFormat="1" ht="25.5">
      <c r="A979" s="136">
        <v>977</v>
      </c>
      <c r="B979" s="129" t="s">
        <v>3234</v>
      </c>
      <c r="C979" s="129" t="s">
        <v>3235</v>
      </c>
      <c r="D979" s="137" t="s">
        <v>3017</v>
      </c>
      <c r="E979" s="84" t="s">
        <v>3236</v>
      </c>
      <c r="F979" s="84"/>
      <c r="G979" s="131"/>
      <c r="H979" s="186" t="s">
        <v>523</v>
      </c>
      <c r="I979" s="125" t="s">
        <v>326</v>
      </c>
      <c r="J979" s="125" t="s">
        <v>352</v>
      </c>
      <c r="K979" s="125" t="s">
        <v>526</v>
      </c>
      <c r="L979" s="138" t="s">
        <v>507</v>
      </c>
      <c r="M979" s="138" t="s">
        <v>508</v>
      </c>
    </row>
    <row r="980" spans="1:13" s="114" customFormat="1" ht="38.25">
      <c r="A980" s="136">
        <v>978</v>
      </c>
      <c r="B980" s="129" t="s">
        <v>3237</v>
      </c>
      <c r="C980" s="129" t="s">
        <v>3238</v>
      </c>
      <c r="D980" s="137" t="s">
        <v>3017</v>
      </c>
      <c r="E980" s="84" t="s">
        <v>3239</v>
      </c>
      <c r="F980" s="84"/>
      <c r="G980" s="131"/>
      <c r="H980" s="186" t="s">
        <v>871</v>
      </c>
      <c r="I980" s="125" t="s">
        <v>326</v>
      </c>
      <c r="J980" s="125" t="s">
        <v>352</v>
      </c>
      <c r="K980" s="125" t="s">
        <v>526</v>
      </c>
      <c r="L980" s="138" t="s">
        <v>507</v>
      </c>
      <c r="M980" s="138" t="s">
        <v>508</v>
      </c>
    </row>
    <row r="981" spans="1:13" s="114" customFormat="1" ht="38.25">
      <c r="A981" s="136">
        <v>979</v>
      </c>
      <c r="B981" s="129" t="s">
        <v>3240</v>
      </c>
      <c r="C981" s="129" t="s">
        <v>3238</v>
      </c>
      <c r="D981" s="137" t="s">
        <v>3163</v>
      </c>
      <c r="E981" s="84" t="s">
        <v>3241</v>
      </c>
      <c r="F981" s="113"/>
      <c r="G981" s="131"/>
      <c r="H981" s="186" t="s">
        <v>871</v>
      </c>
      <c r="I981" s="125" t="s">
        <v>326</v>
      </c>
      <c r="J981" s="125" t="s">
        <v>352</v>
      </c>
      <c r="K981" s="125" t="s">
        <v>526</v>
      </c>
      <c r="L981" s="138" t="s">
        <v>507</v>
      </c>
      <c r="M981" s="138" t="s">
        <v>508</v>
      </c>
    </row>
    <row r="982" spans="1:13" s="114" customFormat="1" ht="38.25">
      <c r="A982" s="136">
        <v>980</v>
      </c>
      <c r="B982" s="129" t="s">
        <v>3242</v>
      </c>
      <c r="C982" s="129" t="s">
        <v>3243</v>
      </c>
      <c r="D982" s="137" t="s">
        <v>3029</v>
      </c>
      <c r="E982" s="84" t="s">
        <v>3244</v>
      </c>
      <c r="F982" s="84"/>
      <c r="G982" s="131"/>
      <c r="H982" s="186" t="s">
        <v>1485</v>
      </c>
      <c r="I982" s="125" t="s">
        <v>326</v>
      </c>
      <c r="J982" s="125" t="s">
        <v>346</v>
      </c>
      <c r="K982" s="125" t="s">
        <v>998</v>
      </c>
      <c r="L982" s="138" t="s">
        <v>314</v>
      </c>
      <c r="M982" s="138" t="s">
        <v>508</v>
      </c>
    </row>
    <row r="983" spans="1:13" s="114" customFormat="1" ht="25.5">
      <c r="A983" s="136">
        <v>981</v>
      </c>
      <c r="B983" s="129" t="s">
        <v>3245</v>
      </c>
      <c r="C983" s="129" t="s">
        <v>3243</v>
      </c>
      <c r="D983" s="137" t="s">
        <v>3029</v>
      </c>
      <c r="E983" s="84" t="s">
        <v>3246</v>
      </c>
      <c r="F983" s="118"/>
      <c r="G983" s="131"/>
      <c r="H983" s="186" t="s">
        <v>2299</v>
      </c>
      <c r="I983" s="125" t="s">
        <v>326</v>
      </c>
      <c r="J983" s="125" t="s">
        <v>341</v>
      </c>
      <c r="K983" s="125" t="s">
        <v>2303</v>
      </c>
      <c r="L983" s="138" t="s">
        <v>314</v>
      </c>
      <c r="M983" s="138" t="s">
        <v>508</v>
      </c>
    </row>
    <row r="984" spans="1:13" s="114" customFormat="1" ht="25.5">
      <c r="A984" s="136">
        <v>982</v>
      </c>
      <c r="B984" s="129" t="s">
        <v>3247</v>
      </c>
      <c r="C984" s="129" t="s">
        <v>3243</v>
      </c>
      <c r="D984" s="137" t="s">
        <v>3029</v>
      </c>
      <c r="E984" s="84" t="s">
        <v>3248</v>
      </c>
      <c r="F984" s="84"/>
      <c r="G984" s="131"/>
      <c r="H984" s="186" t="s">
        <v>892</v>
      </c>
      <c r="I984" s="125" t="s">
        <v>326</v>
      </c>
      <c r="J984" s="125" t="s">
        <v>346</v>
      </c>
      <c r="K984" s="125" t="s">
        <v>893</v>
      </c>
      <c r="L984" s="138" t="s">
        <v>507</v>
      </c>
      <c r="M984" s="138" t="s">
        <v>508</v>
      </c>
    </row>
    <row r="985" spans="1:13" s="114" customFormat="1" ht="25.5">
      <c r="A985" s="136">
        <v>983</v>
      </c>
      <c r="B985" s="129" t="s">
        <v>3249</v>
      </c>
      <c r="C985" s="129" t="s">
        <v>3243</v>
      </c>
      <c r="D985" s="137" t="s">
        <v>3029</v>
      </c>
      <c r="E985" s="84" t="s">
        <v>3250</v>
      </c>
      <c r="F985" s="113"/>
      <c r="G985" s="131"/>
      <c r="H985" s="186" t="s">
        <v>1836</v>
      </c>
      <c r="I985" s="125" t="s">
        <v>326</v>
      </c>
      <c r="J985" s="125" t="s">
        <v>349</v>
      </c>
      <c r="K985" s="125" t="s">
        <v>1336</v>
      </c>
      <c r="L985" s="138" t="s">
        <v>507</v>
      </c>
      <c r="M985" s="138" t="s">
        <v>508</v>
      </c>
    </row>
    <row r="986" spans="1:13" s="114" customFormat="1" ht="51">
      <c r="A986" s="136">
        <v>984</v>
      </c>
      <c r="B986" s="129" t="s">
        <v>3251</v>
      </c>
      <c r="C986" s="129" t="s">
        <v>3243</v>
      </c>
      <c r="D986" s="137" t="s">
        <v>3029</v>
      </c>
      <c r="E986" s="84" t="s">
        <v>3252</v>
      </c>
      <c r="F986" s="113"/>
      <c r="G986" s="131"/>
      <c r="H986" s="186" t="s">
        <v>1356</v>
      </c>
      <c r="I986" s="125" t="s">
        <v>326</v>
      </c>
      <c r="J986" s="125" t="s">
        <v>331</v>
      </c>
      <c r="K986" s="125" t="s">
        <v>1357</v>
      </c>
      <c r="L986" s="138" t="s">
        <v>314</v>
      </c>
      <c r="M986" s="138" t="s">
        <v>953</v>
      </c>
    </row>
    <row r="987" spans="1:13" s="114" customFormat="1" ht="25.5">
      <c r="A987" s="136">
        <v>985</v>
      </c>
      <c r="B987" s="129" t="s">
        <v>3253</v>
      </c>
      <c r="C987" s="129" t="s">
        <v>3254</v>
      </c>
      <c r="D987" s="137" t="s">
        <v>3029</v>
      </c>
      <c r="E987" s="84" t="s">
        <v>3255</v>
      </c>
      <c r="F987" s="113"/>
      <c r="G987" s="131"/>
      <c r="H987" s="186" t="s">
        <v>1007</v>
      </c>
      <c r="I987" s="125" t="s">
        <v>326</v>
      </c>
      <c r="J987" s="125" t="s">
        <v>352</v>
      </c>
      <c r="K987" s="125" t="s">
        <v>526</v>
      </c>
      <c r="L987" s="138" t="s">
        <v>507</v>
      </c>
      <c r="M987" s="138" t="s">
        <v>508</v>
      </c>
    </row>
    <row r="988" spans="1:13" s="114" customFormat="1" ht="25.5">
      <c r="A988" s="136">
        <v>986</v>
      </c>
      <c r="B988" s="129" t="s">
        <v>3256</v>
      </c>
      <c r="C988" s="129" t="s">
        <v>3257</v>
      </c>
      <c r="D988" s="137" t="s">
        <v>3029</v>
      </c>
      <c r="E988" s="84" t="s">
        <v>3258</v>
      </c>
      <c r="F988" s="113"/>
      <c r="G988" s="131"/>
      <c r="H988" s="186" t="s">
        <v>889</v>
      </c>
      <c r="I988" s="125" t="s">
        <v>326</v>
      </c>
      <c r="J988" s="125" t="s">
        <v>352</v>
      </c>
      <c r="K988" s="125" t="s">
        <v>526</v>
      </c>
      <c r="L988" s="138" t="s">
        <v>507</v>
      </c>
      <c r="M988" s="138" t="s">
        <v>508</v>
      </c>
    </row>
    <row r="989" spans="1:13" s="114" customFormat="1" ht="51">
      <c r="A989" s="136">
        <v>987</v>
      </c>
      <c r="B989" s="129" t="s">
        <v>3259</v>
      </c>
      <c r="C989" s="129" t="s">
        <v>3260</v>
      </c>
      <c r="D989" s="137" t="s">
        <v>3017</v>
      </c>
      <c r="E989" s="84" t="s">
        <v>3261</v>
      </c>
      <c r="F989" s="84"/>
      <c r="G989" s="131"/>
      <c r="H989" s="186" t="s">
        <v>974</v>
      </c>
      <c r="I989" s="125" t="s">
        <v>326</v>
      </c>
      <c r="J989" s="125" t="s">
        <v>352</v>
      </c>
      <c r="K989" s="125" t="s">
        <v>597</v>
      </c>
      <c r="L989" s="138" t="s">
        <v>314</v>
      </c>
      <c r="M989" s="138" t="s">
        <v>953</v>
      </c>
    </row>
    <row r="990" spans="1:13" s="114" customFormat="1" ht="51">
      <c r="A990" s="136">
        <v>988</v>
      </c>
      <c r="B990" s="129" t="s">
        <v>3262</v>
      </c>
      <c r="C990" s="129" t="s">
        <v>3260</v>
      </c>
      <c r="D990" s="137" t="s">
        <v>3029</v>
      </c>
      <c r="E990" s="84" t="s">
        <v>3263</v>
      </c>
      <c r="F990" s="113"/>
      <c r="G990" s="131"/>
      <c r="H990" s="186" t="s">
        <v>974</v>
      </c>
      <c r="I990" s="125" t="s">
        <v>326</v>
      </c>
      <c r="J990" s="125" t="s">
        <v>352</v>
      </c>
      <c r="K990" s="125" t="s">
        <v>597</v>
      </c>
      <c r="L990" s="138" t="s">
        <v>314</v>
      </c>
      <c r="M990" s="138" t="s">
        <v>953</v>
      </c>
    </row>
    <row r="991" spans="1:13" s="114" customFormat="1" ht="51">
      <c r="A991" s="136">
        <v>989</v>
      </c>
      <c r="B991" s="129" t="s">
        <v>3264</v>
      </c>
      <c r="C991" s="129" t="s">
        <v>3265</v>
      </c>
      <c r="D991" s="137" t="s">
        <v>3017</v>
      </c>
      <c r="E991" s="84" t="s">
        <v>3266</v>
      </c>
      <c r="F991" s="84"/>
      <c r="G991" s="131"/>
      <c r="H991" s="186" t="s">
        <v>1586</v>
      </c>
      <c r="I991" s="125" t="s">
        <v>326</v>
      </c>
      <c r="J991" s="125" t="s">
        <v>331</v>
      </c>
      <c r="K991" s="125" t="s">
        <v>1191</v>
      </c>
      <c r="L991" s="138" t="s">
        <v>314</v>
      </c>
      <c r="M991" s="138" t="s">
        <v>953</v>
      </c>
    </row>
    <row r="992" spans="1:13" s="114" customFormat="1" ht="25.5">
      <c r="A992" s="136">
        <v>990</v>
      </c>
      <c r="B992" s="129" t="s">
        <v>600</v>
      </c>
      <c r="C992" s="129" t="s">
        <v>3267</v>
      </c>
      <c r="D992" s="137" t="s">
        <v>3017</v>
      </c>
      <c r="E992" s="84" t="s">
        <v>3268</v>
      </c>
      <c r="F992" s="118"/>
      <c r="G992" s="131"/>
      <c r="H992" s="186" t="s">
        <v>3269</v>
      </c>
      <c r="I992" s="125" t="s">
        <v>326</v>
      </c>
      <c r="J992" s="125" t="s">
        <v>341</v>
      </c>
      <c r="K992" s="125" t="s">
        <v>601</v>
      </c>
      <c r="L992" s="138" t="s">
        <v>507</v>
      </c>
      <c r="M992" s="138" t="s">
        <v>508</v>
      </c>
    </row>
    <row r="993" spans="1:13" s="114" customFormat="1" ht="25.5">
      <c r="A993" s="136">
        <v>991</v>
      </c>
      <c r="B993" s="129" t="s">
        <v>3270</v>
      </c>
      <c r="C993" s="129" t="s">
        <v>3267</v>
      </c>
      <c r="D993" s="137" t="s">
        <v>3029</v>
      </c>
      <c r="E993" s="84" t="s">
        <v>3271</v>
      </c>
      <c r="F993" s="113"/>
      <c r="G993" s="131"/>
      <c r="H993" s="186" t="s">
        <v>1568</v>
      </c>
      <c r="I993" s="125" t="s">
        <v>326</v>
      </c>
      <c r="J993" s="125" t="s">
        <v>346</v>
      </c>
      <c r="K993" s="125" t="s">
        <v>761</v>
      </c>
      <c r="L993" s="138" t="s">
        <v>507</v>
      </c>
      <c r="M993" s="138" t="s">
        <v>508</v>
      </c>
    </row>
    <row r="994" spans="1:13" s="114" customFormat="1" ht="12.75">
      <c r="A994" s="136">
        <v>992</v>
      </c>
      <c r="B994" s="129" t="s">
        <v>3272</v>
      </c>
      <c r="C994" s="129" t="s">
        <v>3267</v>
      </c>
      <c r="D994" s="137" t="s">
        <v>3029</v>
      </c>
      <c r="E994" s="84" t="s">
        <v>3273</v>
      </c>
      <c r="F994" s="118"/>
      <c r="G994" s="131"/>
      <c r="H994" s="186" t="s">
        <v>600</v>
      </c>
      <c r="I994" s="125" t="s">
        <v>326</v>
      </c>
      <c r="J994" s="125" t="s">
        <v>341</v>
      </c>
      <c r="K994" s="125" t="s">
        <v>601</v>
      </c>
      <c r="L994" s="138" t="s">
        <v>507</v>
      </c>
      <c r="M994" s="138" t="s">
        <v>508</v>
      </c>
    </row>
    <row r="995" spans="1:13" s="114" customFormat="1" ht="25.5">
      <c r="A995" s="136">
        <v>993</v>
      </c>
      <c r="B995" s="129" t="s">
        <v>3274</v>
      </c>
      <c r="C995" s="129" t="s">
        <v>3267</v>
      </c>
      <c r="D995" s="137" t="s">
        <v>3029</v>
      </c>
      <c r="E995" s="84" t="s">
        <v>3275</v>
      </c>
      <c r="F995" s="113"/>
      <c r="G995" s="131"/>
      <c r="H995" s="186" t="s">
        <v>1575</v>
      </c>
      <c r="I995" s="125" t="s">
        <v>326</v>
      </c>
      <c r="J995" s="125" t="s">
        <v>341</v>
      </c>
      <c r="K995" s="125" t="s">
        <v>1576</v>
      </c>
      <c r="L995" s="138" t="s">
        <v>314</v>
      </c>
      <c r="M995" s="138" t="s">
        <v>508</v>
      </c>
    </row>
    <row r="996" spans="1:13" s="114" customFormat="1" ht="38.25">
      <c r="A996" s="136">
        <v>994</v>
      </c>
      <c r="B996" s="129" t="s">
        <v>3276</v>
      </c>
      <c r="C996" s="129" t="s">
        <v>3267</v>
      </c>
      <c r="D996" s="137" t="s">
        <v>3029</v>
      </c>
      <c r="E996" s="84" t="s">
        <v>3277</v>
      </c>
      <c r="F996" s="113"/>
      <c r="G996" s="131"/>
      <c r="H996" s="186" t="s">
        <v>513</v>
      </c>
      <c r="I996" s="125" t="s">
        <v>326</v>
      </c>
      <c r="J996" s="141" t="s">
        <v>331</v>
      </c>
      <c r="K996" s="141" t="s">
        <v>512</v>
      </c>
      <c r="L996" s="138" t="s">
        <v>507</v>
      </c>
      <c r="M996" s="138" t="s">
        <v>508</v>
      </c>
    </row>
    <row r="997" spans="1:13" s="114" customFormat="1" ht="51">
      <c r="A997" s="136">
        <v>995</v>
      </c>
      <c r="B997" s="129" t="s">
        <v>3278</v>
      </c>
      <c r="C997" s="129" t="s">
        <v>3267</v>
      </c>
      <c r="D997" s="137" t="s">
        <v>3029</v>
      </c>
      <c r="E997" s="84" t="s">
        <v>3279</v>
      </c>
      <c r="F997" s="118"/>
      <c r="G997" s="131"/>
      <c r="H997" s="186" t="s">
        <v>608</v>
      </c>
      <c r="I997" s="125" t="s">
        <v>326</v>
      </c>
      <c r="J997" s="125" t="s">
        <v>331</v>
      </c>
      <c r="K997" s="125" t="s">
        <v>530</v>
      </c>
      <c r="L997" s="138" t="s">
        <v>507</v>
      </c>
      <c r="M997" s="138" t="s">
        <v>508</v>
      </c>
    </row>
    <row r="998" spans="1:13" s="114" customFormat="1" ht="38.25">
      <c r="A998" s="136">
        <v>996</v>
      </c>
      <c r="B998" s="129" t="s">
        <v>3280</v>
      </c>
      <c r="C998" s="129" t="s">
        <v>3281</v>
      </c>
      <c r="D998" s="137" t="s">
        <v>3017</v>
      </c>
      <c r="E998" s="84" t="s">
        <v>3282</v>
      </c>
      <c r="F998" s="118"/>
      <c r="G998" s="131"/>
      <c r="H998" s="186" t="s">
        <v>600</v>
      </c>
      <c r="I998" s="125" t="s">
        <v>326</v>
      </c>
      <c r="J998" s="125" t="s">
        <v>341</v>
      </c>
      <c r="K998" s="125" t="s">
        <v>601</v>
      </c>
      <c r="L998" s="138" t="s">
        <v>507</v>
      </c>
      <c r="M998" s="138" t="s">
        <v>508</v>
      </c>
    </row>
    <row r="999" spans="1:13" s="114" customFormat="1" ht="51">
      <c r="A999" s="136">
        <v>997</v>
      </c>
      <c r="B999" s="129" t="s">
        <v>3283</v>
      </c>
      <c r="C999" s="129" t="s">
        <v>3281</v>
      </c>
      <c r="D999" s="137" t="s">
        <v>3029</v>
      </c>
      <c r="E999" s="84" t="s">
        <v>3284</v>
      </c>
      <c r="F999" s="113"/>
      <c r="G999" s="131"/>
      <c r="H999" s="186" t="s">
        <v>707</v>
      </c>
      <c r="I999" s="125" t="s">
        <v>326</v>
      </c>
      <c r="J999" s="125" t="s">
        <v>331</v>
      </c>
      <c r="K999" s="125" t="s">
        <v>530</v>
      </c>
      <c r="L999" s="138" t="s">
        <v>507</v>
      </c>
      <c r="M999" s="138" t="s">
        <v>508</v>
      </c>
    </row>
    <row r="1000" spans="1:13" s="114" customFormat="1" ht="38.25">
      <c r="A1000" s="136">
        <v>998</v>
      </c>
      <c r="B1000" s="129" t="s">
        <v>3285</v>
      </c>
      <c r="C1000" s="129" t="s">
        <v>3281</v>
      </c>
      <c r="D1000" s="137" t="s">
        <v>3029</v>
      </c>
      <c r="E1000" s="84" t="s">
        <v>3286</v>
      </c>
      <c r="F1000" s="118"/>
      <c r="G1000" s="131"/>
      <c r="H1000" s="186" t="s">
        <v>513</v>
      </c>
      <c r="I1000" s="125" t="s">
        <v>326</v>
      </c>
      <c r="J1000" s="125" t="s">
        <v>331</v>
      </c>
      <c r="K1000" s="125" t="s">
        <v>512</v>
      </c>
      <c r="L1000" s="138" t="s">
        <v>507</v>
      </c>
      <c r="M1000" s="138" t="s">
        <v>508</v>
      </c>
    </row>
    <row r="1001" spans="1:13" s="114" customFormat="1" ht="25.5">
      <c r="A1001" s="136">
        <v>999</v>
      </c>
      <c r="B1001" s="129" t="s">
        <v>3287</v>
      </c>
      <c r="C1001" s="129" t="s">
        <v>3281</v>
      </c>
      <c r="D1001" s="137" t="s">
        <v>3029</v>
      </c>
      <c r="E1001" s="84" t="s">
        <v>3288</v>
      </c>
      <c r="F1001" s="118"/>
      <c r="G1001" s="131"/>
      <c r="H1001" s="186" t="s">
        <v>1671</v>
      </c>
      <c r="I1001" s="125" t="s">
        <v>326</v>
      </c>
      <c r="J1001" s="125" t="s">
        <v>341</v>
      </c>
      <c r="K1001" s="125" t="s">
        <v>580</v>
      </c>
      <c r="L1001" s="138" t="s">
        <v>507</v>
      </c>
      <c r="M1001" s="138" t="s">
        <v>508</v>
      </c>
    </row>
    <row r="1002" spans="1:13" s="114" customFormat="1" ht="12.75">
      <c r="A1002" s="136">
        <v>1000</v>
      </c>
      <c r="B1002" s="129" t="s">
        <v>3289</v>
      </c>
      <c r="C1002" s="129" t="s">
        <v>3281</v>
      </c>
      <c r="D1002" s="137" t="s">
        <v>3029</v>
      </c>
      <c r="E1002" s="84" t="s">
        <v>3290</v>
      </c>
      <c r="F1002" s="118"/>
      <c r="G1002" s="131"/>
      <c r="H1002" s="186" t="s">
        <v>931</v>
      </c>
      <c r="I1002" s="125" t="s">
        <v>326</v>
      </c>
      <c r="J1002" s="125" t="s">
        <v>341</v>
      </c>
      <c r="K1002" s="125" t="s">
        <v>570</v>
      </c>
      <c r="L1002" s="138" t="s">
        <v>507</v>
      </c>
      <c r="M1002" s="138" t="s">
        <v>508</v>
      </c>
    </row>
    <row r="1003" spans="1:13" s="114" customFormat="1" ht="38.25">
      <c r="A1003" s="136">
        <v>1001</v>
      </c>
      <c r="B1003" s="129" t="s">
        <v>3291</v>
      </c>
      <c r="C1003" s="129" t="s">
        <v>3292</v>
      </c>
      <c r="D1003" s="137" t="s">
        <v>3017</v>
      </c>
      <c r="E1003" s="84" t="s">
        <v>3293</v>
      </c>
      <c r="F1003" s="118"/>
      <c r="G1003" s="131"/>
      <c r="H1003" s="186" t="s">
        <v>600</v>
      </c>
      <c r="I1003" s="125" t="s">
        <v>326</v>
      </c>
      <c r="J1003" s="125" t="s">
        <v>341</v>
      </c>
      <c r="K1003" s="125" t="s">
        <v>601</v>
      </c>
      <c r="L1003" s="138" t="s">
        <v>507</v>
      </c>
      <c r="M1003" s="138" t="s">
        <v>508</v>
      </c>
    </row>
    <row r="1004" spans="1:13" s="114" customFormat="1" ht="25.5">
      <c r="A1004" s="136">
        <v>1002</v>
      </c>
      <c r="B1004" s="129" t="s">
        <v>3294</v>
      </c>
      <c r="C1004" s="129" t="s">
        <v>3292</v>
      </c>
      <c r="D1004" s="137" t="s">
        <v>3029</v>
      </c>
      <c r="E1004" s="84" t="s">
        <v>3295</v>
      </c>
      <c r="F1004" s="113"/>
      <c r="G1004" s="131"/>
      <c r="H1004" s="186" t="s">
        <v>1024</v>
      </c>
      <c r="I1004" s="125" t="s">
        <v>326</v>
      </c>
      <c r="J1004" s="125" t="s">
        <v>341</v>
      </c>
      <c r="K1004" s="125" t="s">
        <v>580</v>
      </c>
      <c r="L1004" s="138" t="s">
        <v>507</v>
      </c>
      <c r="M1004" s="138" t="s">
        <v>508</v>
      </c>
    </row>
    <row r="1005" spans="1:13" s="114" customFormat="1" ht="38.25">
      <c r="A1005" s="136">
        <v>1003</v>
      </c>
      <c r="B1005" s="129" t="s">
        <v>3296</v>
      </c>
      <c r="C1005" s="129" t="s">
        <v>3292</v>
      </c>
      <c r="D1005" s="137" t="s">
        <v>3029</v>
      </c>
      <c r="E1005" s="84" t="s">
        <v>3297</v>
      </c>
      <c r="F1005" s="118"/>
      <c r="G1005" s="131"/>
      <c r="H1005" s="186" t="s">
        <v>567</v>
      </c>
      <c r="I1005" s="125" t="s">
        <v>326</v>
      </c>
      <c r="J1005" s="125" t="s">
        <v>341</v>
      </c>
      <c r="K1005" s="125" t="s">
        <v>570</v>
      </c>
      <c r="L1005" s="138" t="s">
        <v>507</v>
      </c>
      <c r="M1005" s="138" t="s">
        <v>508</v>
      </c>
    </row>
    <row r="1006" spans="1:13" s="114" customFormat="1" ht="25.5">
      <c r="A1006" s="136">
        <v>1004</v>
      </c>
      <c r="B1006" s="129" t="s">
        <v>3298</v>
      </c>
      <c r="C1006" s="129" t="s">
        <v>3292</v>
      </c>
      <c r="D1006" s="137" t="s">
        <v>3029</v>
      </c>
      <c r="E1006" s="84" t="s">
        <v>3299</v>
      </c>
      <c r="F1006" s="113"/>
      <c r="G1006" s="131"/>
      <c r="H1006" s="186" t="s">
        <v>596</v>
      </c>
      <c r="I1006" s="125" t="s">
        <v>326</v>
      </c>
      <c r="J1006" s="125" t="s">
        <v>352</v>
      </c>
      <c r="K1006" s="125" t="s">
        <v>597</v>
      </c>
      <c r="L1006" s="138" t="s">
        <v>507</v>
      </c>
      <c r="M1006" s="138" t="s">
        <v>508</v>
      </c>
    </row>
    <row r="1007" spans="1:13" s="114" customFormat="1" ht="51">
      <c r="A1007" s="136">
        <v>1005</v>
      </c>
      <c r="B1007" s="129" t="s">
        <v>3300</v>
      </c>
      <c r="C1007" s="129" t="s">
        <v>3292</v>
      </c>
      <c r="D1007" s="137" t="s">
        <v>3029</v>
      </c>
      <c r="E1007" s="84" t="s">
        <v>3301</v>
      </c>
      <c r="F1007" s="113"/>
      <c r="G1007" s="131"/>
      <c r="H1007" s="186" t="s">
        <v>931</v>
      </c>
      <c r="I1007" s="125" t="s">
        <v>326</v>
      </c>
      <c r="J1007" s="125" t="s">
        <v>341</v>
      </c>
      <c r="K1007" s="125" t="s">
        <v>570</v>
      </c>
      <c r="L1007" s="138" t="s">
        <v>507</v>
      </c>
      <c r="M1007" s="138" t="s">
        <v>508</v>
      </c>
    </row>
    <row r="1008" spans="1:13" s="114" customFormat="1" ht="25.5">
      <c r="A1008" s="136">
        <v>1006</v>
      </c>
      <c r="B1008" s="129" t="s">
        <v>3302</v>
      </c>
      <c r="C1008" s="129" t="s">
        <v>3303</v>
      </c>
      <c r="D1008" s="137" t="s">
        <v>3029</v>
      </c>
      <c r="E1008" s="84" t="s">
        <v>3304</v>
      </c>
      <c r="F1008" s="118"/>
      <c r="G1008" s="131"/>
      <c r="H1008" s="186" t="s">
        <v>889</v>
      </c>
      <c r="I1008" s="125" t="s">
        <v>326</v>
      </c>
      <c r="J1008" s="125" t="s">
        <v>352</v>
      </c>
      <c r="K1008" s="125" t="s">
        <v>526</v>
      </c>
      <c r="L1008" s="138" t="s">
        <v>507</v>
      </c>
      <c r="M1008" s="138" t="s">
        <v>508</v>
      </c>
    </row>
    <row r="1009" spans="1:13" s="114" customFormat="1" ht="25.5">
      <c r="A1009" s="136">
        <v>1007</v>
      </c>
      <c r="B1009" s="129" t="s">
        <v>3305</v>
      </c>
      <c r="C1009" s="129" t="s">
        <v>3306</v>
      </c>
      <c r="D1009" s="137" t="s">
        <v>3029</v>
      </c>
      <c r="E1009" s="84" t="s">
        <v>3307</v>
      </c>
      <c r="F1009" s="125"/>
      <c r="G1009" s="130"/>
      <c r="H1009" s="186" t="s">
        <v>1531</v>
      </c>
      <c r="I1009" s="125" t="s">
        <v>326</v>
      </c>
      <c r="J1009" s="125" t="s">
        <v>346</v>
      </c>
      <c r="K1009" s="125" t="s">
        <v>761</v>
      </c>
      <c r="L1009" s="138" t="s">
        <v>507</v>
      </c>
      <c r="M1009" s="138" t="s">
        <v>508</v>
      </c>
    </row>
    <row r="1010" spans="1:13" s="114" customFormat="1" ht="76.5">
      <c r="A1010" s="136">
        <v>1008</v>
      </c>
      <c r="B1010" s="129" t="s">
        <v>3308</v>
      </c>
      <c r="C1010" s="129" t="s">
        <v>3309</v>
      </c>
      <c r="D1010" s="137" t="s">
        <v>3029</v>
      </c>
      <c r="E1010" s="84" t="s">
        <v>3310</v>
      </c>
      <c r="F1010" s="118"/>
      <c r="G1010" s="131"/>
      <c r="H1010" s="186" t="s">
        <v>1330</v>
      </c>
      <c r="I1010" s="125" t="s">
        <v>326</v>
      </c>
      <c r="J1010" s="125" t="s">
        <v>352</v>
      </c>
      <c r="K1010" s="125" t="s">
        <v>781</v>
      </c>
      <c r="L1010" s="138" t="s">
        <v>507</v>
      </c>
      <c r="M1010" s="138" t="s">
        <v>508</v>
      </c>
    </row>
    <row r="1011" spans="1:13" s="114" customFormat="1" ht="25.5">
      <c r="A1011" s="136">
        <v>1009</v>
      </c>
      <c r="B1011" s="129" t="s">
        <v>3311</v>
      </c>
      <c r="C1011" s="129" t="s">
        <v>3309</v>
      </c>
      <c r="D1011" s="137" t="s">
        <v>3029</v>
      </c>
      <c r="E1011" s="84" t="s">
        <v>3312</v>
      </c>
      <c r="F1011" s="118"/>
      <c r="G1011" s="131"/>
      <c r="H1011" s="186" t="s">
        <v>3313</v>
      </c>
      <c r="I1011" s="125" t="s">
        <v>326</v>
      </c>
      <c r="J1011" s="125" t="s">
        <v>346</v>
      </c>
      <c r="K1011" s="125" t="s">
        <v>761</v>
      </c>
      <c r="L1011" s="138" t="s">
        <v>507</v>
      </c>
      <c r="M1011" s="138" t="s">
        <v>508</v>
      </c>
    </row>
    <row r="1012" spans="1:13" s="114" customFormat="1" ht="25.5">
      <c r="A1012" s="136">
        <v>1010</v>
      </c>
      <c r="B1012" s="129" t="s">
        <v>3314</v>
      </c>
      <c r="C1012" s="129" t="s">
        <v>3309</v>
      </c>
      <c r="D1012" s="137" t="s">
        <v>3029</v>
      </c>
      <c r="E1012" s="84" t="s">
        <v>3315</v>
      </c>
      <c r="F1012" s="118"/>
      <c r="G1012" s="131"/>
      <c r="H1012" s="186" t="s">
        <v>3219</v>
      </c>
      <c r="I1012" s="125" t="s">
        <v>326</v>
      </c>
      <c r="J1012" s="125" t="s">
        <v>346</v>
      </c>
      <c r="K1012" s="125" t="s">
        <v>893</v>
      </c>
      <c r="L1012" s="138" t="s">
        <v>507</v>
      </c>
      <c r="M1012" s="138" t="s">
        <v>508</v>
      </c>
    </row>
    <row r="1013" spans="1:13" s="114" customFormat="1" ht="25.5">
      <c r="A1013" s="136">
        <v>1011</v>
      </c>
      <c r="B1013" s="129" t="s">
        <v>3316</v>
      </c>
      <c r="C1013" s="129" t="s">
        <v>3309</v>
      </c>
      <c r="D1013" s="137" t="s">
        <v>3029</v>
      </c>
      <c r="E1013" s="84" t="s">
        <v>3317</v>
      </c>
      <c r="F1013" s="118"/>
      <c r="G1013" s="131"/>
      <c r="H1013" s="186" t="s">
        <v>1058</v>
      </c>
      <c r="I1013" s="125" t="s">
        <v>323</v>
      </c>
      <c r="J1013" s="125" t="s">
        <v>330</v>
      </c>
      <c r="K1013" s="125" t="s">
        <v>1061</v>
      </c>
      <c r="L1013" s="138" t="s">
        <v>507</v>
      </c>
      <c r="M1013" s="138" t="s">
        <v>508</v>
      </c>
    </row>
    <row r="1014" spans="1:13" s="114" customFormat="1" ht="25.5">
      <c r="A1014" s="136">
        <v>1012</v>
      </c>
      <c r="B1014" s="129" t="s">
        <v>3318</v>
      </c>
      <c r="C1014" s="129" t="s">
        <v>3319</v>
      </c>
      <c r="D1014" s="137" t="s">
        <v>3017</v>
      </c>
      <c r="E1014" s="84" t="s">
        <v>3320</v>
      </c>
      <c r="F1014" s="118"/>
      <c r="G1014" s="131"/>
      <c r="H1014" s="186" t="s">
        <v>2582</v>
      </c>
      <c r="I1014" s="125" t="s">
        <v>326</v>
      </c>
      <c r="J1014" s="125" t="s">
        <v>341</v>
      </c>
      <c r="K1014" s="125" t="s">
        <v>570</v>
      </c>
      <c r="L1014" s="138" t="s">
        <v>507</v>
      </c>
      <c r="M1014" s="138" t="s">
        <v>508</v>
      </c>
    </row>
    <row r="1015" spans="1:13" s="114" customFormat="1" ht="25.5">
      <c r="A1015" s="136">
        <v>1013</v>
      </c>
      <c r="B1015" s="129" t="s">
        <v>3321</v>
      </c>
      <c r="C1015" s="129" t="s">
        <v>3322</v>
      </c>
      <c r="D1015" s="137" t="s">
        <v>3017</v>
      </c>
      <c r="E1015" s="84" t="s">
        <v>3323</v>
      </c>
      <c r="F1015" s="113"/>
      <c r="G1015" s="131"/>
      <c r="H1015" s="186" t="s">
        <v>896</v>
      </c>
      <c r="I1015" s="125" t="s">
        <v>326</v>
      </c>
      <c r="J1015" s="125" t="s">
        <v>341</v>
      </c>
      <c r="K1015" s="125" t="s">
        <v>580</v>
      </c>
      <c r="L1015" s="138" t="s">
        <v>507</v>
      </c>
      <c r="M1015" s="138" t="s">
        <v>508</v>
      </c>
    </row>
    <row r="1016" spans="1:13" s="114" customFormat="1" ht="38.25">
      <c r="A1016" s="136">
        <v>1014</v>
      </c>
      <c r="B1016" s="129" t="s">
        <v>3324</v>
      </c>
      <c r="C1016" s="129" t="s">
        <v>3325</v>
      </c>
      <c r="D1016" s="137" t="s">
        <v>3326</v>
      </c>
      <c r="E1016" s="84" t="s">
        <v>3327</v>
      </c>
      <c r="F1016" s="118"/>
      <c r="G1016" s="131"/>
      <c r="H1016" s="186" t="s">
        <v>509</v>
      </c>
      <c r="I1016" s="107" t="s">
        <v>326</v>
      </c>
      <c r="J1016" s="136" t="s">
        <v>331</v>
      </c>
      <c r="K1016" s="136" t="s">
        <v>512</v>
      </c>
      <c r="L1016" s="138" t="s">
        <v>507</v>
      </c>
      <c r="M1016" s="138" t="s">
        <v>508</v>
      </c>
    </row>
    <row r="1017" spans="1:13" s="114" customFormat="1" ht="25.5">
      <c r="A1017" s="136">
        <v>1015</v>
      </c>
      <c r="B1017" s="129" t="s">
        <v>3328</v>
      </c>
      <c r="C1017" s="129" t="s">
        <v>3329</v>
      </c>
      <c r="D1017" s="137" t="s">
        <v>3326</v>
      </c>
      <c r="E1017" s="84" t="s">
        <v>3330</v>
      </c>
      <c r="F1017" s="118"/>
      <c r="G1017" s="131"/>
      <c r="H1017" s="186" t="s">
        <v>1218</v>
      </c>
      <c r="I1017" s="107" t="s">
        <v>326</v>
      </c>
      <c r="J1017" s="136" t="s">
        <v>331</v>
      </c>
      <c r="K1017" s="136" t="s">
        <v>1178</v>
      </c>
      <c r="L1017" s="138" t="s">
        <v>507</v>
      </c>
      <c r="M1017" s="138" t="s">
        <v>508</v>
      </c>
    </row>
    <row r="1018" spans="1:13" s="114" customFormat="1" ht="25.5">
      <c r="A1018" s="136">
        <v>1016</v>
      </c>
      <c r="B1018" s="129" t="s">
        <v>3331</v>
      </c>
      <c r="C1018" s="129" t="s">
        <v>3332</v>
      </c>
      <c r="D1018" s="140" t="s">
        <v>3333</v>
      </c>
      <c r="E1018" s="84" t="s">
        <v>3334</v>
      </c>
      <c r="F1018" s="84"/>
      <c r="G1018" s="131"/>
      <c r="H1018" s="186" t="s">
        <v>1221</v>
      </c>
      <c r="I1018" s="107" t="s">
        <v>326</v>
      </c>
      <c r="J1018" s="136" t="s">
        <v>331</v>
      </c>
      <c r="K1018" s="136" t="s">
        <v>1178</v>
      </c>
      <c r="L1018" s="138" t="s">
        <v>507</v>
      </c>
      <c r="M1018" s="138" t="s">
        <v>508</v>
      </c>
    </row>
    <row r="1019" spans="1:13" s="114" customFormat="1" ht="38.25">
      <c r="A1019" s="136">
        <v>1017</v>
      </c>
      <c r="B1019" s="129" t="s">
        <v>3335</v>
      </c>
      <c r="C1019" s="129" t="s">
        <v>3336</v>
      </c>
      <c r="D1019" s="140" t="s">
        <v>3337</v>
      </c>
      <c r="E1019" s="84" t="s">
        <v>3338</v>
      </c>
      <c r="F1019" s="118"/>
      <c r="G1019" s="131"/>
      <c r="H1019" s="186" t="s">
        <v>2356</v>
      </c>
      <c r="I1019" s="107" t="s">
        <v>326</v>
      </c>
      <c r="J1019" s="136" t="s">
        <v>331</v>
      </c>
      <c r="K1019" s="136" t="s">
        <v>512</v>
      </c>
      <c r="L1019" s="138" t="s">
        <v>507</v>
      </c>
      <c r="M1019" s="138" t="s">
        <v>508</v>
      </c>
    </row>
    <row r="1020" spans="1:13" s="114" customFormat="1" ht="25.5">
      <c r="A1020" s="136">
        <v>1018</v>
      </c>
      <c r="B1020" s="129" t="s">
        <v>3038</v>
      </c>
      <c r="C1020" s="129" t="s">
        <v>3339</v>
      </c>
      <c r="D1020" s="140" t="s">
        <v>3340</v>
      </c>
      <c r="E1020" s="84" t="s">
        <v>3341</v>
      </c>
      <c r="F1020" s="84"/>
      <c r="G1020" s="131"/>
      <c r="H1020" s="186" t="s">
        <v>3342</v>
      </c>
      <c r="I1020" s="107" t="s">
        <v>326</v>
      </c>
      <c r="J1020" s="136" t="s">
        <v>331</v>
      </c>
      <c r="K1020" s="136" t="s">
        <v>1178</v>
      </c>
      <c r="L1020" s="138" t="s">
        <v>507</v>
      </c>
      <c r="M1020" s="138" t="s">
        <v>508</v>
      </c>
    </row>
    <row r="1021" spans="1:13" s="114" customFormat="1" ht="38.25">
      <c r="A1021" s="136">
        <v>1019</v>
      </c>
      <c r="B1021" s="129" t="s">
        <v>3343</v>
      </c>
      <c r="C1021" s="129" t="s">
        <v>3339</v>
      </c>
      <c r="D1021" s="140" t="s">
        <v>3340</v>
      </c>
      <c r="E1021" s="84" t="s">
        <v>3344</v>
      </c>
      <c r="F1021" s="118"/>
      <c r="G1021" s="131"/>
      <c r="H1021" s="186" t="s">
        <v>513</v>
      </c>
      <c r="I1021" s="107" t="s">
        <v>326</v>
      </c>
      <c r="J1021" s="136" t="s">
        <v>331</v>
      </c>
      <c r="K1021" s="136" t="s">
        <v>512</v>
      </c>
      <c r="L1021" s="138" t="s">
        <v>507</v>
      </c>
      <c r="M1021" s="138" t="s">
        <v>508</v>
      </c>
    </row>
    <row r="1022" spans="1:13" s="114" customFormat="1" ht="51">
      <c r="A1022" s="136">
        <v>1020</v>
      </c>
      <c r="B1022" s="129" t="s">
        <v>3345</v>
      </c>
      <c r="C1022" s="129" t="s">
        <v>3339</v>
      </c>
      <c r="D1022" s="140" t="s">
        <v>3340</v>
      </c>
      <c r="E1022" s="84" t="s">
        <v>3346</v>
      </c>
      <c r="F1022" s="113"/>
      <c r="G1022" s="131"/>
      <c r="H1022" s="186" t="s">
        <v>1148</v>
      </c>
      <c r="I1022" s="107" t="s">
        <v>326</v>
      </c>
      <c r="J1022" s="136" t="s">
        <v>331</v>
      </c>
      <c r="K1022" s="136" t="s">
        <v>530</v>
      </c>
      <c r="L1022" s="138" t="s">
        <v>507</v>
      </c>
      <c r="M1022" s="138" t="s">
        <v>508</v>
      </c>
    </row>
    <row r="1023" spans="1:13" s="114" customFormat="1" ht="25.5">
      <c r="A1023" s="136">
        <v>1021</v>
      </c>
      <c r="B1023" s="129" t="s">
        <v>3347</v>
      </c>
      <c r="C1023" s="129" t="s">
        <v>3339</v>
      </c>
      <c r="D1023" s="140" t="s">
        <v>3340</v>
      </c>
      <c r="E1023" s="84" t="s">
        <v>3348</v>
      </c>
      <c r="F1023" s="113"/>
      <c r="G1023" s="131"/>
      <c r="H1023" s="186" t="s">
        <v>3038</v>
      </c>
      <c r="I1023" s="107" t="s">
        <v>326</v>
      </c>
      <c r="J1023" s="136" t="s">
        <v>331</v>
      </c>
      <c r="K1023" s="136" t="s">
        <v>1178</v>
      </c>
      <c r="L1023" s="138" t="s">
        <v>507</v>
      </c>
      <c r="M1023" s="138" t="s">
        <v>508</v>
      </c>
    </row>
    <row r="1024" spans="1:13" s="114" customFormat="1" ht="51">
      <c r="A1024" s="136">
        <v>1022</v>
      </c>
      <c r="B1024" s="129" t="s">
        <v>3349</v>
      </c>
      <c r="C1024" s="129" t="s">
        <v>3350</v>
      </c>
      <c r="D1024" s="140" t="s">
        <v>3337</v>
      </c>
      <c r="E1024" s="84" t="s">
        <v>3351</v>
      </c>
      <c r="F1024" s="118"/>
      <c r="G1024" s="131"/>
      <c r="H1024" s="186" t="s">
        <v>608</v>
      </c>
      <c r="I1024" s="107" t="s">
        <v>326</v>
      </c>
      <c r="J1024" s="136" t="s">
        <v>331</v>
      </c>
      <c r="K1024" s="136" t="s">
        <v>530</v>
      </c>
      <c r="L1024" s="138" t="s">
        <v>507</v>
      </c>
      <c r="M1024" s="138" t="s">
        <v>508</v>
      </c>
    </row>
    <row r="1025" spans="1:13" s="114" customFormat="1" ht="51">
      <c r="A1025" s="136">
        <v>1023</v>
      </c>
      <c r="B1025" s="129" t="s">
        <v>3352</v>
      </c>
      <c r="C1025" s="129" t="s">
        <v>3353</v>
      </c>
      <c r="D1025" s="140" t="s">
        <v>3354</v>
      </c>
      <c r="E1025" s="84" t="s">
        <v>3355</v>
      </c>
      <c r="F1025" s="118"/>
      <c r="G1025" s="131"/>
      <c r="H1025" s="186" t="s">
        <v>1148</v>
      </c>
      <c r="I1025" s="107" t="s">
        <v>326</v>
      </c>
      <c r="J1025" s="136" t="s">
        <v>331</v>
      </c>
      <c r="K1025" s="136" t="s">
        <v>530</v>
      </c>
      <c r="L1025" s="138" t="s">
        <v>507</v>
      </c>
      <c r="M1025" s="138" t="s">
        <v>508</v>
      </c>
    </row>
    <row r="1026" spans="1:13" s="114" customFormat="1" ht="51">
      <c r="A1026" s="136">
        <v>1024</v>
      </c>
      <c r="B1026" s="129" t="s">
        <v>3356</v>
      </c>
      <c r="C1026" s="129" t="s">
        <v>3357</v>
      </c>
      <c r="D1026" s="140" t="s">
        <v>3354</v>
      </c>
      <c r="E1026" s="84" t="s">
        <v>3358</v>
      </c>
      <c r="F1026" s="118"/>
      <c r="G1026" s="131"/>
      <c r="H1026" s="186" t="s">
        <v>1148</v>
      </c>
      <c r="I1026" s="107" t="s">
        <v>326</v>
      </c>
      <c r="J1026" s="136" t="s">
        <v>331</v>
      </c>
      <c r="K1026" s="136" t="s">
        <v>530</v>
      </c>
      <c r="L1026" s="138" t="s">
        <v>507</v>
      </c>
      <c r="M1026" s="138" t="s">
        <v>508</v>
      </c>
    </row>
    <row r="1027" spans="1:13" s="114" customFormat="1" ht="51">
      <c r="A1027" s="136">
        <v>1025</v>
      </c>
      <c r="B1027" s="129" t="s">
        <v>3359</v>
      </c>
      <c r="C1027" s="129" t="s">
        <v>3360</v>
      </c>
      <c r="D1027" s="140" t="s">
        <v>3354</v>
      </c>
      <c r="E1027" s="84" t="s">
        <v>3361</v>
      </c>
      <c r="F1027" s="118"/>
      <c r="G1027" s="131"/>
      <c r="H1027" s="186" t="s">
        <v>1148</v>
      </c>
      <c r="I1027" s="107" t="s">
        <v>326</v>
      </c>
      <c r="J1027" s="136" t="s">
        <v>331</v>
      </c>
      <c r="K1027" s="136" t="s">
        <v>530</v>
      </c>
      <c r="L1027" s="138" t="s">
        <v>507</v>
      </c>
      <c r="M1027" s="138" t="s">
        <v>508</v>
      </c>
    </row>
    <row r="1028" spans="1:13" s="114" customFormat="1" ht="51">
      <c r="A1028" s="136">
        <v>1026</v>
      </c>
      <c r="B1028" s="129" t="s">
        <v>3362</v>
      </c>
      <c r="C1028" s="129" t="s">
        <v>3363</v>
      </c>
      <c r="D1028" s="140" t="s">
        <v>3364</v>
      </c>
      <c r="E1028" s="84" t="s">
        <v>3365</v>
      </c>
      <c r="F1028" s="113"/>
      <c r="G1028" s="131"/>
      <c r="H1028" s="186" t="s">
        <v>2060</v>
      </c>
      <c r="I1028" s="107" t="s">
        <v>326</v>
      </c>
      <c r="J1028" s="136" t="s">
        <v>352</v>
      </c>
      <c r="K1028" s="136" t="s">
        <v>597</v>
      </c>
      <c r="L1028" s="138" t="s">
        <v>314</v>
      </c>
      <c r="M1028" s="138" t="s">
        <v>953</v>
      </c>
    </row>
    <row r="1029" spans="1:13" s="114" customFormat="1" ht="51">
      <c r="A1029" s="136">
        <v>1027</v>
      </c>
      <c r="B1029" s="129" t="s">
        <v>3366</v>
      </c>
      <c r="C1029" s="129" t="s">
        <v>3363</v>
      </c>
      <c r="D1029" s="140" t="s">
        <v>3364</v>
      </c>
      <c r="E1029" s="84" t="s">
        <v>3367</v>
      </c>
      <c r="F1029" s="113"/>
      <c r="G1029" s="131"/>
      <c r="H1029" s="186" t="s">
        <v>2157</v>
      </c>
      <c r="I1029" s="107" t="s">
        <v>326</v>
      </c>
      <c r="J1029" s="136" t="s">
        <v>331</v>
      </c>
      <c r="K1029" s="136" t="s">
        <v>1191</v>
      </c>
      <c r="L1029" s="138" t="s">
        <v>314</v>
      </c>
      <c r="M1029" s="138" t="s">
        <v>953</v>
      </c>
    </row>
    <row r="1030" spans="1:13" s="114" customFormat="1" ht="51">
      <c r="A1030" s="136">
        <v>1028</v>
      </c>
      <c r="B1030" s="129" t="s">
        <v>3368</v>
      </c>
      <c r="C1030" s="129" t="s">
        <v>3369</v>
      </c>
      <c r="D1030" s="140" t="s">
        <v>3370</v>
      </c>
      <c r="E1030" s="84" t="s">
        <v>3371</v>
      </c>
      <c r="F1030" s="113"/>
      <c r="G1030" s="131"/>
      <c r="H1030" s="186" t="s">
        <v>2060</v>
      </c>
      <c r="I1030" s="107" t="s">
        <v>326</v>
      </c>
      <c r="J1030" s="136" t="s">
        <v>352</v>
      </c>
      <c r="K1030" s="136" t="s">
        <v>597</v>
      </c>
      <c r="L1030" s="138" t="s">
        <v>314</v>
      </c>
      <c r="M1030" s="138" t="s">
        <v>953</v>
      </c>
    </row>
    <row r="1031" spans="1:13" s="114" customFormat="1" ht="51">
      <c r="A1031" s="136">
        <v>1029</v>
      </c>
      <c r="B1031" s="129" t="s">
        <v>3372</v>
      </c>
      <c r="C1031" s="129" t="s">
        <v>3369</v>
      </c>
      <c r="D1031" s="140" t="s">
        <v>3370</v>
      </c>
      <c r="E1031" s="84" t="s">
        <v>3373</v>
      </c>
      <c r="F1031" s="113"/>
      <c r="G1031" s="131"/>
      <c r="H1031" s="186" t="s">
        <v>2157</v>
      </c>
      <c r="I1031" s="107" t="s">
        <v>326</v>
      </c>
      <c r="J1031" s="136" t="s">
        <v>331</v>
      </c>
      <c r="K1031" s="136" t="s">
        <v>1191</v>
      </c>
      <c r="L1031" s="138" t="s">
        <v>314</v>
      </c>
      <c r="M1031" s="138" t="s">
        <v>953</v>
      </c>
    </row>
    <row r="1032" spans="1:13" s="114" customFormat="1" ht="51">
      <c r="A1032" s="136">
        <v>1030</v>
      </c>
      <c r="B1032" s="129" t="s">
        <v>3374</v>
      </c>
      <c r="C1032" s="129" t="s">
        <v>3369</v>
      </c>
      <c r="D1032" s="140" t="s">
        <v>3370</v>
      </c>
      <c r="E1032" s="84" t="s">
        <v>3375</v>
      </c>
      <c r="F1032" s="113"/>
      <c r="G1032" s="131"/>
      <c r="H1032" s="186" t="s">
        <v>974</v>
      </c>
      <c r="I1032" s="107" t="s">
        <v>326</v>
      </c>
      <c r="J1032" s="136" t="s">
        <v>352</v>
      </c>
      <c r="K1032" s="136" t="s">
        <v>597</v>
      </c>
      <c r="L1032" s="138" t="s">
        <v>314</v>
      </c>
      <c r="M1032" s="138" t="s">
        <v>953</v>
      </c>
    </row>
    <row r="1033" spans="1:13" s="114" customFormat="1" ht="25.5">
      <c r="A1033" s="136">
        <v>1031</v>
      </c>
      <c r="B1033" s="129" t="s">
        <v>3376</v>
      </c>
      <c r="C1033" s="129" t="s">
        <v>2328</v>
      </c>
      <c r="D1033" s="140" t="s">
        <v>3377</v>
      </c>
      <c r="E1033" s="84" t="s">
        <v>3378</v>
      </c>
      <c r="F1033" s="113"/>
      <c r="G1033" s="131"/>
      <c r="H1033" s="186" t="s">
        <v>1603</v>
      </c>
      <c r="I1033" s="107" t="s">
        <v>326</v>
      </c>
      <c r="J1033" s="136" t="s">
        <v>352</v>
      </c>
      <c r="K1033" s="136" t="s">
        <v>597</v>
      </c>
      <c r="L1033" s="138" t="s">
        <v>507</v>
      </c>
      <c r="M1033" s="138" t="s">
        <v>508</v>
      </c>
    </row>
    <row r="1034" spans="1:13" s="114" customFormat="1" ht="51">
      <c r="A1034" s="136">
        <v>1032</v>
      </c>
      <c r="B1034" s="129" t="s">
        <v>3379</v>
      </c>
      <c r="C1034" s="129" t="s">
        <v>3380</v>
      </c>
      <c r="D1034" s="140" t="s">
        <v>3370</v>
      </c>
      <c r="E1034" s="84" t="s">
        <v>3381</v>
      </c>
      <c r="F1034" s="118"/>
      <c r="G1034" s="131"/>
      <c r="H1034" s="186" t="s">
        <v>2060</v>
      </c>
      <c r="I1034" s="107" t="s">
        <v>326</v>
      </c>
      <c r="J1034" s="136" t="s">
        <v>352</v>
      </c>
      <c r="K1034" s="136" t="s">
        <v>597</v>
      </c>
      <c r="L1034" s="138" t="s">
        <v>314</v>
      </c>
      <c r="M1034" s="138" t="s">
        <v>953</v>
      </c>
    </row>
    <row r="1035" spans="1:13" s="114" customFormat="1" ht="51">
      <c r="A1035" s="136">
        <v>1033</v>
      </c>
      <c r="B1035" s="129" t="s">
        <v>3382</v>
      </c>
      <c r="C1035" s="129" t="s">
        <v>3383</v>
      </c>
      <c r="D1035" s="137" t="s">
        <v>3326</v>
      </c>
      <c r="E1035" s="84" t="s">
        <v>3384</v>
      </c>
      <c r="F1035" s="118"/>
      <c r="G1035" s="131"/>
      <c r="H1035" s="186" t="s">
        <v>974</v>
      </c>
      <c r="I1035" s="107" t="s">
        <v>326</v>
      </c>
      <c r="J1035" s="136" t="s">
        <v>352</v>
      </c>
      <c r="K1035" s="136" t="s">
        <v>597</v>
      </c>
      <c r="L1035" s="138" t="s">
        <v>314</v>
      </c>
      <c r="M1035" s="138" t="s">
        <v>953</v>
      </c>
    </row>
    <row r="1036" spans="1:13" s="114" customFormat="1" ht="51">
      <c r="A1036" s="136">
        <v>1034</v>
      </c>
      <c r="B1036" s="129" t="s">
        <v>3385</v>
      </c>
      <c r="C1036" s="129" t="s">
        <v>3383</v>
      </c>
      <c r="D1036" s="137" t="s">
        <v>3326</v>
      </c>
      <c r="E1036" s="84" t="s">
        <v>3386</v>
      </c>
      <c r="F1036" s="118"/>
      <c r="G1036" s="131"/>
      <c r="H1036" s="186" t="s">
        <v>1586</v>
      </c>
      <c r="I1036" s="107" t="s">
        <v>326</v>
      </c>
      <c r="J1036" s="136" t="s">
        <v>331</v>
      </c>
      <c r="K1036" s="136" t="s">
        <v>1191</v>
      </c>
      <c r="L1036" s="138" t="s">
        <v>314</v>
      </c>
      <c r="M1036" s="138" t="s">
        <v>953</v>
      </c>
    </row>
    <row r="1037" spans="1:13" s="114" customFormat="1" ht="25.5">
      <c r="A1037" s="136">
        <v>1035</v>
      </c>
      <c r="B1037" s="129" t="s">
        <v>3387</v>
      </c>
      <c r="C1037" s="129" t="s">
        <v>3388</v>
      </c>
      <c r="D1037" s="140" t="s">
        <v>3340</v>
      </c>
      <c r="E1037" s="84" t="s">
        <v>3389</v>
      </c>
      <c r="F1037" s="118"/>
      <c r="G1037" s="131"/>
      <c r="H1037" s="186" t="s">
        <v>1650</v>
      </c>
      <c r="I1037" s="107" t="s">
        <v>326</v>
      </c>
      <c r="J1037" s="136" t="s">
        <v>341</v>
      </c>
      <c r="K1037" s="125" t="s">
        <v>580</v>
      </c>
      <c r="L1037" s="138" t="s">
        <v>507</v>
      </c>
      <c r="M1037" s="138" t="s">
        <v>508</v>
      </c>
    </row>
    <row r="1038" spans="1:13" s="114" customFormat="1" ht="38.25">
      <c r="A1038" s="136">
        <v>1036</v>
      </c>
      <c r="B1038" s="129" t="s">
        <v>3390</v>
      </c>
      <c r="C1038" s="129" t="s">
        <v>3388</v>
      </c>
      <c r="D1038" s="140" t="s">
        <v>3340</v>
      </c>
      <c r="E1038" s="84" t="s">
        <v>3391</v>
      </c>
      <c r="F1038" s="113"/>
      <c r="G1038" s="131"/>
      <c r="H1038" s="186" t="s">
        <v>896</v>
      </c>
      <c r="I1038" s="107" t="s">
        <v>326</v>
      </c>
      <c r="J1038" s="136" t="s">
        <v>341</v>
      </c>
      <c r="K1038" s="125" t="s">
        <v>580</v>
      </c>
      <c r="L1038" s="138" t="s">
        <v>507</v>
      </c>
      <c r="M1038" s="138" t="s">
        <v>508</v>
      </c>
    </row>
    <row r="1039" spans="1:13" s="114" customFormat="1" ht="51">
      <c r="A1039" s="136">
        <v>1037</v>
      </c>
      <c r="B1039" s="129" t="s">
        <v>3392</v>
      </c>
      <c r="C1039" s="129" t="s">
        <v>3388</v>
      </c>
      <c r="D1039" s="140" t="s">
        <v>3340</v>
      </c>
      <c r="E1039" s="84" t="s">
        <v>3393</v>
      </c>
      <c r="F1039" s="113"/>
      <c r="G1039" s="131"/>
      <c r="H1039" s="186" t="s">
        <v>896</v>
      </c>
      <c r="I1039" s="107" t="s">
        <v>326</v>
      </c>
      <c r="J1039" s="136" t="s">
        <v>341</v>
      </c>
      <c r="K1039" s="136" t="s">
        <v>580</v>
      </c>
      <c r="L1039" s="138" t="s">
        <v>507</v>
      </c>
      <c r="M1039" s="138" t="s">
        <v>508</v>
      </c>
    </row>
    <row r="1040" spans="1:13" s="114" customFormat="1" ht="25.5">
      <c r="A1040" s="136">
        <v>1038</v>
      </c>
      <c r="B1040" s="129" t="s">
        <v>3394</v>
      </c>
      <c r="C1040" s="129" t="s">
        <v>3395</v>
      </c>
      <c r="D1040" s="140" t="s">
        <v>3377</v>
      </c>
      <c r="E1040" s="84" t="s">
        <v>3396</v>
      </c>
      <c r="F1040" s="118"/>
      <c r="G1040" s="131"/>
      <c r="H1040" s="186" t="s">
        <v>596</v>
      </c>
      <c r="I1040" s="107" t="s">
        <v>326</v>
      </c>
      <c r="J1040" s="136" t="s">
        <v>352</v>
      </c>
      <c r="K1040" s="136" t="s">
        <v>597</v>
      </c>
      <c r="L1040" s="138" t="s">
        <v>507</v>
      </c>
      <c r="M1040" s="138" t="s">
        <v>508</v>
      </c>
    </row>
    <row r="1041" spans="1:13" s="114" customFormat="1" ht="38.25">
      <c r="A1041" s="136">
        <v>1039</v>
      </c>
      <c r="B1041" s="129" t="s">
        <v>3397</v>
      </c>
      <c r="C1041" s="129" t="s">
        <v>3398</v>
      </c>
      <c r="D1041" s="137" t="s">
        <v>3326</v>
      </c>
      <c r="E1041" s="84" t="s">
        <v>3399</v>
      </c>
      <c r="F1041" s="113"/>
      <c r="G1041" s="131"/>
      <c r="H1041" s="186" t="s">
        <v>817</v>
      </c>
      <c r="I1041" s="107" t="s">
        <v>326</v>
      </c>
      <c r="J1041" s="136" t="s">
        <v>352</v>
      </c>
      <c r="K1041" s="136" t="s">
        <v>526</v>
      </c>
      <c r="L1041" s="138" t="s">
        <v>507</v>
      </c>
      <c r="M1041" s="138" t="s">
        <v>508</v>
      </c>
    </row>
    <row r="1042" spans="1:13" s="114" customFormat="1" ht="38.25">
      <c r="A1042" s="136">
        <v>1040</v>
      </c>
      <c r="B1042" s="129" t="s">
        <v>3400</v>
      </c>
      <c r="C1042" s="129">
        <v>8.3000000000000007</v>
      </c>
      <c r="D1042" s="137" t="s">
        <v>3401</v>
      </c>
      <c r="E1042" s="84" t="s">
        <v>3402</v>
      </c>
      <c r="F1042" s="118"/>
      <c r="G1042" s="131"/>
      <c r="H1042" s="186" t="s">
        <v>1826</v>
      </c>
      <c r="I1042" s="107" t="s">
        <v>327</v>
      </c>
      <c r="J1042" s="136" t="s">
        <v>337</v>
      </c>
      <c r="K1042" s="136" t="s">
        <v>1827</v>
      </c>
      <c r="L1042" s="138" t="s">
        <v>507</v>
      </c>
      <c r="M1042" s="138" t="s">
        <v>508</v>
      </c>
    </row>
    <row r="1043" spans="1:13" s="114" customFormat="1" ht="63.75">
      <c r="A1043" s="136">
        <v>1041</v>
      </c>
      <c r="B1043" s="129" t="s">
        <v>3403</v>
      </c>
      <c r="C1043" s="129">
        <v>8.3000000000000007</v>
      </c>
      <c r="D1043" s="137" t="s">
        <v>3401</v>
      </c>
      <c r="E1043" s="84" t="s">
        <v>3404</v>
      </c>
      <c r="F1043" s="113"/>
      <c r="G1043" s="131"/>
      <c r="H1043" s="186" t="s">
        <v>2632</v>
      </c>
      <c r="I1043" s="107" t="s">
        <v>326</v>
      </c>
      <c r="J1043" s="136" t="s">
        <v>346</v>
      </c>
      <c r="K1043" s="136" t="s">
        <v>1465</v>
      </c>
      <c r="L1043" s="138" t="s">
        <v>314</v>
      </c>
      <c r="M1043" s="138" t="s">
        <v>953</v>
      </c>
    </row>
    <row r="1044" spans="1:13" s="114" customFormat="1" ht="51">
      <c r="A1044" s="136">
        <v>1042</v>
      </c>
      <c r="B1044" s="129" t="s">
        <v>3405</v>
      </c>
      <c r="C1044" s="129" t="s">
        <v>3406</v>
      </c>
      <c r="D1044" s="137" t="s">
        <v>3326</v>
      </c>
      <c r="E1044" s="84" t="s">
        <v>3407</v>
      </c>
      <c r="F1044" s="113"/>
      <c r="G1044" s="131"/>
      <c r="H1044" s="186" t="s">
        <v>1437</v>
      </c>
      <c r="I1044" s="107" t="s">
        <v>327</v>
      </c>
      <c r="J1044" s="136" t="s">
        <v>337</v>
      </c>
      <c r="K1044" s="136" t="s">
        <v>1440</v>
      </c>
      <c r="L1044" s="138" t="s">
        <v>314</v>
      </c>
      <c r="M1044" s="138" t="s">
        <v>953</v>
      </c>
    </row>
    <row r="1045" spans="1:13" s="114" customFormat="1" ht="38.25">
      <c r="A1045" s="136">
        <v>1043</v>
      </c>
      <c r="B1045" s="129" t="s">
        <v>3408</v>
      </c>
      <c r="C1045" s="129" t="s">
        <v>3409</v>
      </c>
      <c r="D1045" s="140" t="s">
        <v>3364</v>
      </c>
      <c r="E1045" s="84" t="s">
        <v>3410</v>
      </c>
      <c r="F1045" s="113"/>
      <c r="G1045" s="131"/>
      <c r="H1045" s="186" t="s">
        <v>1462</v>
      </c>
      <c r="I1045" s="107" t="s">
        <v>326</v>
      </c>
      <c r="J1045" s="136" t="s">
        <v>346</v>
      </c>
      <c r="K1045" s="136" t="s">
        <v>1465</v>
      </c>
      <c r="L1045" s="138" t="s">
        <v>507</v>
      </c>
      <c r="M1045" s="138" t="s">
        <v>508</v>
      </c>
    </row>
    <row r="1046" spans="1:13" s="114" customFormat="1" ht="51">
      <c r="A1046" s="136">
        <v>1044</v>
      </c>
      <c r="B1046" s="129" t="s">
        <v>3411</v>
      </c>
      <c r="C1046" s="129" t="s">
        <v>3409</v>
      </c>
      <c r="D1046" s="140" t="s">
        <v>3364</v>
      </c>
      <c r="E1046" s="84" t="s">
        <v>3412</v>
      </c>
      <c r="F1046" s="113"/>
      <c r="G1046" s="131"/>
      <c r="H1046" s="186" t="s">
        <v>1462</v>
      </c>
      <c r="I1046" s="107" t="s">
        <v>326</v>
      </c>
      <c r="J1046" s="136" t="s">
        <v>346</v>
      </c>
      <c r="K1046" s="136" t="s">
        <v>1465</v>
      </c>
      <c r="L1046" s="138" t="s">
        <v>507</v>
      </c>
      <c r="M1046" s="138" t="s">
        <v>508</v>
      </c>
    </row>
    <row r="1047" spans="1:13" s="114" customFormat="1" ht="38.25">
      <c r="A1047" s="136">
        <v>1045</v>
      </c>
      <c r="B1047" s="129" t="s">
        <v>3413</v>
      </c>
      <c r="C1047" s="129" t="s">
        <v>3409</v>
      </c>
      <c r="D1047" s="140" t="s">
        <v>3364</v>
      </c>
      <c r="E1047" s="84" t="s">
        <v>3414</v>
      </c>
      <c r="F1047" s="118"/>
      <c r="G1047" s="131"/>
      <c r="H1047" s="186" t="s">
        <v>1462</v>
      </c>
      <c r="I1047" s="107" t="s">
        <v>326</v>
      </c>
      <c r="J1047" s="136" t="s">
        <v>346</v>
      </c>
      <c r="K1047" s="136" t="s">
        <v>1465</v>
      </c>
      <c r="L1047" s="138" t="s">
        <v>507</v>
      </c>
      <c r="M1047" s="138" t="s">
        <v>508</v>
      </c>
    </row>
    <row r="1048" spans="1:13" s="114" customFormat="1" ht="25.5">
      <c r="A1048" s="136">
        <v>1046</v>
      </c>
      <c r="B1048" s="129" t="s">
        <v>3415</v>
      </c>
      <c r="C1048" s="129" t="s">
        <v>3416</v>
      </c>
      <c r="D1048" s="137" t="s">
        <v>3326</v>
      </c>
      <c r="E1048" s="84" t="s">
        <v>3417</v>
      </c>
      <c r="F1048" s="113"/>
      <c r="G1048" s="131"/>
      <c r="H1048" s="186" t="s">
        <v>1462</v>
      </c>
      <c r="I1048" s="107" t="s">
        <v>326</v>
      </c>
      <c r="J1048" s="136" t="s">
        <v>346</v>
      </c>
      <c r="K1048" s="136" t="s">
        <v>1465</v>
      </c>
      <c r="L1048" s="138" t="s">
        <v>507</v>
      </c>
      <c r="M1048" s="138" t="s">
        <v>508</v>
      </c>
    </row>
    <row r="1049" spans="1:13" s="114" customFormat="1" ht="38.25">
      <c r="A1049" s="136">
        <v>1047</v>
      </c>
      <c r="B1049" s="129" t="s">
        <v>3418</v>
      </c>
      <c r="C1049" s="129" t="s">
        <v>3416</v>
      </c>
      <c r="D1049" s="137" t="s">
        <v>3326</v>
      </c>
      <c r="E1049" s="84" t="s">
        <v>3419</v>
      </c>
      <c r="F1049" s="113"/>
      <c r="G1049" s="131"/>
      <c r="H1049" s="186" t="s">
        <v>1836</v>
      </c>
      <c r="I1049" s="107" t="s">
        <v>326</v>
      </c>
      <c r="J1049" s="136" t="s">
        <v>349</v>
      </c>
      <c r="K1049" s="136" t="s">
        <v>1336</v>
      </c>
      <c r="L1049" s="138" t="s">
        <v>507</v>
      </c>
      <c r="M1049" s="138" t="s">
        <v>508</v>
      </c>
    </row>
    <row r="1050" spans="1:13" s="114" customFormat="1" ht="38.25">
      <c r="A1050" s="136">
        <v>1048</v>
      </c>
      <c r="B1050" s="129" t="s">
        <v>3420</v>
      </c>
      <c r="C1050" s="129" t="s">
        <v>3421</v>
      </c>
      <c r="D1050" s="140" t="s">
        <v>3340</v>
      </c>
      <c r="E1050" s="84" t="s">
        <v>3422</v>
      </c>
      <c r="F1050" s="118"/>
      <c r="G1050" s="131"/>
      <c r="H1050" s="186" t="s">
        <v>1462</v>
      </c>
      <c r="I1050" s="107" t="s">
        <v>326</v>
      </c>
      <c r="J1050" s="136" t="s">
        <v>346</v>
      </c>
      <c r="K1050" s="136" t="s">
        <v>1465</v>
      </c>
      <c r="L1050" s="138" t="s">
        <v>507</v>
      </c>
      <c r="M1050" s="138" t="s">
        <v>508</v>
      </c>
    </row>
    <row r="1051" spans="1:13" s="114" customFormat="1" ht="51">
      <c r="A1051" s="136">
        <v>1049</v>
      </c>
      <c r="B1051" s="129" t="s">
        <v>3423</v>
      </c>
      <c r="C1051" s="129" t="s">
        <v>3424</v>
      </c>
      <c r="D1051" s="140" t="s">
        <v>3340</v>
      </c>
      <c r="E1051" s="84" t="s">
        <v>3425</v>
      </c>
      <c r="F1051" s="118"/>
      <c r="G1051" s="131"/>
      <c r="H1051" s="186" t="s">
        <v>1891</v>
      </c>
      <c r="I1051" s="107" t="s">
        <v>327</v>
      </c>
      <c r="J1051" s="136" t="s">
        <v>332</v>
      </c>
      <c r="K1051" s="136" t="s">
        <v>1892</v>
      </c>
      <c r="L1051" s="138" t="s">
        <v>314</v>
      </c>
      <c r="M1051" s="138" t="s">
        <v>953</v>
      </c>
    </row>
    <row r="1052" spans="1:13" s="114" customFormat="1" ht="38.25">
      <c r="A1052" s="136">
        <v>1050</v>
      </c>
      <c r="B1052" s="129" t="s">
        <v>3426</v>
      </c>
      <c r="C1052" s="129" t="s">
        <v>3427</v>
      </c>
      <c r="D1052" s="140" t="s">
        <v>3364</v>
      </c>
      <c r="E1052" s="84" t="s">
        <v>3428</v>
      </c>
      <c r="F1052" s="113"/>
      <c r="G1052" s="131"/>
      <c r="H1052" s="186" t="s">
        <v>995</v>
      </c>
      <c r="I1052" s="107" t="s">
        <v>326</v>
      </c>
      <c r="J1052" s="136" t="s">
        <v>346</v>
      </c>
      <c r="K1052" s="136" t="s">
        <v>998</v>
      </c>
      <c r="L1052" s="138" t="s">
        <v>314</v>
      </c>
      <c r="M1052" s="138" t="s">
        <v>508</v>
      </c>
    </row>
    <row r="1053" spans="1:13" s="114" customFormat="1" ht="38.25">
      <c r="A1053" s="136">
        <v>1051</v>
      </c>
      <c r="B1053" s="129" t="s">
        <v>3429</v>
      </c>
      <c r="C1053" s="129" t="s">
        <v>3430</v>
      </c>
      <c r="D1053" s="140" t="s">
        <v>3354</v>
      </c>
      <c r="E1053" s="84" t="s">
        <v>3431</v>
      </c>
      <c r="F1053" s="113"/>
      <c r="G1053" s="131"/>
      <c r="H1053" s="186" t="s">
        <v>1836</v>
      </c>
      <c r="I1053" s="107" t="s">
        <v>326</v>
      </c>
      <c r="J1053" s="136" t="s">
        <v>349</v>
      </c>
      <c r="K1053" s="136" t="s">
        <v>1336</v>
      </c>
      <c r="L1053" s="138" t="s">
        <v>507</v>
      </c>
      <c r="M1053" s="138" t="s">
        <v>508</v>
      </c>
    </row>
    <row r="1054" spans="1:13" s="114" customFormat="1" ht="38.25">
      <c r="A1054" s="136">
        <v>1052</v>
      </c>
      <c r="B1054" s="129" t="s">
        <v>3432</v>
      </c>
      <c r="C1054" s="129" t="s">
        <v>3433</v>
      </c>
      <c r="D1054" s="137" t="s">
        <v>3434</v>
      </c>
      <c r="E1054" s="84" t="s">
        <v>3435</v>
      </c>
      <c r="F1054" s="113"/>
      <c r="G1054" s="131"/>
      <c r="H1054" s="186" t="s">
        <v>1836</v>
      </c>
      <c r="I1054" s="107" t="s">
        <v>326</v>
      </c>
      <c r="J1054" s="136" t="s">
        <v>349</v>
      </c>
      <c r="K1054" s="136" t="s">
        <v>1336</v>
      </c>
      <c r="L1054" s="138" t="s">
        <v>507</v>
      </c>
      <c r="M1054" s="138" t="s">
        <v>508</v>
      </c>
    </row>
    <row r="1055" spans="1:13" s="114" customFormat="1" ht="51">
      <c r="A1055" s="136">
        <v>1053</v>
      </c>
      <c r="B1055" s="129" t="s">
        <v>3436</v>
      </c>
      <c r="C1055" s="129" t="s">
        <v>3059</v>
      </c>
      <c r="D1055" s="140" t="s">
        <v>3437</v>
      </c>
      <c r="E1055" s="84" t="s">
        <v>3438</v>
      </c>
      <c r="F1055" s="113"/>
      <c r="G1055" s="131"/>
      <c r="H1055" s="186" t="s">
        <v>2575</v>
      </c>
      <c r="I1055" s="107" t="s">
        <v>326</v>
      </c>
      <c r="J1055" s="136" t="s">
        <v>352</v>
      </c>
      <c r="K1055" s="136" t="s">
        <v>1044</v>
      </c>
      <c r="L1055" s="138" t="s">
        <v>507</v>
      </c>
      <c r="M1055" s="138" t="s">
        <v>508</v>
      </c>
    </row>
    <row r="1056" spans="1:13" s="114" customFormat="1" ht="25.5">
      <c r="A1056" s="136">
        <v>1054</v>
      </c>
      <c r="B1056" s="129" t="s">
        <v>3439</v>
      </c>
      <c r="C1056" s="129" t="s">
        <v>3440</v>
      </c>
      <c r="D1056" s="140" t="s">
        <v>3340</v>
      </c>
      <c r="E1056" s="84" t="s">
        <v>3441</v>
      </c>
      <c r="F1056" s="113"/>
      <c r="G1056" s="131"/>
      <c r="H1056" s="186" t="s">
        <v>1230</v>
      </c>
      <c r="I1056" s="107" t="s">
        <v>326</v>
      </c>
      <c r="J1056" s="136" t="s">
        <v>331</v>
      </c>
      <c r="K1056" s="136" t="s">
        <v>1178</v>
      </c>
      <c r="L1056" s="138" t="s">
        <v>507</v>
      </c>
      <c r="M1056" s="138" t="s">
        <v>508</v>
      </c>
    </row>
    <row r="1057" spans="1:13" s="114" customFormat="1" ht="25.5">
      <c r="A1057" s="136">
        <v>1055</v>
      </c>
      <c r="B1057" s="129" t="s">
        <v>3442</v>
      </c>
      <c r="C1057" s="129" t="s">
        <v>3443</v>
      </c>
      <c r="D1057" s="137" t="s">
        <v>3326</v>
      </c>
      <c r="E1057" s="84" t="s">
        <v>3444</v>
      </c>
      <c r="F1057" s="113"/>
      <c r="G1057" s="131"/>
      <c r="H1057" s="186" t="s">
        <v>1218</v>
      </c>
      <c r="I1057" s="107" t="s">
        <v>326</v>
      </c>
      <c r="J1057" s="136" t="s">
        <v>331</v>
      </c>
      <c r="K1057" s="136" t="s">
        <v>1178</v>
      </c>
      <c r="L1057" s="138" t="s">
        <v>507</v>
      </c>
      <c r="M1057" s="138" t="s">
        <v>508</v>
      </c>
    </row>
    <row r="1058" spans="1:13" s="114" customFormat="1" ht="51">
      <c r="A1058" s="136">
        <v>1056</v>
      </c>
      <c r="B1058" s="129" t="s">
        <v>3445</v>
      </c>
      <c r="C1058" s="129" t="s">
        <v>3446</v>
      </c>
      <c r="D1058" s="140" t="s">
        <v>3370</v>
      </c>
      <c r="E1058" s="84" t="s">
        <v>3447</v>
      </c>
      <c r="F1058" s="118"/>
      <c r="G1058" s="131"/>
      <c r="H1058" s="186" t="s">
        <v>971</v>
      </c>
      <c r="I1058" s="107" t="s">
        <v>326</v>
      </c>
      <c r="J1058" s="136" t="s">
        <v>352</v>
      </c>
      <c r="K1058" s="136" t="s">
        <v>597</v>
      </c>
      <c r="L1058" s="138" t="s">
        <v>314</v>
      </c>
      <c r="M1058" s="138" t="s">
        <v>953</v>
      </c>
    </row>
    <row r="1059" spans="1:13" s="114" customFormat="1" ht="25.5">
      <c r="A1059" s="136">
        <v>1057</v>
      </c>
      <c r="B1059" s="129" t="s">
        <v>3448</v>
      </c>
      <c r="C1059" s="125">
        <v>2.1</v>
      </c>
      <c r="D1059" s="137" t="s">
        <v>3449</v>
      </c>
      <c r="E1059" s="84" t="s">
        <v>3450</v>
      </c>
      <c r="F1059" s="113"/>
      <c r="G1059" s="131"/>
      <c r="H1059" s="186" t="s">
        <v>3451</v>
      </c>
      <c r="I1059" s="125" t="s">
        <v>326</v>
      </c>
      <c r="J1059" s="125" t="s">
        <v>346</v>
      </c>
      <c r="K1059" s="125" t="s">
        <v>761</v>
      </c>
      <c r="L1059" s="138" t="s">
        <v>507</v>
      </c>
      <c r="M1059" s="138" t="s">
        <v>508</v>
      </c>
    </row>
    <row r="1060" spans="1:13" s="114" customFormat="1" ht="38.25">
      <c r="A1060" s="136">
        <v>1058</v>
      </c>
      <c r="B1060" s="129" t="s">
        <v>3452</v>
      </c>
      <c r="C1060" s="125">
        <v>2.1</v>
      </c>
      <c r="D1060" s="137" t="s">
        <v>3449</v>
      </c>
      <c r="E1060" s="84" t="s">
        <v>3453</v>
      </c>
      <c r="F1060" s="113"/>
      <c r="G1060" s="131"/>
      <c r="H1060" s="186" t="s">
        <v>1836</v>
      </c>
      <c r="I1060" s="125" t="s">
        <v>326</v>
      </c>
      <c r="J1060" s="125" t="s">
        <v>349</v>
      </c>
      <c r="K1060" s="125" t="s">
        <v>1336</v>
      </c>
      <c r="L1060" s="138" t="s">
        <v>507</v>
      </c>
      <c r="M1060" s="138" t="s">
        <v>508</v>
      </c>
    </row>
    <row r="1061" spans="1:13" s="114" customFormat="1" ht="25.5">
      <c r="A1061" s="136">
        <v>1059</v>
      </c>
      <c r="B1061" s="129" t="s">
        <v>3454</v>
      </c>
      <c r="C1061" s="125">
        <v>2.1</v>
      </c>
      <c r="D1061" s="137" t="s">
        <v>3449</v>
      </c>
      <c r="E1061" s="84" t="s">
        <v>3455</v>
      </c>
      <c r="F1061" s="113"/>
      <c r="G1061" s="131"/>
      <c r="H1061" s="186" t="s">
        <v>1836</v>
      </c>
      <c r="I1061" s="125" t="s">
        <v>326</v>
      </c>
      <c r="J1061" s="125" t="s">
        <v>349</v>
      </c>
      <c r="K1061" s="125" t="s">
        <v>1336</v>
      </c>
      <c r="L1061" s="138" t="s">
        <v>507</v>
      </c>
      <c r="M1061" s="138" t="s">
        <v>508</v>
      </c>
    </row>
    <row r="1062" spans="1:13" s="114" customFormat="1" ht="25.5">
      <c r="A1062" s="136">
        <v>1060</v>
      </c>
      <c r="B1062" s="129" t="s">
        <v>3456</v>
      </c>
      <c r="C1062" s="125">
        <v>2.1</v>
      </c>
      <c r="D1062" s="137" t="s">
        <v>3449</v>
      </c>
      <c r="E1062" s="84" t="s">
        <v>3457</v>
      </c>
      <c r="F1062" s="113"/>
      <c r="G1062" s="131"/>
      <c r="H1062" s="186" t="s">
        <v>817</v>
      </c>
      <c r="I1062" s="125" t="s">
        <v>326</v>
      </c>
      <c r="J1062" s="125" t="s">
        <v>352</v>
      </c>
      <c r="K1062" s="125" t="s">
        <v>526</v>
      </c>
      <c r="L1062" s="138" t="s">
        <v>507</v>
      </c>
      <c r="M1062" s="138" t="s">
        <v>508</v>
      </c>
    </row>
    <row r="1063" spans="1:13" s="114" customFormat="1" ht="25.5">
      <c r="A1063" s="136">
        <v>1061</v>
      </c>
      <c r="B1063" s="129" t="s">
        <v>3458</v>
      </c>
      <c r="C1063" s="125">
        <v>3.1</v>
      </c>
      <c r="D1063" s="137" t="s">
        <v>3459</v>
      </c>
      <c r="E1063" s="84" t="s">
        <v>3460</v>
      </c>
      <c r="F1063" s="113"/>
      <c r="G1063" s="131"/>
      <c r="H1063" s="186" t="s">
        <v>1964</v>
      </c>
      <c r="I1063" s="125" t="s">
        <v>326</v>
      </c>
      <c r="J1063" s="125" t="s">
        <v>341</v>
      </c>
      <c r="K1063" s="125" t="s">
        <v>570</v>
      </c>
      <c r="L1063" s="138" t="s">
        <v>507</v>
      </c>
      <c r="M1063" s="138" t="s">
        <v>508</v>
      </c>
    </row>
    <row r="1064" spans="1:13" s="114" customFormat="1" ht="25.5">
      <c r="A1064" s="136">
        <v>1062</v>
      </c>
      <c r="B1064" s="129" t="s">
        <v>3461</v>
      </c>
      <c r="C1064" s="125">
        <v>3.1</v>
      </c>
      <c r="D1064" s="137" t="s">
        <v>3459</v>
      </c>
      <c r="E1064" s="84" t="s">
        <v>3462</v>
      </c>
      <c r="F1064" s="113"/>
      <c r="G1064" s="131"/>
      <c r="H1064" s="186" t="s">
        <v>2575</v>
      </c>
      <c r="I1064" s="125" t="s">
        <v>326</v>
      </c>
      <c r="J1064" s="125" t="s">
        <v>352</v>
      </c>
      <c r="K1064" s="125" t="s">
        <v>1044</v>
      </c>
      <c r="L1064" s="138" t="s">
        <v>507</v>
      </c>
      <c r="M1064" s="138" t="s">
        <v>508</v>
      </c>
    </row>
    <row r="1065" spans="1:13" s="114" customFormat="1" ht="25.5">
      <c r="A1065" s="136">
        <v>1063</v>
      </c>
      <c r="B1065" s="129" t="s">
        <v>3463</v>
      </c>
      <c r="C1065" s="125">
        <v>3.1</v>
      </c>
      <c r="D1065" s="137" t="s">
        <v>3459</v>
      </c>
      <c r="E1065" s="84" t="s">
        <v>3464</v>
      </c>
      <c r="F1065" s="113"/>
      <c r="G1065" s="131"/>
      <c r="H1065" s="186" t="s">
        <v>896</v>
      </c>
      <c r="I1065" s="125" t="s">
        <v>326</v>
      </c>
      <c r="J1065" s="125" t="s">
        <v>341</v>
      </c>
      <c r="K1065" s="125" t="s">
        <v>580</v>
      </c>
      <c r="L1065" s="138" t="s">
        <v>507</v>
      </c>
      <c r="M1065" s="138" t="s">
        <v>508</v>
      </c>
    </row>
    <row r="1066" spans="1:13" s="114" customFormat="1" ht="25.5">
      <c r="A1066" s="136">
        <v>1064</v>
      </c>
      <c r="B1066" s="129" t="s">
        <v>3465</v>
      </c>
      <c r="C1066" s="125">
        <v>3.1</v>
      </c>
      <c r="D1066" s="137" t="s">
        <v>3459</v>
      </c>
      <c r="E1066" s="84" t="s">
        <v>3466</v>
      </c>
      <c r="F1066" s="113"/>
      <c r="G1066" s="131"/>
      <c r="H1066" s="186" t="s">
        <v>896</v>
      </c>
      <c r="I1066" s="125" t="s">
        <v>326</v>
      </c>
      <c r="J1066" s="125" t="s">
        <v>341</v>
      </c>
      <c r="K1066" s="125" t="s">
        <v>580</v>
      </c>
      <c r="L1066" s="138" t="s">
        <v>507</v>
      </c>
      <c r="M1066" s="138" t="s">
        <v>508</v>
      </c>
    </row>
    <row r="1067" spans="1:13" s="114" customFormat="1" ht="25.5">
      <c r="A1067" s="136">
        <v>1065</v>
      </c>
      <c r="B1067" s="129" t="s">
        <v>3467</v>
      </c>
      <c r="C1067" s="125">
        <v>3.1</v>
      </c>
      <c r="D1067" s="137" t="s">
        <v>3459</v>
      </c>
      <c r="E1067" s="84" t="s">
        <v>3468</v>
      </c>
      <c r="F1067" s="113"/>
      <c r="G1067" s="131"/>
      <c r="H1067" s="186" t="s">
        <v>1671</v>
      </c>
      <c r="I1067" s="125" t="s">
        <v>326</v>
      </c>
      <c r="J1067" s="125" t="s">
        <v>341</v>
      </c>
      <c r="K1067" s="125" t="s">
        <v>580</v>
      </c>
      <c r="L1067" s="138" t="s">
        <v>507</v>
      </c>
      <c r="M1067" s="138" t="s">
        <v>508</v>
      </c>
    </row>
    <row r="1068" spans="1:13" s="114" customFormat="1" ht="25.5">
      <c r="A1068" s="136">
        <v>1066</v>
      </c>
      <c r="B1068" s="129" t="s">
        <v>3469</v>
      </c>
      <c r="C1068" s="125">
        <v>3.1</v>
      </c>
      <c r="D1068" s="137" t="s">
        <v>3459</v>
      </c>
      <c r="E1068" s="84" t="s">
        <v>3470</v>
      </c>
      <c r="F1068" s="113"/>
      <c r="G1068" s="131"/>
      <c r="H1068" s="186" t="s">
        <v>1964</v>
      </c>
      <c r="I1068" s="125" t="s">
        <v>326</v>
      </c>
      <c r="J1068" s="125" t="s">
        <v>341</v>
      </c>
      <c r="K1068" s="125" t="s">
        <v>570</v>
      </c>
      <c r="L1068" s="138" t="s">
        <v>507</v>
      </c>
      <c r="M1068" s="138" t="s">
        <v>508</v>
      </c>
    </row>
    <row r="1069" spans="1:13" s="114" customFormat="1" ht="25.5">
      <c r="A1069" s="136">
        <v>1067</v>
      </c>
      <c r="B1069" s="129" t="s">
        <v>3471</v>
      </c>
      <c r="C1069" s="125">
        <v>3.1</v>
      </c>
      <c r="D1069" s="137" t="s">
        <v>3459</v>
      </c>
      <c r="E1069" s="84" t="s">
        <v>3472</v>
      </c>
      <c r="F1069" s="113"/>
      <c r="G1069" s="131"/>
      <c r="H1069" s="186" t="s">
        <v>2575</v>
      </c>
      <c r="I1069" s="125" t="s">
        <v>326</v>
      </c>
      <c r="J1069" s="125" t="s">
        <v>352</v>
      </c>
      <c r="K1069" s="125" t="s">
        <v>1044</v>
      </c>
      <c r="L1069" s="138" t="s">
        <v>507</v>
      </c>
      <c r="M1069" s="138" t="s">
        <v>508</v>
      </c>
    </row>
    <row r="1070" spans="1:13" s="114" customFormat="1" ht="51">
      <c r="A1070" s="136">
        <v>1068</v>
      </c>
      <c r="B1070" s="129" t="s">
        <v>3473</v>
      </c>
      <c r="C1070" s="125">
        <v>3.1</v>
      </c>
      <c r="D1070" s="137" t="s">
        <v>3459</v>
      </c>
      <c r="E1070" s="84" t="s">
        <v>3474</v>
      </c>
      <c r="F1070" s="113"/>
      <c r="G1070" s="131"/>
      <c r="H1070" s="186" t="s">
        <v>1586</v>
      </c>
      <c r="I1070" s="125" t="s">
        <v>326</v>
      </c>
      <c r="J1070" s="125" t="s">
        <v>331</v>
      </c>
      <c r="K1070" s="125" t="s">
        <v>1191</v>
      </c>
      <c r="L1070" s="138" t="s">
        <v>314</v>
      </c>
      <c r="M1070" s="138" t="s">
        <v>953</v>
      </c>
    </row>
    <row r="1071" spans="1:13" s="114" customFormat="1" ht="25.5">
      <c r="A1071" s="136">
        <v>1069</v>
      </c>
      <c r="B1071" s="129" t="s">
        <v>3475</v>
      </c>
      <c r="C1071" s="125">
        <v>3.1</v>
      </c>
      <c r="D1071" s="137" t="s">
        <v>3459</v>
      </c>
      <c r="E1071" s="84" t="s">
        <v>3476</v>
      </c>
      <c r="F1071" s="113"/>
      <c r="G1071" s="131"/>
      <c r="H1071" s="186" t="s">
        <v>1041</v>
      </c>
      <c r="I1071" s="125" t="s">
        <v>326</v>
      </c>
      <c r="J1071" s="125" t="s">
        <v>352</v>
      </c>
      <c r="K1071" s="125" t="s">
        <v>1044</v>
      </c>
      <c r="L1071" s="138" t="s">
        <v>507</v>
      </c>
      <c r="M1071" s="138" t="s">
        <v>508</v>
      </c>
    </row>
    <row r="1072" spans="1:13" s="114" customFormat="1" ht="25.5">
      <c r="A1072" s="136">
        <v>1070</v>
      </c>
      <c r="B1072" s="129" t="s">
        <v>3477</v>
      </c>
      <c r="C1072" s="125">
        <v>3.1</v>
      </c>
      <c r="D1072" s="137" t="s">
        <v>3459</v>
      </c>
      <c r="E1072" s="84" t="s">
        <v>3478</v>
      </c>
      <c r="F1072" s="113"/>
      <c r="G1072" s="131"/>
      <c r="H1072" s="186" t="s">
        <v>2575</v>
      </c>
      <c r="I1072" s="125" t="s">
        <v>326</v>
      </c>
      <c r="J1072" s="125" t="s">
        <v>352</v>
      </c>
      <c r="K1072" s="125" t="s">
        <v>1044</v>
      </c>
      <c r="L1072" s="138" t="s">
        <v>507</v>
      </c>
      <c r="M1072" s="138" t="s">
        <v>508</v>
      </c>
    </row>
    <row r="1073" spans="1:13" s="114" customFormat="1" ht="25.5">
      <c r="A1073" s="136">
        <v>1071</v>
      </c>
      <c r="B1073" s="129" t="s">
        <v>3479</v>
      </c>
      <c r="C1073" s="125">
        <v>3.1</v>
      </c>
      <c r="D1073" s="137" t="s">
        <v>3459</v>
      </c>
      <c r="E1073" s="84" t="s">
        <v>3480</v>
      </c>
      <c r="F1073" s="113"/>
      <c r="G1073" s="131"/>
      <c r="H1073" s="186" t="s">
        <v>1964</v>
      </c>
      <c r="I1073" s="125" t="s">
        <v>326</v>
      </c>
      <c r="J1073" s="125" t="s">
        <v>341</v>
      </c>
      <c r="K1073" s="125" t="s">
        <v>570</v>
      </c>
      <c r="L1073" s="138" t="s">
        <v>507</v>
      </c>
      <c r="M1073" s="138" t="s">
        <v>508</v>
      </c>
    </row>
    <row r="1074" spans="1:13" s="114" customFormat="1" ht="38.25">
      <c r="A1074" s="136">
        <v>1072</v>
      </c>
      <c r="B1074" s="129" t="s">
        <v>3481</v>
      </c>
      <c r="C1074" s="125">
        <v>3.1</v>
      </c>
      <c r="D1074" s="137" t="s">
        <v>3459</v>
      </c>
      <c r="E1074" s="84" t="s">
        <v>3482</v>
      </c>
      <c r="F1074" s="113"/>
      <c r="G1074" s="131"/>
      <c r="H1074" s="186" t="s">
        <v>509</v>
      </c>
      <c r="I1074" s="125" t="s">
        <v>326</v>
      </c>
      <c r="J1074" s="125" t="s">
        <v>331</v>
      </c>
      <c r="K1074" s="125" t="s">
        <v>512</v>
      </c>
      <c r="L1074" s="138" t="s">
        <v>507</v>
      </c>
      <c r="M1074" s="138" t="s">
        <v>508</v>
      </c>
    </row>
    <row r="1075" spans="1:13" s="114" customFormat="1" ht="25.5">
      <c r="A1075" s="136">
        <v>1073</v>
      </c>
      <c r="B1075" s="129" t="s">
        <v>3483</v>
      </c>
      <c r="C1075" s="125">
        <v>3.1</v>
      </c>
      <c r="D1075" s="137" t="s">
        <v>3459</v>
      </c>
      <c r="E1075" s="84" t="s">
        <v>3484</v>
      </c>
      <c r="F1075" s="113"/>
      <c r="G1075" s="131"/>
      <c r="H1075" s="186" t="s">
        <v>1735</v>
      </c>
      <c r="I1075" s="125" t="s">
        <v>326</v>
      </c>
      <c r="J1075" s="125" t="s">
        <v>341</v>
      </c>
      <c r="K1075" s="125" t="s">
        <v>1736</v>
      </c>
      <c r="L1075" s="138" t="s">
        <v>507</v>
      </c>
      <c r="M1075" s="138" t="s">
        <v>508</v>
      </c>
    </row>
    <row r="1076" spans="1:13" s="114" customFormat="1" ht="25.5">
      <c r="A1076" s="136">
        <v>1074</v>
      </c>
      <c r="B1076" s="129" t="s">
        <v>3485</v>
      </c>
      <c r="C1076" s="125">
        <v>3.1</v>
      </c>
      <c r="D1076" s="137" t="s">
        <v>3459</v>
      </c>
      <c r="E1076" s="84" t="s">
        <v>3486</v>
      </c>
      <c r="F1076" s="113"/>
      <c r="G1076" s="131"/>
      <c r="H1076" s="186" t="s">
        <v>1983</v>
      </c>
      <c r="I1076" s="125" t="s">
        <v>326</v>
      </c>
      <c r="J1076" s="125" t="s">
        <v>341</v>
      </c>
      <c r="K1076" s="125" t="s">
        <v>570</v>
      </c>
      <c r="L1076" s="138" t="s">
        <v>507</v>
      </c>
      <c r="M1076" s="138" t="s">
        <v>508</v>
      </c>
    </row>
    <row r="1077" spans="1:13" s="114" customFormat="1" ht="25.5">
      <c r="A1077" s="136">
        <v>1075</v>
      </c>
      <c r="B1077" s="129" t="s">
        <v>3487</v>
      </c>
      <c r="C1077" s="125">
        <v>3.1</v>
      </c>
      <c r="D1077" s="137" t="s">
        <v>3459</v>
      </c>
      <c r="E1077" s="84" t="s">
        <v>3488</v>
      </c>
      <c r="F1077" s="113"/>
      <c r="G1077" s="131"/>
      <c r="H1077" s="186" t="s">
        <v>1608</v>
      </c>
      <c r="I1077" s="125" t="s">
        <v>326</v>
      </c>
      <c r="J1077" s="125" t="s">
        <v>352</v>
      </c>
      <c r="K1077" s="125" t="s">
        <v>597</v>
      </c>
      <c r="L1077" s="138" t="s">
        <v>507</v>
      </c>
      <c r="M1077" s="138" t="s">
        <v>508</v>
      </c>
    </row>
    <row r="1078" spans="1:13" s="114" customFormat="1" ht="38.25">
      <c r="A1078" s="136">
        <v>1076</v>
      </c>
      <c r="B1078" s="129" t="s">
        <v>3489</v>
      </c>
      <c r="C1078" s="125">
        <v>3.1</v>
      </c>
      <c r="D1078" s="137" t="s">
        <v>3459</v>
      </c>
      <c r="E1078" s="84" t="s">
        <v>3490</v>
      </c>
      <c r="F1078" s="113"/>
      <c r="G1078" s="131"/>
      <c r="H1078" s="186" t="s">
        <v>557</v>
      </c>
      <c r="I1078" s="125" t="s">
        <v>326</v>
      </c>
      <c r="J1078" s="125" t="s">
        <v>331</v>
      </c>
      <c r="K1078" s="125" t="s">
        <v>512</v>
      </c>
      <c r="L1078" s="138" t="s">
        <v>507</v>
      </c>
      <c r="M1078" s="138" t="s">
        <v>508</v>
      </c>
    </row>
    <row r="1079" spans="1:13" s="114" customFormat="1" ht="25.5">
      <c r="A1079" s="136">
        <v>1077</v>
      </c>
      <c r="B1079" s="129" t="s">
        <v>3491</v>
      </c>
      <c r="C1079" s="125">
        <v>3.1</v>
      </c>
      <c r="D1079" s="137" t="s">
        <v>3459</v>
      </c>
      <c r="E1079" s="84" t="s">
        <v>3492</v>
      </c>
      <c r="F1079" s="113"/>
      <c r="G1079" s="131"/>
      <c r="H1079" s="186" t="s">
        <v>1568</v>
      </c>
      <c r="I1079" s="125" t="s">
        <v>326</v>
      </c>
      <c r="J1079" s="125" t="s">
        <v>346</v>
      </c>
      <c r="K1079" s="125" t="s">
        <v>761</v>
      </c>
      <c r="L1079" s="138" t="s">
        <v>507</v>
      </c>
      <c r="M1079" s="138" t="s">
        <v>508</v>
      </c>
    </row>
    <row r="1080" spans="1:13" s="114" customFormat="1" ht="51">
      <c r="A1080" s="136">
        <v>1078</v>
      </c>
      <c r="B1080" s="129" t="s">
        <v>684</v>
      </c>
      <c r="C1080" s="125">
        <v>3.1</v>
      </c>
      <c r="D1080" s="137" t="s">
        <v>3459</v>
      </c>
      <c r="E1080" s="84" t="s">
        <v>3493</v>
      </c>
      <c r="F1080" s="113"/>
      <c r="G1080" s="131"/>
      <c r="H1080" s="186" t="s">
        <v>3494</v>
      </c>
      <c r="I1080" s="125" t="s">
        <v>326</v>
      </c>
      <c r="J1080" s="125" t="s">
        <v>331</v>
      </c>
      <c r="K1080" s="125" t="s">
        <v>530</v>
      </c>
      <c r="L1080" s="138" t="s">
        <v>507</v>
      </c>
      <c r="M1080" s="138" t="s">
        <v>508</v>
      </c>
    </row>
    <row r="1081" spans="1:13" s="114" customFormat="1" ht="38.25">
      <c r="A1081" s="136">
        <v>1079</v>
      </c>
      <c r="B1081" s="129" t="s">
        <v>3495</v>
      </c>
      <c r="C1081" s="125">
        <v>3.1</v>
      </c>
      <c r="D1081" s="137" t="s">
        <v>3459</v>
      </c>
      <c r="E1081" s="84" t="s">
        <v>3496</v>
      </c>
      <c r="F1081" s="113"/>
      <c r="G1081" s="131"/>
      <c r="H1081" s="186" t="s">
        <v>633</v>
      </c>
      <c r="I1081" s="125" t="s">
        <v>326</v>
      </c>
      <c r="J1081" s="125" t="s">
        <v>331</v>
      </c>
      <c r="K1081" s="125" t="s">
        <v>512</v>
      </c>
      <c r="L1081" s="138" t="s">
        <v>507</v>
      </c>
      <c r="M1081" s="138" t="s">
        <v>508</v>
      </c>
    </row>
    <row r="1082" spans="1:13" s="114" customFormat="1" ht="51">
      <c r="A1082" s="136">
        <v>1080</v>
      </c>
      <c r="B1082" s="129" t="s">
        <v>3497</v>
      </c>
      <c r="C1082" s="125">
        <v>3.1</v>
      </c>
      <c r="D1082" s="137" t="s">
        <v>3459</v>
      </c>
      <c r="E1082" s="84" t="s">
        <v>3498</v>
      </c>
      <c r="F1082" s="113"/>
      <c r="G1082" s="131"/>
      <c r="H1082" s="186" t="s">
        <v>684</v>
      </c>
      <c r="I1082" s="125" t="s">
        <v>326</v>
      </c>
      <c r="J1082" s="125" t="s">
        <v>331</v>
      </c>
      <c r="K1082" s="125" t="s">
        <v>530</v>
      </c>
      <c r="L1082" s="138" t="s">
        <v>507</v>
      </c>
      <c r="M1082" s="138" t="s">
        <v>508</v>
      </c>
    </row>
    <row r="1083" spans="1:13" s="114" customFormat="1" ht="51">
      <c r="A1083" s="136">
        <v>1081</v>
      </c>
      <c r="B1083" s="129" t="s">
        <v>3499</v>
      </c>
      <c r="C1083" s="125">
        <v>3.1</v>
      </c>
      <c r="D1083" s="137" t="s">
        <v>3459</v>
      </c>
      <c r="E1083" s="84" t="s">
        <v>3500</v>
      </c>
      <c r="F1083" s="113"/>
      <c r="G1083" s="131"/>
      <c r="H1083" s="186" t="s">
        <v>684</v>
      </c>
      <c r="I1083" s="125" t="s">
        <v>326</v>
      </c>
      <c r="J1083" s="125" t="s">
        <v>331</v>
      </c>
      <c r="K1083" s="125" t="s">
        <v>530</v>
      </c>
      <c r="L1083" s="138" t="s">
        <v>507</v>
      </c>
      <c r="M1083" s="138" t="s">
        <v>508</v>
      </c>
    </row>
    <row r="1084" spans="1:13" s="114" customFormat="1" ht="25.5">
      <c r="A1084" s="136">
        <v>1082</v>
      </c>
      <c r="B1084" s="129" t="s">
        <v>3501</v>
      </c>
      <c r="C1084" s="125">
        <v>3.1</v>
      </c>
      <c r="D1084" s="137" t="s">
        <v>3459</v>
      </c>
      <c r="E1084" s="84" t="s">
        <v>3502</v>
      </c>
      <c r="F1084" s="113"/>
      <c r="G1084" s="131"/>
      <c r="H1084" s="186" t="s">
        <v>1568</v>
      </c>
      <c r="I1084" s="125" t="s">
        <v>326</v>
      </c>
      <c r="J1084" s="125" t="s">
        <v>346</v>
      </c>
      <c r="K1084" s="125" t="s">
        <v>761</v>
      </c>
      <c r="L1084" s="138" t="s">
        <v>507</v>
      </c>
      <c r="M1084" s="138" t="s">
        <v>508</v>
      </c>
    </row>
    <row r="1085" spans="1:13" s="114" customFormat="1" ht="51">
      <c r="A1085" s="136">
        <v>1083</v>
      </c>
      <c r="B1085" s="129" t="s">
        <v>3503</v>
      </c>
      <c r="C1085" s="125">
        <v>3.1</v>
      </c>
      <c r="D1085" s="137" t="s">
        <v>3459</v>
      </c>
      <c r="E1085" s="84" t="s">
        <v>3504</v>
      </c>
      <c r="F1085" s="113"/>
      <c r="G1085" s="131"/>
      <c r="H1085" s="186" t="s">
        <v>2632</v>
      </c>
      <c r="I1085" s="125" t="s">
        <v>326</v>
      </c>
      <c r="J1085" s="125" t="s">
        <v>346</v>
      </c>
      <c r="K1085" s="125" t="s">
        <v>1465</v>
      </c>
      <c r="L1085" s="138" t="s">
        <v>314</v>
      </c>
      <c r="M1085" s="138" t="s">
        <v>953</v>
      </c>
    </row>
    <row r="1086" spans="1:13" s="114" customFormat="1" ht="38.25">
      <c r="A1086" s="136">
        <v>1084</v>
      </c>
      <c r="B1086" s="129" t="s">
        <v>3505</v>
      </c>
      <c r="C1086" s="125">
        <v>3.1</v>
      </c>
      <c r="D1086" s="137" t="s">
        <v>3459</v>
      </c>
      <c r="E1086" s="84" t="s">
        <v>3506</v>
      </c>
      <c r="F1086" s="113"/>
      <c r="G1086" s="131"/>
      <c r="H1086" s="186" t="s">
        <v>560</v>
      </c>
      <c r="I1086" s="125" t="s">
        <v>326</v>
      </c>
      <c r="J1086" s="125" t="s">
        <v>352</v>
      </c>
      <c r="K1086" s="125" t="s">
        <v>561</v>
      </c>
      <c r="L1086" s="138" t="s">
        <v>507</v>
      </c>
      <c r="M1086" s="138" t="s">
        <v>508</v>
      </c>
    </row>
    <row r="1087" spans="1:13" s="114" customFormat="1" ht="38.25">
      <c r="A1087" s="136">
        <v>1085</v>
      </c>
      <c r="B1087" s="129" t="s">
        <v>3507</v>
      </c>
      <c r="C1087" s="125">
        <v>3.1</v>
      </c>
      <c r="D1087" s="137" t="s">
        <v>3459</v>
      </c>
      <c r="E1087" s="84" t="s">
        <v>3508</v>
      </c>
      <c r="F1087" s="113"/>
      <c r="G1087" s="131"/>
      <c r="H1087" s="186" t="s">
        <v>1343</v>
      </c>
      <c r="I1087" s="125" t="s">
        <v>326</v>
      </c>
      <c r="J1087" s="125" t="s">
        <v>349</v>
      </c>
      <c r="K1087" s="125" t="s">
        <v>1346</v>
      </c>
      <c r="L1087" s="138" t="s">
        <v>507</v>
      </c>
      <c r="M1087" s="138" t="s">
        <v>508</v>
      </c>
    </row>
    <row r="1088" spans="1:13" s="114" customFormat="1" ht="25.5">
      <c r="A1088" s="136">
        <v>1086</v>
      </c>
      <c r="B1088" s="129" t="s">
        <v>3509</v>
      </c>
      <c r="C1088" s="125">
        <v>3.1</v>
      </c>
      <c r="D1088" s="137" t="s">
        <v>3459</v>
      </c>
      <c r="E1088" s="84" t="s">
        <v>3510</v>
      </c>
      <c r="F1088" s="113"/>
      <c r="G1088" s="131"/>
      <c r="H1088" s="186" t="s">
        <v>1024</v>
      </c>
      <c r="I1088" s="125" t="s">
        <v>326</v>
      </c>
      <c r="J1088" s="125" t="s">
        <v>341</v>
      </c>
      <c r="K1088" s="125" t="s">
        <v>580</v>
      </c>
      <c r="L1088" s="138" t="s">
        <v>507</v>
      </c>
      <c r="M1088" s="138" t="s">
        <v>508</v>
      </c>
    </row>
    <row r="1089" spans="1:13" s="114" customFormat="1" ht="25.5">
      <c r="A1089" s="136">
        <v>1087</v>
      </c>
      <c r="B1089" s="129" t="s">
        <v>3511</v>
      </c>
      <c r="C1089" s="125">
        <v>3.1</v>
      </c>
      <c r="D1089" s="137" t="s">
        <v>3459</v>
      </c>
      <c r="E1089" s="84" t="s">
        <v>3512</v>
      </c>
      <c r="F1089" s="113"/>
      <c r="G1089" s="131"/>
      <c r="H1089" s="186" t="s">
        <v>1131</v>
      </c>
      <c r="I1089" s="125" t="s">
        <v>326</v>
      </c>
      <c r="J1089" s="125" t="s">
        <v>346</v>
      </c>
      <c r="K1089" s="125" t="s">
        <v>893</v>
      </c>
      <c r="L1089" s="138" t="s">
        <v>507</v>
      </c>
      <c r="M1089" s="138" t="s">
        <v>508</v>
      </c>
    </row>
    <row r="1090" spans="1:13" s="114" customFormat="1" ht="38.25">
      <c r="A1090" s="136">
        <v>1088</v>
      </c>
      <c r="B1090" s="129" t="s">
        <v>3513</v>
      </c>
      <c r="C1090" s="125">
        <v>3.1</v>
      </c>
      <c r="D1090" s="137" t="s">
        <v>3459</v>
      </c>
      <c r="E1090" s="84" t="s">
        <v>3514</v>
      </c>
      <c r="F1090" s="113"/>
      <c r="G1090" s="131"/>
      <c r="H1090" s="186" t="s">
        <v>884</v>
      </c>
      <c r="I1090" s="125" t="s">
        <v>326</v>
      </c>
      <c r="J1090" s="125" t="s">
        <v>331</v>
      </c>
      <c r="K1090" s="125" t="s">
        <v>512</v>
      </c>
      <c r="L1090" s="138" t="s">
        <v>507</v>
      </c>
      <c r="M1090" s="138" t="s">
        <v>508</v>
      </c>
    </row>
    <row r="1091" spans="1:13" s="114" customFormat="1" ht="25.5">
      <c r="A1091" s="136">
        <v>1089</v>
      </c>
      <c r="B1091" s="129" t="s">
        <v>3515</v>
      </c>
      <c r="C1091" s="125">
        <v>3.1</v>
      </c>
      <c r="D1091" s="137" t="s">
        <v>3459</v>
      </c>
      <c r="E1091" s="84" t="s">
        <v>3516</v>
      </c>
      <c r="F1091" s="113"/>
      <c r="G1091" s="131"/>
      <c r="H1091" s="186" t="s">
        <v>817</v>
      </c>
      <c r="I1091" s="125" t="s">
        <v>326</v>
      </c>
      <c r="J1091" s="125" t="s">
        <v>352</v>
      </c>
      <c r="K1091" s="125" t="s">
        <v>526</v>
      </c>
      <c r="L1091" s="138" t="s">
        <v>507</v>
      </c>
      <c r="M1091" s="138" t="s">
        <v>508</v>
      </c>
    </row>
    <row r="1092" spans="1:13" s="114" customFormat="1" ht="51">
      <c r="A1092" s="136">
        <v>1090</v>
      </c>
      <c r="B1092" s="129" t="s">
        <v>3517</v>
      </c>
      <c r="C1092" s="125">
        <v>3.1</v>
      </c>
      <c r="D1092" s="137" t="s">
        <v>3459</v>
      </c>
      <c r="E1092" s="84" t="s">
        <v>3518</v>
      </c>
      <c r="F1092" s="113"/>
      <c r="G1092" s="131"/>
      <c r="H1092" s="186" t="s">
        <v>667</v>
      </c>
      <c r="I1092" s="125" t="s">
        <v>326</v>
      </c>
      <c r="J1092" s="125" t="s">
        <v>331</v>
      </c>
      <c r="K1092" s="125" t="s">
        <v>530</v>
      </c>
      <c r="L1092" s="138" t="s">
        <v>507</v>
      </c>
      <c r="M1092" s="138" t="s">
        <v>508</v>
      </c>
    </row>
    <row r="1093" spans="1:13" s="114" customFormat="1" ht="51">
      <c r="A1093" s="136">
        <v>1091</v>
      </c>
      <c r="B1093" s="129" t="s">
        <v>3519</v>
      </c>
      <c r="C1093" s="125">
        <v>3.2</v>
      </c>
      <c r="D1093" s="137" t="s">
        <v>3520</v>
      </c>
      <c r="E1093" s="84" t="s">
        <v>3521</v>
      </c>
      <c r="F1093" s="113"/>
      <c r="G1093" s="131"/>
      <c r="H1093" s="186" t="s">
        <v>608</v>
      </c>
      <c r="I1093" s="125" t="s">
        <v>326</v>
      </c>
      <c r="J1093" s="125" t="s">
        <v>331</v>
      </c>
      <c r="K1093" s="125" t="s">
        <v>530</v>
      </c>
      <c r="L1093" s="125" t="s">
        <v>507</v>
      </c>
      <c r="M1093" s="138" t="s">
        <v>508</v>
      </c>
    </row>
    <row r="1094" spans="1:13" s="114" customFormat="1" ht="25.5">
      <c r="A1094" s="136">
        <v>1092</v>
      </c>
      <c r="B1094" s="129" t="s">
        <v>3522</v>
      </c>
      <c r="C1094" s="125">
        <v>3.2</v>
      </c>
      <c r="D1094" s="137" t="s">
        <v>3520</v>
      </c>
      <c r="E1094" s="84" t="s">
        <v>3523</v>
      </c>
      <c r="F1094" s="113"/>
      <c r="G1094" s="131"/>
      <c r="H1094" s="186" t="s">
        <v>995</v>
      </c>
      <c r="I1094" s="125" t="s">
        <v>326</v>
      </c>
      <c r="J1094" s="125" t="s">
        <v>346</v>
      </c>
      <c r="K1094" s="125" t="s">
        <v>998</v>
      </c>
      <c r="L1094" s="138" t="s">
        <v>314</v>
      </c>
      <c r="M1094" s="138" t="s">
        <v>508</v>
      </c>
    </row>
    <row r="1095" spans="1:13" s="114" customFormat="1" ht="25.5">
      <c r="A1095" s="136">
        <v>1093</v>
      </c>
      <c r="B1095" s="129" t="s">
        <v>3524</v>
      </c>
      <c r="C1095" s="125">
        <v>3.2</v>
      </c>
      <c r="D1095" s="137" t="s">
        <v>3520</v>
      </c>
      <c r="E1095" s="84" t="s">
        <v>3525</v>
      </c>
      <c r="F1095" s="113"/>
      <c r="G1095" s="131"/>
      <c r="H1095" s="186" t="s">
        <v>1672</v>
      </c>
      <c r="I1095" s="125" t="s">
        <v>326</v>
      </c>
      <c r="J1095" s="125" t="s">
        <v>341</v>
      </c>
      <c r="K1095" s="125" t="s">
        <v>580</v>
      </c>
      <c r="L1095" s="138" t="s">
        <v>507</v>
      </c>
      <c r="M1095" s="138" t="s">
        <v>508</v>
      </c>
    </row>
    <row r="1096" spans="1:13" s="114" customFormat="1" ht="25.5">
      <c r="A1096" s="136">
        <v>1094</v>
      </c>
      <c r="B1096" s="129" t="s">
        <v>3526</v>
      </c>
      <c r="C1096" s="125">
        <v>3.2</v>
      </c>
      <c r="D1096" s="137" t="s">
        <v>3520</v>
      </c>
      <c r="E1096" s="84" t="s">
        <v>3527</v>
      </c>
      <c r="F1096" s="113"/>
      <c r="G1096" s="131"/>
      <c r="H1096" s="186" t="s">
        <v>1671</v>
      </c>
      <c r="I1096" s="125" t="s">
        <v>326</v>
      </c>
      <c r="J1096" s="125" t="s">
        <v>341</v>
      </c>
      <c r="K1096" s="125" t="s">
        <v>580</v>
      </c>
      <c r="L1096" s="138" t="s">
        <v>507</v>
      </c>
      <c r="M1096" s="138" t="s">
        <v>508</v>
      </c>
    </row>
    <row r="1097" spans="1:13" s="114" customFormat="1" ht="51">
      <c r="A1097" s="136">
        <v>1095</v>
      </c>
      <c r="B1097" s="129" t="s">
        <v>3528</v>
      </c>
      <c r="C1097" s="125">
        <v>3.2</v>
      </c>
      <c r="D1097" s="137" t="s">
        <v>3520</v>
      </c>
      <c r="E1097" s="84" t="s">
        <v>3529</v>
      </c>
      <c r="F1097" s="113"/>
      <c r="G1097" s="131"/>
      <c r="H1097" s="186" t="s">
        <v>527</v>
      </c>
      <c r="I1097" s="125" t="s">
        <v>326</v>
      </c>
      <c r="J1097" s="125" t="s">
        <v>331</v>
      </c>
      <c r="K1097" s="125" t="s">
        <v>530</v>
      </c>
      <c r="L1097" s="138" t="s">
        <v>507</v>
      </c>
      <c r="M1097" s="138" t="s">
        <v>508</v>
      </c>
    </row>
    <row r="1098" spans="1:13" s="114" customFormat="1" ht="25.5">
      <c r="A1098" s="136">
        <v>1096</v>
      </c>
      <c r="B1098" s="129" t="s">
        <v>3530</v>
      </c>
      <c r="C1098" s="125">
        <v>3.3</v>
      </c>
      <c r="D1098" s="137" t="s">
        <v>3531</v>
      </c>
      <c r="E1098" s="84" t="s">
        <v>3532</v>
      </c>
      <c r="F1098" s="113"/>
      <c r="G1098" s="131"/>
      <c r="H1098" s="186" t="s">
        <v>1331</v>
      </c>
      <c r="I1098" s="125" t="s">
        <v>326</v>
      </c>
      <c r="J1098" s="125" t="s">
        <v>349</v>
      </c>
      <c r="K1098" s="125" t="s">
        <v>1336</v>
      </c>
      <c r="L1098" s="138" t="s">
        <v>507</v>
      </c>
      <c r="M1098" s="138" t="s">
        <v>508</v>
      </c>
    </row>
    <row r="1099" spans="1:13" s="114" customFormat="1" ht="38.25">
      <c r="A1099" s="136">
        <v>1097</v>
      </c>
      <c r="B1099" s="129" t="s">
        <v>3533</v>
      </c>
      <c r="C1099" s="125">
        <v>3.3</v>
      </c>
      <c r="D1099" s="145" t="s">
        <v>3531</v>
      </c>
      <c r="E1099" s="84" t="s">
        <v>3534</v>
      </c>
      <c r="F1099" s="113"/>
      <c r="G1099" s="131"/>
      <c r="H1099" s="186" t="s">
        <v>1343</v>
      </c>
      <c r="I1099" s="125" t="s">
        <v>326</v>
      </c>
      <c r="J1099" s="125" t="s">
        <v>349</v>
      </c>
      <c r="K1099" s="125" t="s">
        <v>1346</v>
      </c>
      <c r="L1099" s="138" t="s">
        <v>507</v>
      </c>
      <c r="M1099" s="138" t="s">
        <v>508</v>
      </c>
    </row>
    <row r="1100" spans="1:13" s="114" customFormat="1" ht="38.25">
      <c r="A1100" s="136">
        <v>1098</v>
      </c>
      <c r="B1100" s="129" t="s">
        <v>3535</v>
      </c>
      <c r="C1100" s="125">
        <v>3.3</v>
      </c>
      <c r="D1100" s="137" t="s">
        <v>3531</v>
      </c>
      <c r="E1100" s="84" t="s">
        <v>3536</v>
      </c>
      <c r="F1100" s="113"/>
      <c r="G1100" s="131"/>
      <c r="H1100" s="186" t="s">
        <v>1347</v>
      </c>
      <c r="I1100" s="125" t="s">
        <v>326</v>
      </c>
      <c r="J1100" s="125" t="s">
        <v>349</v>
      </c>
      <c r="K1100" s="125" t="s">
        <v>1346</v>
      </c>
      <c r="L1100" s="138" t="s">
        <v>507</v>
      </c>
      <c r="M1100" s="138" t="s">
        <v>508</v>
      </c>
    </row>
    <row r="1101" spans="1:13" s="114" customFormat="1" ht="38.25">
      <c r="A1101" s="136">
        <v>1099</v>
      </c>
      <c r="B1101" s="129" t="s">
        <v>3537</v>
      </c>
      <c r="C1101" s="125" t="s">
        <v>3538</v>
      </c>
      <c r="D1101" s="137" t="s">
        <v>3539</v>
      </c>
      <c r="E1101" s="84" t="s">
        <v>3540</v>
      </c>
      <c r="F1101" s="113"/>
      <c r="G1101" s="131"/>
      <c r="H1101" s="186" t="s">
        <v>1836</v>
      </c>
      <c r="I1101" s="125" t="s">
        <v>326</v>
      </c>
      <c r="J1101" s="125" t="s">
        <v>349</v>
      </c>
      <c r="K1101" s="125" t="s">
        <v>1336</v>
      </c>
      <c r="L1101" s="138" t="s">
        <v>507</v>
      </c>
      <c r="M1101" s="138" t="s">
        <v>508</v>
      </c>
    </row>
    <row r="1102" spans="1:13" s="114" customFormat="1" ht="25.5">
      <c r="A1102" s="136">
        <v>1100</v>
      </c>
      <c r="B1102" s="129" t="s">
        <v>3541</v>
      </c>
      <c r="C1102" s="146" t="s">
        <v>3542</v>
      </c>
      <c r="D1102" s="147" t="s">
        <v>3543</v>
      </c>
      <c r="E1102" s="84" t="s">
        <v>3544</v>
      </c>
      <c r="F1102" s="113"/>
      <c r="G1102" s="131"/>
      <c r="H1102" s="186" t="s">
        <v>1462</v>
      </c>
      <c r="I1102" s="107" t="s">
        <v>326</v>
      </c>
      <c r="J1102" s="136" t="s">
        <v>346</v>
      </c>
      <c r="K1102" s="136" t="s">
        <v>1465</v>
      </c>
      <c r="L1102" s="138" t="s">
        <v>507</v>
      </c>
      <c r="M1102" s="138" t="s">
        <v>508</v>
      </c>
    </row>
    <row r="1103" spans="1:13" s="114" customFormat="1" ht="25.5">
      <c r="A1103" s="136">
        <v>1101</v>
      </c>
      <c r="B1103" s="129" t="s">
        <v>3545</v>
      </c>
      <c r="C1103" s="146" t="s">
        <v>3542</v>
      </c>
      <c r="D1103" s="147" t="s">
        <v>3543</v>
      </c>
      <c r="E1103" s="84" t="s">
        <v>3546</v>
      </c>
      <c r="F1103" s="113"/>
      <c r="G1103" s="131"/>
      <c r="H1103" s="186" t="s">
        <v>1462</v>
      </c>
      <c r="I1103" s="107" t="s">
        <v>326</v>
      </c>
      <c r="J1103" s="136" t="s">
        <v>346</v>
      </c>
      <c r="K1103" s="136" t="s">
        <v>1465</v>
      </c>
      <c r="L1103" s="138" t="s">
        <v>507</v>
      </c>
      <c r="M1103" s="138" t="s">
        <v>508</v>
      </c>
    </row>
    <row r="1104" spans="1:13" s="114" customFormat="1" ht="38.25">
      <c r="A1104" s="136">
        <v>1102</v>
      </c>
      <c r="B1104" s="129" t="s">
        <v>3547</v>
      </c>
      <c r="C1104" s="125">
        <v>4.2</v>
      </c>
      <c r="D1104" s="137" t="s">
        <v>3548</v>
      </c>
      <c r="E1104" s="84" t="s">
        <v>3549</v>
      </c>
      <c r="F1104" s="84"/>
      <c r="G1104" s="131"/>
      <c r="H1104" s="186" t="s">
        <v>3550</v>
      </c>
      <c r="I1104" s="136" t="s">
        <v>326</v>
      </c>
      <c r="J1104" s="136" t="s">
        <v>331</v>
      </c>
      <c r="K1104" s="125" t="s">
        <v>512</v>
      </c>
      <c r="L1104" s="138" t="s">
        <v>507</v>
      </c>
      <c r="M1104" s="138" t="s">
        <v>508</v>
      </c>
    </row>
    <row r="1105" spans="1:13" s="114" customFormat="1" ht="51">
      <c r="A1105" s="136">
        <v>1103</v>
      </c>
      <c r="B1105" s="129" t="s">
        <v>3551</v>
      </c>
      <c r="C1105" s="125">
        <v>4.2</v>
      </c>
      <c r="D1105" s="137" t="s">
        <v>3548</v>
      </c>
      <c r="E1105" s="84" t="s">
        <v>3552</v>
      </c>
      <c r="F1105" s="113"/>
      <c r="G1105" s="131"/>
      <c r="H1105" s="186" t="s">
        <v>689</v>
      </c>
      <c r="I1105" s="136" t="s">
        <v>326</v>
      </c>
      <c r="J1105" s="136" t="s">
        <v>331</v>
      </c>
      <c r="K1105" s="136" t="s">
        <v>530</v>
      </c>
      <c r="L1105" s="138" t="s">
        <v>507</v>
      </c>
      <c r="M1105" s="138" t="s">
        <v>508</v>
      </c>
    </row>
    <row r="1106" spans="1:13" s="114" customFormat="1" ht="51">
      <c r="A1106" s="136">
        <v>1104</v>
      </c>
      <c r="B1106" s="129" t="s">
        <v>3553</v>
      </c>
      <c r="C1106" s="125">
        <v>4.2</v>
      </c>
      <c r="D1106" s="137" t="s">
        <v>3554</v>
      </c>
      <c r="E1106" s="84" t="s">
        <v>3555</v>
      </c>
      <c r="F1106" s="84"/>
      <c r="G1106" s="131"/>
      <c r="H1106" s="186" t="s">
        <v>684</v>
      </c>
      <c r="I1106" s="136" t="s">
        <v>326</v>
      </c>
      <c r="J1106" s="136" t="s">
        <v>331</v>
      </c>
      <c r="K1106" s="136" t="s">
        <v>530</v>
      </c>
      <c r="L1106" s="138" t="s">
        <v>507</v>
      </c>
      <c r="M1106" s="138" t="s">
        <v>508</v>
      </c>
    </row>
    <row r="1107" spans="1:13" s="114" customFormat="1" ht="25.5">
      <c r="A1107" s="136">
        <v>1105</v>
      </c>
      <c r="B1107" s="129" t="s">
        <v>3556</v>
      </c>
      <c r="C1107" s="125">
        <v>4.3</v>
      </c>
      <c r="D1107" s="137" t="s">
        <v>3557</v>
      </c>
      <c r="E1107" s="84" t="s">
        <v>3558</v>
      </c>
      <c r="F1107" s="84"/>
      <c r="G1107" s="131"/>
      <c r="H1107" s="186" t="s">
        <v>523</v>
      </c>
      <c r="I1107" s="136" t="s">
        <v>326</v>
      </c>
      <c r="J1107" s="136" t="s">
        <v>352</v>
      </c>
      <c r="K1107" s="136" t="s">
        <v>526</v>
      </c>
      <c r="L1107" s="138" t="s">
        <v>507</v>
      </c>
      <c r="M1107" s="138" t="s">
        <v>508</v>
      </c>
    </row>
    <row r="1108" spans="1:13" s="114" customFormat="1" ht="25.5">
      <c r="A1108" s="136">
        <v>1106</v>
      </c>
      <c r="B1108" s="129" t="s">
        <v>3559</v>
      </c>
      <c r="C1108" s="125">
        <v>4.3</v>
      </c>
      <c r="D1108" s="137" t="s">
        <v>3560</v>
      </c>
      <c r="E1108" s="84" t="s">
        <v>3561</v>
      </c>
      <c r="F1108" s="84"/>
      <c r="G1108" s="131"/>
      <c r="H1108" s="186" t="s">
        <v>889</v>
      </c>
      <c r="I1108" s="136" t="s">
        <v>326</v>
      </c>
      <c r="J1108" s="136" t="s">
        <v>352</v>
      </c>
      <c r="K1108" s="136" t="s">
        <v>526</v>
      </c>
      <c r="L1108" s="138" t="s">
        <v>507</v>
      </c>
      <c r="M1108" s="138" t="s">
        <v>508</v>
      </c>
    </row>
    <row r="1109" spans="1:13" s="114" customFormat="1" ht="25.5">
      <c r="A1109" s="136">
        <v>1107</v>
      </c>
      <c r="B1109" s="129" t="s">
        <v>3562</v>
      </c>
      <c r="C1109" s="125">
        <v>4.3</v>
      </c>
      <c r="D1109" s="137" t="s">
        <v>3560</v>
      </c>
      <c r="E1109" s="84" t="s">
        <v>3563</v>
      </c>
      <c r="F1109" s="84"/>
      <c r="G1109" s="131"/>
      <c r="H1109" s="186" t="s">
        <v>817</v>
      </c>
      <c r="I1109" s="136" t="s">
        <v>326</v>
      </c>
      <c r="J1109" s="136" t="s">
        <v>352</v>
      </c>
      <c r="K1109" s="136" t="s">
        <v>526</v>
      </c>
      <c r="L1109" s="138" t="s">
        <v>507</v>
      </c>
      <c r="M1109" s="138" t="s">
        <v>508</v>
      </c>
    </row>
    <row r="1110" spans="1:13" s="114" customFormat="1" ht="25.5">
      <c r="A1110" s="136">
        <v>1108</v>
      </c>
      <c r="B1110" s="129" t="s">
        <v>3564</v>
      </c>
      <c r="C1110" s="125">
        <v>4.3</v>
      </c>
      <c r="D1110" s="137" t="s">
        <v>3560</v>
      </c>
      <c r="E1110" s="84" t="s">
        <v>3565</v>
      </c>
      <c r="F1110" s="84"/>
      <c r="G1110" s="131"/>
      <c r="H1110" s="186" t="s">
        <v>931</v>
      </c>
      <c r="I1110" s="136" t="s">
        <v>326</v>
      </c>
      <c r="J1110" s="136" t="s">
        <v>341</v>
      </c>
      <c r="K1110" s="125" t="s">
        <v>570</v>
      </c>
      <c r="L1110" s="138" t="s">
        <v>507</v>
      </c>
      <c r="M1110" s="138" t="s">
        <v>508</v>
      </c>
    </row>
    <row r="1111" spans="1:13" s="114" customFormat="1" ht="38.25">
      <c r="A1111" s="136">
        <v>1109</v>
      </c>
      <c r="B1111" s="129" t="s">
        <v>3566</v>
      </c>
      <c r="C1111" s="125">
        <v>4.3</v>
      </c>
      <c r="D1111" s="137" t="s">
        <v>3560</v>
      </c>
      <c r="E1111" s="84" t="s">
        <v>3567</v>
      </c>
      <c r="F1111" s="84"/>
      <c r="G1111" s="131"/>
      <c r="H1111" s="186" t="s">
        <v>884</v>
      </c>
      <c r="I1111" s="136" t="s">
        <v>326</v>
      </c>
      <c r="J1111" s="136" t="s">
        <v>331</v>
      </c>
      <c r="K1111" s="136" t="s">
        <v>512</v>
      </c>
      <c r="L1111" s="138" t="s">
        <v>507</v>
      </c>
      <c r="M1111" s="138" t="s">
        <v>508</v>
      </c>
    </row>
    <row r="1112" spans="1:13" s="114" customFormat="1" ht="25.5">
      <c r="A1112" s="136">
        <v>1110</v>
      </c>
      <c r="B1112" s="129" t="s">
        <v>3568</v>
      </c>
      <c r="C1112" s="125">
        <v>4.3</v>
      </c>
      <c r="D1112" s="137" t="s">
        <v>3560</v>
      </c>
      <c r="E1112" s="84" t="s">
        <v>3569</v>
      </c>
      <c r="F1112" s="84"/>
      <c r="G1112" s="131"/>
      <c r="H1112" s="186" t="s">
        <v>896</v>
      </c>
      <c r="I1112" s="136" t="s">
        <v>326</v>
      </c>
      <c r="J1112" s="136" t="s">
        <v>341</v>
      </c>
      <c r="K1112" s="136" t="s">
        <v>580</v>
      </c>
      <c r="L1112" s="138" t="s">
        <v>507</v>
      </c>
      <c r="M1112" s="138" t="s">
        <v>508</v>
      </c>
    </row>
    <row r="1113" spans="1:13" s="114" customFormat="1" ht="38.25">
      <c r="A1113" s="136">
        <v>1111</v>
      </c>
      <c r="B1113" s="129" t="s">
        <v>3570</v>
      </c>
      <c r="C1113" s="125">
        <v>4.4000000000000004</v>
      </c>
      <c r="D1113" s="137" t="s">
        <v>3571</v>
      </c>
      <c r="E1113" s="84" t="s">
        <v>3572</v>
      </c>
      <c r="F1113" s="84"/>
      <c r="G1113" s="131"/>
      <c r="H1113" s="186" t="s">
        <v>3550</v>
      </c>
      <c r="I1113" s="136" t="s">
        <v>326</v>
      </c>
      <c r="J1113" s="136" t="s">
        <v>331</v>
      </c>
      <c r="K1113" s="136" t="s">
        <v>512</v>
      </c>
      <c r="L1113" s="138" t="s">
        <v>507</v>
      </c>
      <c r="M1113" s="138" t="s">
        <v>508</v>
      </c>
    </row>
    <row r="1114" spans="1:13" s="114" customFormat="1" ht="38.25">
      <c r="A1114" s="136">
        <v>1112</v>
      </c>
      <c r="B1114" s="129" t="s">
        <v>3573</v>
      </c>
      <c r="C1114" s="125">
        <v>4.4000000000000004</v>
      </c>
      <c r="D1114" s="137" t="s">
        <v>3574</v>
      </c>
      <c r="E1114" s="84" t="s">
        <v>3575</v>
      </c>
      <c r="F1114" s="84"/>
      <c r="G1114" s="131"/>
      <c r="H1114" s="186" t="s">
        <v>543</v>
      </c>
      <c r="I1114" s="136" t="s">
        <v>326</v>
      </c>
      <c r="J1114" s="136" t="s">
        <v>331</v>
      </c>
      <c r="K1114" s="136" t="s">
        <v>512</v>
      </c>
      <c r="L1114" s="138" t="s">
        <v>507</v>
      </c>
      <c r="M1114" s="138" t="s">
        <v>508</v>
      </c>
    </row>
    <row r="1115" spans="1:13" s="114" customFormat="1" ht="38.25">
      <c r="A1115" s="136">
        <v>1113</v>
      </c>
      <c r="B1115" s="129" t="s">
        <v>3576</v>
      </c>
      <c r="C1115" s="125" t="s">
        <v>3577</v>
      </c>
      <c r="D1115" s="137" t="s">
        <v>3574</v>
      </c>
      <c r="E1115" s="84" t="s">
        <v>3578</v>
      </c>
      <c r="F1115" s="84"/>
      <c r="G1115" s="131"/>
      <c r="H1115" s="186" t="s">
        <v>509</v>
      </c>
      <c r="I1115" s="136" t="s">
        <v>326</v>
      </c>
      <c r="J1115" s="125" t="s">
        <v>331</v>
      </c>
      <c r="K1115" s="136" t="s">
        <v>512</v>
      </c>
      <c r="L1115" s="138" t="s">
        <v>507</v>
      </c>
      <c r="M1115" s="138" t="s">
        <v>508</v>
      </c>
    </row>
    <row r="1116" spans="1:13" s="114" customFormat="1" ht="38.25">
      <c r="A1116" s="136">
        <v>1114</v>
      </c>
      <c r="B1116" s="129" t="s">
        <v>3579</v>
      </c>
      <c r="C1116" s="125" t="s">
        <v>3577</v>
      </c>
      <c r="D1116" s="137" t="s">
        <v>3574</v>
      </c>
      <c r="E1116" s="84" t="s">
        <v>3580</v>
      </c>
      <c r="F1116" s="84"/>
      <c r="G1116" s="131"/>
      <c r="H1116" s="186" t="s">
        <v>509</v>
      </c>
      <c r="I1116" s="136" t="s">
        <v>326</v>
      </c>
      <c r="J1116" s="125" t="s">
        <v>331</v>
      </c>
      <c r="K1116" s="136" t="s">
        <v>512</v>
      </c>
      <c r="L1116" s="138" t="s">
        <v>507</v>
      </c>
      <c r="M1116" s="138" t="s">
        <v>508</v>
      </c>
    </row>
    <row r="1117" spans="1:13" s="114" customFormat="1" ht="38.25">
      <c r="A1117" s="136">
        <v>1115</v>
      </c>
      <c r="B1117" s="129" t="s">
        <v>3581</v>
      </c>
      <c r="C1117" s="125">
        <v>4.5</v>
      </c>
      <c r="D1117" s="137" t="s">
        <v>3582</v>
      </c>
      <c r="E1117" s="84" t="s">
        <v>3583</v>
      </c>
      <c r="F1117" s="84"/>
      <c r="G1117" s="131"/>
      <c r="H1117" s="186" t="s">
        <v>535</v>
      </c>
      <c r="I1117" s="136" t="s">
        <v>326</v>
      </c>
      <c r="J1117" s="136" t="s">
        <v>331</v>
      </c>
      <c r="K1117" s="136" t="s">
        <v>512</v>
      </c>
      <c r="L1117" s="138" t="s">
        <v>507</v>
      </c>
      <c r="M1117" s="138" t="s">
        <v>508</v>
      </c>
    </row>
    <row r="1118" spans="1:13" s="114" customFormat="1" ht="25.5">
      <c r="A1118" s="136">
        <v>1116</v>
      </c>
      <c r="B1118" s="129" t="s">
        <v>3584</v>
      </c>
      <c r="C1118" s="125">
        <v>4.7</v>
      </c>
      <c r="D1118" s="137" t="s">
        <v>3585</v>
      </c>
      <c r="E1118" s="84" t="s">
        <v>3586</v>
      </c>
      <c r="F1118" s="84"/>
      <c r="G1118" s="131"/>
      <c r="H1118" s="186" t="s">
        <v>1525</v>
      </c>
      <c r="I1118" s="136" t="s">
        <v>326</v>
      </c>
      <c r="J1118" s="136" t="s">
        <v>341</v>
      </c>
      <c r="K1118" s="136" t="s">
        <v>1526</v>
      </c>
      <c r="L1118" s="138" t="s">
        <v>507</v>
      </c>
      <c r="M1118" s="138" t="s">
        <v>508</v>
      </c>
    </row>
    <row r="1119" spans="1:13" s="114" customFormat="1" ht="25.5">
      <c r="A1119" s="136">
        <v>1117</v>
      </c>
      <c r="B1119" s="129" t="s">
        <v>3587</v>
      </c>
      <c r="C1119" s="125">
        <v>4.7</v>
      </c>
      <c r="D1119" s="137" t="s">
        <v>3588</v>
      </c>
      <c r="E1119" s="84" t="s">
        <v>3589</v>
      </c>
      <c r="F1119" s="84"/>
      <c r="G1119" s="131"/>
      <c r="H1119" s="186" t="s">
        <v>2582</v>
      </c>
      <c r="I1119" s="136" t="s">
        <v>326</v>
      </c>
      <c r="J1119" s="136" t="s">
        <v>341</v>
      </c>
      <c r="K1119" s="136" t="s">
        <v>570</v>
      </c>
      <c r="L1119" s="138" t="s">
        <v>507</v>
      </c>
      <c r="M1119" s="138" t="s">
        <v>508</v>
      </c>
    </row>
    <row r="1120" spans="1:13" s="114" customFormat="1" ht="38.25">
      <c r="A1120" s="136">
        <v>1118</v>
      </c>
      <c r="B1120" s="129" t="s">
        <v>3590</v>
      </c>
      <c r="C1120" s="125">
        <v>4.8</v>
      </c>
      <c r="D1120" s="137" t="s">
        <v>3591</v>
      </c>
      <c r="E1120" s="84" t="s">
        <v>3592</v>
      </c>
      <c r="F1120" s="84"/>
      <c r="G1120" s="131"/>
      <c r="H1120" s="186" t="s">
        <v>1617</v>
      </c>
      <c r="I1120" s="136" t="s">
        <v>326</v>
      </c>
      <c r="J1120" s="125" t="s">
        <v>352</v>
      </c>
      <c r="K1120" s="125" t="s">
        <v>561</v>
      </c>
      <c r="L1120" s="138" t="s">
        <v>507</v>
      </c>
      <c r="M1120" s="138" t="s">
        <v>508</v>
      </c>
    </row>
    <row r="1121" spans="1:13" s="114" customFormat="1" ht="38.25">
      <c r="A1121" s="136">
        <v>1119</v>
      </c>
      <c r="B1121" s="129" t="s">
        <v>3593</v>
      </c>
      <c r="C1121" s="125">
        <v>4.9000000000000004</v>
      </c>
      <c r="D1121" s="137" t="s">
        <v>3594</v>
      </c>
      <c r="E1121" s="84" t="s">
        <v>3595</v>
      </c>
      <c r="F1121" s="84"/>
      <c r="G1121" s="131"/>
      <c r="H1121" s="186" t="s">
        <v>2356</v>
      </c>
      <c r="I1121" s="136" t="s">
        <v>326</v>
      </c>
      <c r="J1121" s="136" t="s">
        <v>331</v>
      </c>
      <c r="K1121" s="136" t="s">
        <v>512</v>
      </c>
      <c r="L1121" s="138" t="s">
        <v>507</v>
      </c>
      <c r="M1121" s="138" t="s">
        <v>508</v>
      </c>
    </row>
    <row r="1122" spans="1:13" s="114" customFormat="1" ht="38.25">
      <c r="A1122" s="136">
        <v>1120</v>
      </c>
      <c r="B1122" s="129" t="s">
        <v>3596</v>
      </c>
      <c r="C1122" s="125">
        <v>4.9000000000000004</v>
      </c>
      <c r="D1122" s="137" t="s">
        <v>3597</v>
      </c>
      <c r="E1122" s="84" t="s">
        <v>3598</v>
      </c>
      <c r="F1122" s="113"/>
      <c r="G1122" s="131"/>
      <c r="H1122" s="186" t="s">
        <v>2356</v>
      </c>
      <c r="I1122" s="136" t="s">
        <v>326</v>
      </c>
      <c r="J1122" s="136" t="s">
        <v>331</v>
      </c>
      <c r="K1122" s="136" t="s">
        <v>512</v>
      </c>
      <c r="L1122" s="138" t="s">
        <v>507</v>
      </c>
      <c r="M1122" s="138" t="s">
        <v>508</v>
      </c>
    </row>
    <row r="1123" spans="1:13" s="114" customFormat="1" ht="25.5">
      <c r="A1123" s="136">
        <v>1121</v>
      </c>
      <c r="B1123" s="129" t="s">
        <v>3599</v>
      </c>
      <c r="C1123" s="125">
        <v>4.9000000000000004</v>
      </c>
      <c r="D1123" s="137" t="s">
        <v>3597</v>
      </c>
      <c r="E1123" s="84" t="s">
        <v>3600</v>
      </c>
      <c r="F1123" s="113"/>
      <c r="G1123" s="131"/>
      <c r="H1123" s="186" t="s">
        <v>523</v>
      </c>
      <c r="I1123" s="136" t="s">
        <v>326</v>
      </c>
      <c r="J1123" s="136" t="s">
        <v>352</v>
      </c>
      <c r="K1123" s="136" t="s">
        <v>526</v>
      </c>
      <c r="L1123" s="138" t="s">
        <v>507</v>
      </c>
      <c r="M1123" s="138" t="s">
        <v>508</v>
      </c>
    </row>
    <row r="1124" spans="1:13" s="114" customFormat="1" ht="38.25">
      <c r="A1124" s="136">
        <v>1122</v>
      </c>
      <c r="B1124" s="129" t="s">
        <v>3601</v>
      </c>
      <c r="C1124" s="125">
        <v>4.9000000000000004</v>
      </c>
      <c r="D1124" s="137" t="s">
        <v>3597</v>
      </c>
      <c r="E1124" s="84" t="s">
        <v>3602</v>
      </c>
      <c r="F1124" s="113"/>
      <c r="G1124" s="131"/>
      <c r="H1124" s="186" t="s">
        <v>2356</v>
      </c>
      <c r="I1124" s="136" t="s">
        <v>326</v>
      </c>
      <c r="J1124" s="136" t="s">
        <v>331</v>
      </c>
      <c r="K1124" s="136" t="s">
        <v>512</v>
      </c>
      <c r="L1124" s="138" t="s">
        <v>507</v>
      </c>
      <c r="M1124" s="138" t="s">
        <v>508</v>
      </c>
    </row>
    <row r="1125" spans="1:13" s="114" customFormat="1" ht="25.5">
      <c r="A1125" s="136">
        <v>1123</v>
      </c>
      <c r="B1125" s="129" t="s">
        <v>3603</v>
      </c>
      <c r="C1125" s="125" t="s">
        <v>3604</v>
      </c>
      <c r="D1125" s="137" t="s">
        <v>3594</v>
      </c>
      <c r="E1125" s="84" t="s">
        <v>3605</v>
      </c>
      <c r="F1125" s="84"/>
      <c r="G1125" s="131"/>
      <c r="H1125" s="186" t="s">
        <v>1671</v>
      </c>
      <c r="I1125" s="136" t="s">
        <v>326</v>
      </c>
      <c r="J1125" s="136" t="s">
        <v>341</v>
      </c>
      <c r="K1125" s="136" t="s">
        <v>580</v>
      </c>
      <c r="L1125" s="138" t="s">
        <v>507</v>
      </c>
      <c r="M1125" s="138" t="s">
        <v>508</v>
      </c>
    </row>
    <row r="1126" spans="1:13" s="114" customFormat="1" ht="51">
      <c r="A1126" s="136">
        <v>1124</v>
      </c>
      <c r="B1126" s="129" t="s">
        <v>3606</v>
      </c>
      <c r="C1126" s="125">
        <v>4.1100000000000003</v>
      </c>
      <c r="D1126" s="137" t="s">
        <v>3594</v>
      </c>
      <c r="E1126" s="84" t="s">
        <v>3607</v>
      </c>
      <c r="F1126" s="84"/>
      <c r="G1126" s="131"/>
      <c r="H1126" s="186" t="s">
        <v>2632</v>
      </c>
      <c r="I1126" s="136" t="s">
        <v>326</v>
      </c>
      <c r="J1126" s="136" t="s">
        <v>346</v>
      </c>
      <c r="K1126" s="136" t="s">
        <v>1465</v>
      </c>
      <c r="L1126" s="138" t="s">
        <v>314</v>
      </c>
      <c r="M1126" s="138" t="s">
        <v>953</v>
      </c>
    </row>
    <row r="1127" spans="1:13" s="114" customFormat="1" ht="51">
      <c r="A1127" s="136">
        <v>1125</v>
      </c>
      <c r="B1127" s="129" t="s">
        <v>3608</v>
      </c>
      <c r="C1127" s="125">
        <v>4.1100000000000003</v>
      </c>
      <c r="D1127" s="137" t="s">
        <v>3597</v>
      </c>
      <c r="E1127" s="84" t="s">
        <v>3609</v>
      </c>
      <c r="F1127" s="84"/>
      <c r="G1127" s="131"/>
      <c r="H1127" s="186" t="s">
        <v>2632</v>
      </c>
      <c r="I1127" s="136" t="s">
        <v>326</v>
      </c>
      <c r="J1127" s="136" t="s">
        <v>346</v>
      </c>
      <c r="K1127" s="136" t="s">
        <v>1465</v>
      </c>
      <c r="L1127" s="138" t="s">
        <v>314</v>
      </c>
      <c r="M1127" s="138" t="s">
        <v>953</v>
      </c>
    </row>
    <row r="1128" spans="1:13" s="114" customFormat="1" ht="51">
      <c r="A1128" s="136">
        <v>1126</v>
      </c>
      <c r="B1128" s="129" t="s">
        <v>3610</v>
      </c>
      <c r="C1128" s="125">
        <v>4.12</v>
      </c>
      <c r="D1128" s="137" t="s">
        <v>3597</v>
      </c>
      <c r="E1128" s="84" t="s">
        <v>3611</v>
      </c>
      <c r="F1128" s="84"/>
      <c r="G1128" s="131"/>
      <c r="H1128" s="186" t="s">
        <v>608</v>
      </c>
      <c r="I1128" s="136" t="s">
        <v>326</v>
      </c>
      <c r="J1128" s="136" t="s">
        <v>331</v>
      </c>
      <c r="K1128" s="136" t="s">
        <v>530</v>
      </c>
      <c r="L1128" s="138" t="s">
        <v>507</v>
      </c>
      <c r="M1128" s="138" t="s">
        <v>508</v>
      </c>
    </row>
    <row r="1129" spans="1:13" s="114" customFormat="1" ht="51">
      <c r="A1129" s="136">
        <v>1127</v>
      </c>
      <c r="B1129" s="129" t="s">
        <v>3612</v>
      </c>
      <c r="C1129" s="125">
        <v>4.13</v>
      </c>
      <c r="D1129" s="137" t="s">
        <v>3594</v>
      </c>
      <c r="E1129" s="84" t="s">
        <v>3613</v>
      </c>
      <c r="F1129" s="84"/>
      <c r="G1129" s="131"/>
      <c r="H1129" s="186" t="s">
        <v>608</v>
      </c>
      <c r="I1129" s="136" t="s">
        <v>326</v>
      </c>
      <c r="J1129" s="136" t="s">
        <v>331</v>
      </c>
      <c r="K1129" s="136" t="s">
        <v>530</v>
      </c>
      <c r="L1129" s="138" t="s">
        <v>507</v>
      </c>
      <c r="M1129" s="138" t="s">
        <v>508</v>
      </c>
    </row>
    <row r="1130" spans="1:13" s="114" customFormat="1" ht="51">
      <c r="A1130" s="136">
        <v>1128</v>
      </c>
      <c r="B1130" s="129" t="s">
        <v>3614</v>
      </c>
      <c r="C1130" s="125">
        <v>4.13</v>
      </c>
      <c r="D1130" s="140" t="s">
        <v>3597</v>
      </c>
      <c r="E1130" s="84" t="s">
        <v>3615</v>
      </c>
      <c r="F1130" s="84"/>
      <c r="G1130" s="131"/>
      <c r="H1130" s="186" t="s">
        <v>1170</v>
      </c>
      <c r="I1130" s="136" t="s">
        <v>326</v>
      </c>
      <c r="J1130" s="136" t="s">
        <v>331</v>
      </c>
      <c r="K1130" s="136" t="s">
        <v>530</v>
      </c>
      <c r="L1130" s="138" t="s">
        <v>507</v>
      </c>
      <c r="M1130" s="138" t="s">
        <v>508</v>
      </c>
    </row>
    <row r="1131" spans="1:13" s="114" customFormat="1" ht="25.5">
      <c r="A1131" s="136">
        <v>1129</v>
      </c>
      <c r="B1131" s="129" t="s">
        <v>3616</v>
      </c>
      <c r="C1131" s="129">
        <v>4.16</v>
      </c>
      <c r="D1131" s="140" t="s">
        <v>3597</v>
      </c>
      <c r="E1131" s="84" t="s">
        <v>3617</v>
      </c>
      <c r="F1131" s="84"/>
      <c r="G1131" s="131"/>
      <c r="H1131" s="186" t="s">
        <v>1041</v>
      </c>
      <c r="I1131" s="136" t="s">
        <v>326</v>
      </c>
      <c r="J1131" s="136" t="s">
        <v>352</v>
      </c>
      <c r="K1131" s="136" t="s">
        <v>1044</v>
      </c>
      <c r="L1131" s="138" t="s">
        <v>507</v>
      </c>
      <c r="M1131" s="138" t="s">
        <v>508</v>
      </c>
    </row>
    <row r="1132" spans="1:13" s="114" customFormat="1" ht="25.5">
      <c r="A1132" s="136">
        <v>1130</v>
      </c>
      <c r="B1132" s="129" t="s">
        <v>3618</v>
      </c>
      <c r="C1132" s="129">
        <v>4.16</v>
      </c>
      <c r="D1132" s="140" t="s">
        <v>3597</v>
      </c>
      <c r="E1132" s="84" t="s">
        <v>3619</v>
      </c>
      <c r="F1132" s="113"/>
      <c r="G1132" s="131"/>
      <c r="H1132" s="186" t="s">
        <v>2575</v>
      </c>
      <c r="I1132" s="136" t="s">
        <v>326</v>
      </c>
      <c r="J1132" s="136" t="s">
        <v>352</v>
      </c>
      <c r="K1132" s="125" t="s">
        <v>1044</v>
      </c>
      <c r="L1132" s="138" t="s">
        <v>507</v>
      </c>
      <c r="M1132" s="138" t="s">
        <v>508</v>
      </c>
    </row>
    <row r="1133" spans="1:13" s="114" customFormat="1" ht="25.5">
      <c r="A1133" s="136">
        <v>1131</v>
      </c>
      <c r="B1133" s="129" t="s">
        <v>3620</v>
      </c>
      <c r="C1133" s="129">
        <v>4.18</v>
      </c>
      <c r="D1133" s="140" t="s">
        <v>3597</v>
      </c>
      <c r="E1133" s="84" t="s">
        <v>3621</v>
      </c>
      <c r="F1133" s="84"/>
      <c r="G1133" s="131"/>
      <c r="H1133" s="186" t="s">
        <v>2582</v>
      </c>
      <c r="I1133" s="136" t="s">
        <v>326</v>
      </c>
      <c r="J1133" s="136" t="s">
        <v>341</v>
      </c>
      <c r="K1133" s="125" t="s">
        <v>570</v>
      </c>
      <c r="L1133" s="138" t="s">
        <v>507</v>
      </c>
      <c r="M1133" s="138" t="s">
        <v>508</v>
      </c>
    </row>
    <row r="1134" spans="1:13" s="114" customFormat="1" ht="12.75">
      <c r="A1134" s="136">
        <v>1132</v>
      </c>
      <c r="B1134" s="129" t="s">
        <v>1735</v>
      </c>
      <c r="C1134" s="129">
        <v>4.18</v>
      </c>
      <c r="D1134" s="140" t="s">
        <v>3597</v>
      </c>
      <c r="E1134" s="84" t="s">
        <v>3622</v>
      </c>
      <c r="F1134" s="84"/>
      <c r="G1134" s="131"/>
      <c r="H1134" s="186" t="s">
        <v>3623</v>
      </c>
      <c r="I1134" s="136" t="s">
        <v>326</v>
      </c>
      <c r="J1134" s="136" t="s">
        <v>341</v>
      </c>
      <c r="K1134" s="125" t="s">
        <v>1736</v>
      </c>
      <c r="L1134" s="138" t="s">
        <v>507</v>
      </c>
      <c r="M1134" s="138" t="s">
        <v>508</v>
      </c>
    </row>
    <row r="1135" spans="1:13" s="114" customFormat="1" ht="25.5">
      <c r="A1135" s="136">
        <v>1133</v>
      </c>
      <c r="B1135" s="129" t="s">
        <v>3624</v>
      </c>
      <c r="C1135" s="129">
        <v>4.1900000000000004</v>
      </c>
      <c r="D1135" s="140" t="s">
        <v>3597</v>
      </c>
      <c r="E1135" s="84" t="s">
        <v>3625</v>
      </c>
      <c r="F1135" s="84"/>
      <c r="G1135" s="131"/>
      <c r="H1135" s="186" t="s">
        <v>600</v>
      </c>
      <c r="I1135" s="136" t="s">
        <v>326</v>
      </c>
      <c r="J1135" s="136" t="s">
        <v>341</v>
      </c>
      <c r="K1135" s="136" t="s">
        <v>601</v>
      </c>
      <c r="L1135" s="138" t="s">
        <v>507</v>
      </c>
      <c r="M1135" s="138" t="s">
        <v>508</v>
      </c>
    </row>
    <row r="1136" spans="1:13" s="114" customFormat="1" ht="38.25">
      <c r="A1136" s="136">
        <v>1134</v>
      </c>
      <c r="B1136" s="129" t="s">
        <v>3626</v>
      </c>
      <c r="C1136" s="146" t="s">
        <v>3627</v>
      </c>
      <c r="D1136" s="147" t="s">
        <v>3628</v>
      </c>
      <c r="E1136" s="84" t="s">
        <v>3629</v>
      </c>
      <c r="F1136" s="118"/>
      <c r="G1136" s="131"/>
      <c r="H1136" s="186" t="s">
        <v>513</v>
      </c>
      <c r="I1136" s="125" t="s">
        <v>326</v>
      </c>
      <c r="J1136" s="125" t="s">
        <v>331</v>
      </c>
      <c r="K1136" s="125" t="s">
        <v>512</v>
      </c>
      <c r="L1136" s="138" t="s">
        <v>507</v>
      </c>
      <c r="M1136" s="138" t="s">
        <v>508</v>
      </c>
    </row>
    <row r="1137" spans="1:13" s="114" customFormat="1" ht="38.25">
      <c r="A1137" s="136">
        <v>1135</v>
      </c>
      <c r="B1137" s="129" t="s">
        <v>3630</v>
      </c>
      <c r="C1137" s="146" t="s">
        <v>3627</v>
      </c>
      <c r="D1137" s="147" t="s">
        <v>3628</v>
      </c>
      <c r="E1137" s="84" t="s">
        <v>3631</v>
      </c>
      <c r="F1137" s="113"/>
      <c r="G1137" s="131"/>
      <c r="H1137" s="186" t="s">
        <v>3550</v>
      </c>
      <c r="I1137" s="125" t="s">
        <v>326</v>
      </c>
      <c r="J1137" s="136" t="s">
        <v>331</v>
      </c>
      <c r="K1137" s="125" t="s">
        <v>512</v>
      </c>
      <c r="L1137" s="138" t="s">
        <v>507</v>
      </c>
      <c r="M1137" s="138" t="s">
        <v>508</v>
      </c>
    </row>
    <row r="1138" spans="1:13" s="114" customFormat="1" ht="38.25">
      <c r="A1138" s="136">
        <v>1136</v>
      </c>
      <c r="B1138" s="129" t="s">
        <v>3632</v>
      </c>
      <c r="C1138" s="125" t="s">
        <v>3633</v>
      </c>
      <c r="D1138" s="137" t="s">
        <v>3634</v>
      </c>
      <c r="E1138" s="84" t="s">
        <v>3635</v>
      </c>
      <c r="F1138" s="113"/>
      <c r="G1138" s="131"/>
      <c r="H1138" s="186" t="s">
        <v>1531</v>
      </c>
      <c r="I1138" s="107" t="s">
        <v>326</v>
      </c>
      <c r="J1138" s="136" t="s">
        <v>346</v>
      </c>
      <c r="K1138" s="125" t="s">
        <v>761</v>
      </c>
      <c r="L1138" s="138" t="s">
        <v>507</v>
      </c>
      <c r="M1138" s="138" t="s">
        <v>508</v>
      </c>
    </row>
    <row r="1139" spans="1:13" s="114" customFormat="1" ht="38.25">
      <c r="A1139" s="136">
        <v>1137</v>
      </c>
      <c r="B1139" s="129" t="s">
        <v>3636</v>
      </c>
      <c r="C1139" s="125" t="s">
        <v>3637</v>
      </c>
      <c r="D1139" s="137" t="s">
        <v>3638</v>
      </c>
      <c r="E1139" s="84" t="s">
        <v>3639</v>
      </c>
      <c r="F1139" s="113"/>
      <c r="G1139" s="131"/>
      <c r="H1139" s="186" t="s">
        <v>3311</v>
      </c>
      <c r="I1139" s="107" t="s">
        <v>326</v>
      </c>
      <c r="J1139" s="125" t="s">
        <v>346</v>
      </c>
      <c r="K1139" s="125" t="s">
        <v>761</v>
      </c>
      <c r="L1139" s="138" t="s">
        <v>507</v>
      </c>
      <c r="M1139" s="138" t="s">
        <v>508</v>
      </c>
    </row>
    <row r="1140" spans="1:13" s="114" customFormat="1" ht="76.5">
      <c r="A1140" s="136">
        <v>1138</v>
      </c>
      <c r="B1140" s="129" t="s">
        <v>3640</v>
      </c>
      <c r="C1140" s="125" t="s">
        <v>3641</v>
      </c>
      <c r="D1140" s="137" t="s">
        <v>3642</v>
      </c>
      <c r="E1140" s="84" t="s">
        <v>3643</v>
      </c>
      <c r="F1140" s="113"/>
      <c r="G1140" s="131"/>
      <c r="H1140" s="186" t="s">
        <v>3311</v>
      </c>
      <c r="I1140" s="107" t="s">
        <v>326</v>
      </c>
      <c r="J1140" s="136" t="s">
        <v>346</v>
      </c>
      <c r="K1140" s="125" t="s">
        <v>761</v>
      </c>
      <c r="L1140" s="138" t="s">
        <v>507</v>
      </c>
      <c r="M1140" s="138" t="s">
        <v>508</v>
      </c>
    </row>
    <row r="1141" spans="1:13" s="114" customFormat="1" ht="25.5">
      <c r="A1141" s="136">
        <v>1139</v>
      </c>
      <c r="B1141" s="129" t="s">
        <v>3644</v>
      </c>
      <c r="C1141" s="125" t="s">
        <v>3645</v>
      </c>
      <c r="D1141" s="137" t="s">
        <v>3646</v>
      </c>
      <c r="E1141" s="84" t="s">
        <v>3647</v>
      </c>
      <c r="F1141" s="113"/>
      <c r="G1141" s="131"/>
      <c r="H1141" s="186" t="s">
        <v>3311</v>
      </c>
      <c r="I1141" s="107" t="s">
        <v>326</v>
      </c>
      <c r="J1141" s="136" t="s">
        <v>346</v>
      </c>
      <c r="K1141" s="125" t="s">
        <v>761</v>
      </c>
      <c r="L1141" s="138" t="s">
        <v>507</v>
      </c>
      <c r="M1141" s="138" t="s">
        <v>508</v>
      </c>
    </row>
    <row r="1142" spans="1:13" s="114" customFormat="1" ht="25.5">
      <c r="A1142" s="136">
        <v>1140</v>
      </c>
      <c r="B1142" s="148" t="s">
        <v>3648</v>
      </c>
      <c r="C1142" s="108" t="s">
        <v>3649</v>
      </c>
      <c r="D1142" s="149" t="s">
        <v>3650</v>
      </c>
      <c r="E1142" s="84" t="s">
        <v>3651</v>
      </c>
      <c r="F1142" s="113"/>
      <c r="G1142" s="131"/>
      <c r="H1142" s="186" t="s">
        <v>1608</v>
      </c>
      <c r="I1142" s="125" t="s">
        <v>326</v>
      </c>
      <c r="J1142" s="125" t="s">
        <v>352</v>
      </c>
      <c r="K1142" s="125" t="s">
        <v>597</v>
      </c>
      <c r="L1142" s="138" t="s">
        <v>507</v>
      </c>
      <c r="M1142" s="138" t="s">
        <v>508</v>
      </c>
    </row>
    <row r="1143" spans="1:13" s="114" customFormat="1" ht="25.5">
      <c r="A1143" s="136">
        <v>1141</v>
      </c>
      <c r="B1143" s="148" t="s">
        <v>3652</v>
      </c>
      <c r="C1143" s="108" t="s">
        <v>3649</v>
      </c>
      <c r="D1143" s="149" t="s">
        <v>3650</v>
      </c>
      <c r="E1143" s="84" t="s">
        <v>3653</v>
      </c>
      <c r="F1143" s="113"/>
      <c r="G1143" s="131"/>
      <c r="H1143" s="186" t="s">
        <v>596</v>
      </c>
      <c r="I1143" s="125" t="s">
        <v>326</v>
      </c>
      <c r="J1143" s="125" t="s">
        <v>352</v>
      </c>
      <c r="K1143" s="125" t="s">
        <v>597</v>
      </c>
      <c r="L1143" s="138" t="s">
        <v>507</v>
      </c>
      <c r="M1143" s="138" t="s">
        <v>508</v>
      </c>
    </row>
    <row r="1144" spans="1:13" s="114" customFormat="1" ht="25.5">
      <c r="A1144" s="136">
        <v>1142</v>
      </c>
      <c r="B1144" s="148" t="s">
        <v>3654</v>
      </c>
      <c r="C1144" s="108" t="s">
        <v>3649</v>
      </c>
      <c r="D1144" s="149" t="s">
        <v>3655</v>
      </c>
      <c r="E1144" s="84" t="s">
        <v>3656</v>
      </c>
      <c r="F1144" s="113"/>
      <c r="G1144" s="131"/>
      <c r="H1144" s="186" t="s">
        <v>896</v>
      </c>
      <c r="I1144" s="125" t="s">
        <v>326</v>
      </c>
      <c r="J1144" s="125" t="s">
        <v>341</v>
      </c>
      <c r="K1144" s="125" t="s">
        <v>580</v>
      </c>
      <c r="L1144" s="138" t="s">
        <v>507</v>
      </c>
      <c r="M1144" s="138" t="s">
        <v>508</v>
      </c>
    </row>
    <row r="1145" spans="1:13" s="114" customFormat="1" ht="38.25">
      <c r="A1145" s="136">
        <v>1143</v>
      </c>
      <c r="B1145" s="148" t="s">
        <v>3657</v>
      </c>
      <c r="C1145" s="108" t="s">
        <v>3649</v>
      </c>
      <c r="D1145" s="149" t="s">
        <v>3658</v>
      </c>
      <c r="E1145" s="84" t="s">
        <v>3659</v>
      </c>
      <c r="F1145" s="113"/>
      <c r="G1145" s="131"/>
      <c r="H1145" s="186" t="s">
        <v>509</v>
      </c>
      <c r="I1145" s="125" t="s">
        <v>326</v>
      </c>
      <c r="J1145" s="125" t="s">
        <v>331</v>
      </c>
      <c r="K1145" s="125" t="s">
        <v>512</v>
      </c>
      <c r="L1145" s="138" t="s">
        <v>507</v>
      </c>
      <c r="M1145" s="138" t="s">
        <v>508</v>
      </c>
    </row>
    <row r="1146" spans="1:13" s="114" customFormat="1" ht="38.25">
      <c r="A1146" s="136">
        <v>1144</v>
      </c>
      <c r="B1146" s="148" t="s">
        <v>3660</v>
      </c>
      <c r="C1146" s="108" t="s">
        <v>3649</v>
      </c>
      <c r="D1146" s="149" t="s">
        <v>3661</v>
      </c>
      <c r="E1146" s="84" t="s">
        <v>3662</v>
      </c>
      <c r="F1146" s="113"/>
      <c r="G1146" s="131"/>
      <c r="H1146" s="186" t="s">
        <v>1041</v>
      </c>
      <c r="I1146" s="125" t="s">
        <v>326</v>
      </c>
      <c r="J1146" s="125" t="s">
        <v>352</v>
      </c>
      <c r="K1146" s="125" t="s">
        <v>1044</v>
      </c>
      <c r="L1146" s="138" t="s">
        <v>507</v>
      </c>
      <c r="M1146" s="138" t="s">
        <v>508</v>
      </c>
    </row>
    <row r="1147" spans="1:13" s="114" customFormat="1" ht="51">
      <c r="A1147" s="136">
        <v>1145</v>
      </c>
      <c r="B1147" s="129" t="s">
        <v>3663</v>
      </c>
      <c r="C1147" s="107">
        <v>1</v>
      </c>
      <c r="D1147" s="139" t="s">
        <v>3664</v>
      </c>
      <c r="E1147" s="84" t="s">
        <v>3665</v>
      </c>
      <c r="F1147" s="113"/>
      <c r="G1147" s="131"/>
      <c r="H1147" s="186" t="s">
        <v>1148</v>
      </c>
      <c r="I1147" s="107" t="s">
        <v>326</v>
      </c>
      <c r="J1147" s="136" t="s">
        <v>331</v>
      </c>
      <c r="K1147" s="136" t="s">
        <v>530</v>
      </c>
      <c r="L1147" s="138" t="s">
        <v>507</v>
      </c>
      <c r="M1147" s="138" t="s">
        <v>508</v>
      </c>
    </row>
    <row r="1148" spans="1:13" s="114" customFormat="1" ht="38.25">
      <c r="A1148" s="136">
        <v>1146</v>
      </c>
      <c r="B1148" s="129" t="s">
        <v>3666</v>
      </c>
      <c r="C1148" s="107">
        <v>1</v>
      </c>
      <c r="D1148" s="139" t="s">
        <v>3664</v>
      </c>
      <c r="E1148" s="84" t="s">
        <v>3667</v>
      </c>
      <c r="F1148" s="113"/>
      <c r="G1148" s="131"/>
      <c r="H1148" s="186" t="s">
        <v>653</v>
      </c>
      <c r="I1148" s="107" t="s">
        <v>326</v>
      </c>
      <c r="J1148" s="136" t="s">
        <v>331</v>
      </c>
      <c r="K1148" s="136" t="s">
        <v>506</v>
      </c>
      <c r="L1148" s="138" t="s">
        <v>507</v>
      </c>
      <c r="M1148" s="138" t="s">
        <v>508</v>
      </c>
    </row>
    <row r="1149" spans="1:13" s="114" customFormat="1" ht="51">
      <c r="A1149" s="136">
        <v>1147</v>
      </c>
      <c r="B1149" s="129" t="s">
        <v>3668</v>
      </c>
      <c r="C1149" s="107">
        <v>1</v>
      </c>
      <c r="D1149" s="139" t="s">
        <v>3669</v>
      </c>
      <c r="E1149" s="84" t="s">
        <v>3670</v>
      </c>
      <c r="F1149" s="113"/>
      <c r="G1149" s="131"/>
      <c r="H1149" s="186" t="s">
        <v>1272</v>
      </c>
      <c r="I1149" s="107" t="s">
        <v>326</v>
      </c>
      <c r="J1149" s="136" t="s">
        <v>331</v>
      </c>
      <c r="K1149" s="136" t="s">
        <v>530</v>
      </c>
      <c r="L1149" s="138" t="s">
        <v>507</v>
      </c>
      <c r="M1149" s="138" t="s">
        <v>508</v>
      </c>
    </row>
    <row r="1150" spans="1:13" s="114" customFormat="1" ht="51">
      <c r="A1150" s="136">
        <v>1148</v>
      </c>
      <c r="B1150" s="129" t="s">
        <v>3671</v>
      </c>
      <c r="C1150" s="107">
        <v>1</v>
      </c>
      <c r="D1150" s="139" t="s">
        <v>3669</v>
      </c>
      <c r="E1150" s="84" t="s">
        <v>3672</v>
      </c>
      <c r="F1150" s="113"/>
      <c r="G1150" s="131"/>
      <c r="H1150" s="186" t="s">
        <v>667</v>
      </c>
      <c r="I1150" s="107" t="s">
        <v>326</v>
      </c>
      <c r="J1150" s="136" t="s">
        <v>331</v>
      </c>
      <c r="K1150" s="136" t="s">
        <v>530</v>
      </c>
      <c r="L1150" s="138" t="s">
        <v>507</v>
      </c>
      <c r="M1150" s="138" t="s">
        <v>508</v>
      </c>
    </row>
    <row r="1151" spans="1:13" s="114" customFormat="1" ht="25.5">
      <c r="A1151" s="136">
        <v>1149</v>
      </c>
      <c r="B1151" s="129" t="s">
        <v>3673</v>
      </c>
      <c r="C1151" s="107">
        <v>1</v>
      </c>
      <c r="D1151" s="139" t="s">
        <v>3674</v>
      </c>
      <c r="E1151" s="84" t="s">
        <v>3675</v>
      </c>
      <c r="F1151" s="113"/>
      <c r="G1151" s="131"/>
      <c r="H1151" s="186" t="s">
        <v>896</v>
      </c>
      <c r="I1151" s="107" t="s">
        <v>326</v>
      </c>
      <c r="J1151" s="136" t="s">
        <v>341</v>
      </c>
      <c r="K1151" s="136" t="s">
        <v>580</v>
      </c>
      <c r="L1151" s="138" t="s">
        <v>507</v>
      </c>
      <c r="M1151" s="138" t="s">
        <v>508</v>
      </c>
    </row>
    <row r="1152" spans="1:13" s="114" customFormat="1" ht="25.5">
      <c r="A1152" s="136">
        <v>1150</v>
      </c>
      <c r="B1152" s="129" t="s">
        <v>3676</v>
      </c>
      <c r="C1152" s="107">
        <v>1</v>
      </c>
      <c r="D1152" s="139" t="s">
        <v>3674</v>
      </c>
      <c r="E1152" s="84" t="s">
        <v>3677</v>
      </c>
      <c r="F1152" s="113"/>
      <c r="G1152" s="131"/>
      <c r="H1152" s="186" t="s">
        <v>577</v>
      </c>
      <c r="I1152" s="107" t="s">
        <v>326</v>
      </c>
      <c r="J1152" s="136" t="s">
        <v>341</v>
      </c>
      <c r="K1152" s="136" t="s">
        <v>580</v>
      </c>
      <c r="L1152" s="138" t="s">
        <v>507</v>
      </c>
      <c r="M1152" s="138" t="s">
        <v>508</v>
      </c>
    </row>
    <row r="1153" spans="1:13" s="114" customFormat="1" ht="51">
      <c r="A1153" s="136">
        <v>1151</v>
      </c>
      <c r="B1153" s="129" t="s">
        <v>3678</v>
      </c>
      <c r="C1153" s="107">
        <v>1</v>
      </c>
      <c r="D1153" s="139" t="s">
        <v>3674</v>
      </c>
      <c r="E1153" s="84" t="s">
        <v>3679</v>
      </c>
      <c r="F1153" s="113"/>
      <c r="G1153" s="131"/>
      <c r="H1153" s="186" t="s">
        <v>974</v>
      </c>
      <c r="I1153" s="107" t="s">
        <v>326</v>
      </c>
      <c r="J1153" s="136" t="s">
        <v>352</v>
      </c>
      <c r="K1153" s="136" t="s">
        <v>597</v>
      </c>
      <c r="L1153" s="138" t="s">
        <v>314</v>
      </c>
      <c r="M1153" s="138" t="s">
        <v>953</v>
      </c>
    </row>
    <row r="1154" spans="1:13" s="114" customFormat="1" ht="25.5">
      <c r="A1154" s="136">
        <v>1152</v>
      </c>
      <c r="B1154" s="129" t="s">
        <v>3680</v>
      </c>
      <c r="C1154" s="107">
        <v>1</v>
      </c>
      <c r="D1154" s="139" t="s">
        <v>3674</v>
      </c>
      <c r="E1154" s="84" t="s">
        <v>3681</v>
      </c>
      <c r="F1154" s="113"/>
      <c r="G1154" s="131"/>
      <c r="H1154" s="186" t="s">
        <v>2632</v>
      </c>
      <c r="I1154" s="107" t="s">
        <v>326</v>
      </c>
      <c r="J1154" s="136" t="s">
        <v>346</v>
      </c>
      <c r="K1154" s="136" t="s">
        <v>1465</v>
      </c>
      <c r="L1154" s="138" t="s">
        <v>314</v>
      </c>
      <c r="M1154" s="138" t="s">
        <v>508</v>
      </c>
    </row>
    <row r="1155" spans="1:13" s="114" customFormat="1" ht="25.5">
      <c r="A1155" s="136">
        <v>1153</v>
      </c>
      <c r="B1155" s="129" t="s">
        <v>3682</v>
      </c>
      <c r="C1155" s="107">
        <v>1</v>
      </c>
      <c r="D1155" s="139" t="s">
        <v>3674</v>
      </c>
      <c r="E1155" s="84" t="s">
        <v>3683</v>
      </c>
      <c r="F1155" s="113"/>
      <c r="G1155" s="131"/>
      <c r="H1155" s="186" t="s">
        <v>1826</v>
      </c>
      <c r="I1155" s="107" t="s">
        <v>327</v>
      </c>
      <c r="J1155" s="136" t="s">
        <v>337</v>
      </c>
      <c r="K1155" s="136" t="s">
        <v>1827</v>
      </c>
      <c r="L1155" s="138" t="s">
        <v>507</v>
      </c>
      <c r="M1155" s="138" t="s">
        <v>508</v>
      </c>
    </row>
    <row r="1156" spans="1:13" s="114" customFormat="1" ht="63.75">
      <c r="A1156" s="136">
        <v>1154</v>
      </c>
      <c r="B1156" s="129" t="s">
        <v>3684</v>
      </c>
      <c r="C1156" s="107">
        <v>1</v>
      </c>
      <c r="D1156" s="139" t="s">
        <v>3674</v>
      </c>
      <c r="E1156" s="84" t="s">
        <v>3685</v>
      </c>
      <c r="F1156" s="113"/>
      <c r="G1156" s="131"/>
      <c r="H1156" s="186" t="s">
        <v>2575</v>
      </c>
      <c r="I1156" s="107" t="s">
        <v>326</v>
      </c>
      <c r="J1156" s="136" t="s">
        <v>352</v>
      </c>
      <c r="K1156" s="136" t="s">
        <v>1044</v>
      </c>
      <c r="L1156" s="138" t="s">
        <v>507</v>
      </c>
      <c r="M1156" s="138" t="s">
        <v>508</v>
      </c>
    </row>
    <row r="1157" spans="1:13" s="114" customFormat="1" ht="38.25">
      <c r="A1157" s="136">
        <v>1155</v>
      </c>
      <c r="B1157" s="129" t="s">
        <v>3686</v>
      </c>
      <c r="C1157" s="107">
        <v>1</v>
      </c>
      <c r="D1157" s="139" t="s">
        <v>3674</v>
      </c>
      <c r="E1157" s="84" t="s">
        <v>3687</v>
      </c>
      <c r="F1157" s="113"/>
      <c r="G1157" s="131"/>
      <c r="H1157" s="186" t="s">
        <v>1735</v>
      </c>
      <c r="I1157" s="107" t="s">
        <v>326</v>
      </c>
      <c r="J1157" s="136" t="s">
        <v>341</v>
      </c>
      <c r="K1157" s="136" t="s">
        <v>1736</v>
      </c>
      <c r="L1157" s="138" t="s">
        <v>316</v>
      </c>
      <c r="M1157" s="138" t="s">
        <v>508</v>
      </c>
    </row>
    <row r="1158" spans="1:13" s="114" customFormat="1" ht="51">
      <c r="A1158" s="136">
        <v>1156</v>
      </c>
      <c r="B1158" s="129" t="s">
        <v>3688</v>
      </c>
      <c r="C1158" s="107">
        <v>1</v>
      </c>
      <c r="D1158" s="139" t="s">
        <v>3689</v>
      </c>
      <c r="E1158" s="84" t="s">
        <v>3690</v>
      </c>
      <c r="F1158" s="113"/>
      <c r="G1158" s="131"/>
      <c r="H1158" s="186" t="s">
        <v>1436</v>
      </c>
      <c r="I1158" s="107" t="s">
        <v>326</v>
      </c>
      <c r="J1158" s="136" t="s">
        <v>331</v>
      </c>
      <c r="K1158" s="136" t="s">
        <v>1357</v>
      </c>
      <c r="L1158" s="138" t="s">
        <v>507</v>
      </c>
      <c r="M1158" s="138" t="s">
        <v>508</v>
      </c>
    </row>
    <row r="1159" spans="1:13" s="114" customFormat="1" ht="51">
      <c r="A1159" s="136">
        <v>1157</v>
      </c>
      <c r="B1159" s="129" t="s">
        <v>3691</v>
      </c>
      <c r="C1159" s="107">
        <v>1</v>
      </c>
      <c r="D1159" s="139" t="s">
        <v>3692</v>
      </c>
      <c r="E1159" s="84" t="s">
        <v>3693</v>
      </c>
      <c r="F1159" s="113"/>
      <c r="G1159" s="131"/>
      <c r="H1159" s="186" t="s">
        <v>971</v>
      </c>
      <c r="I1159" s="107" t="s">
        <v>326</v>
      </c>
      <c r="J1159" s="136" t="s">
        <v>352</v>
      </c>
      <c r="K1159" s="136" t="s">
        <v>597</v>
      </c>
      <c r="L1159" s="138" t="s">
        <v>314</v>
      </c>
      <c r="M1159" s="138" t="s">
        <v>953</v>
      </c>
    </row>
    <row r="1160" spans="1:13" s="114" customFormat="1" ht="38.25">
      <c r="A1160" s="136">
        <v>1158</v>
      </c>
      <c r="B1160" s="129" t="s">
        <v>3694</v>
      </c>
      <c r="C1160" s="107">
        <v>1</v>
      </c>
      <c r="D1160" s="139" t="s">
        <v>3692</v>
      </c>
      <c r="E1160" s="84" t="s">
        <v>3695</v>
      </c>
      <c r="F1160" s="113"/>
      <c r="G1160" s="131"/>
      <c r="H1160" s="186" t="s">
        <v>1586</v>
      </c>
      <c r="I1160" s="107" t="s">
        <v>326</v>
      </c>
      <c r="J1160" s="136" t="s">
        <v>331</v>
      </c>
      <c r="K1160" s="136" t="s">
        <v>1191</v>
      </c>
      <c r="L1160" s="138" t="s">
        <v>314</v>
      </c>
      <c r="M1160" s="138" t="s">
        <v>508</v>
      </c>
    </row>
    <row r="1161" spans="1:13" s="114" customFormat="1" ht="51">
      <c r="A1161" s="136">
        <v>1159</v>
      </c>
      <c r="B1161" s="129" t="s">
        <v>3696</v>
      </c>
      <c r="C1161" s="107">
        <v>1</v>
      </c>
      <c r="D1161" s="139" t="s">
        <v>3692</v>
      </c>
      <c r="E1161" s="84" t="s">
        <v>3697</v>
      </c>
      <c r="F1161" s="113"/>
      <c r="G1161" s="131"/>
      <c r="H1161" s="186" t="s">
        <v>974</v>
      </c>
      <c r="I1161" s="107" t="s">
        <v>326</v>
      </c>
      <c r="J1161" s="136" t="s">
        <v>352</v>
      </c>
      <c r="K1161" s="136" t="s">
        <v>597</v>
      </c>
      <c r="L1161" s="138" t="s">
        <v>314</v>
      </c>
      <c r="M1161" s="138" t="s">
        <v>953</v>
      </c>
    </row>
    <row r="1162" spans="1:13" s="114" customFormat="1" ht="38.25">
      <c r="A1162" s="136">
        <v>1160</v>
      </c>
      <c r="B1162" s="129" t="s">
        <v>3698</v>
      </c>
      <c r="C1162" s="107">
        <v>1</v>
      </c>
      <c r="D1162" s="139" t="s">
        <v>3692</v>
      </c>
      <c r="E1162" s="84" t="s">
        <v>3699</v>
      </c>
      <c r="F1162" s="113"/>
      <c r="G1162" s="131"/>
      <c r="H1162" s="186" t="s">
        <v>600</v>
      </c>
      <c r="I1162" s="107" t="s">
        <v>326</v>
      </c>
      <c r="J1162" s="136" t="s">
        <v>341</v>
      </c>
      <c r="K1162" s="136" t="s">
        <v>601</v>
      </c>
      <c r="L1162" s="138" t="s">
        <v>507</v>
      </c>
      <c r="M1162" s="138" t="s">
        <v>508</v>
      </c>
    </row>
    <row r="1163" spans="1:13" s="114" customFormat="1" ht="25.5">
      <c r="A1163" s="136">
        <v>1161</v>
      </c>
      <c r="B1163" s="129" t="s">
        <v>3700</v>
      </c>
      <c r="C1163" s="107">
        <v>1</v>
      </c>
      <c r="D1163" s="139" t="s">
        <v>3692</v>
      </c>
      <c r="E1163" s="84" t="s">
        <v>3701</v>
      </c>
      <c r="F1163" s="113"/>
      <c r="G1163" s="131"/>
      <c r="H1163" s="186" t="s">
        <v>1024</v>
      </c>
      <c r="I1163" s="107" t="s">
        <v>326</v>
      </c>
      <c r="J1163" s="136" t="s">
        <v>341</v>
      </c>
      <c r="K1163" s="136" t="s">
        <v>580</v>
      </c>
      <c r="L1163" s="138" t="s">
        <v>507</v>
      </c>
      <c r="M1163" s="138" t="s">
        <v>508</v>
      </c>
    </row>
    <row r="1164" spans="1:13" s="114" customFormat="1" ht="25.5">
      <c r="A1164" s="136">
        <v>1162</v>
      </c>
      <c r="B1164" s="129" t="s">
        <v>3702</v>
      </c>
      <c r="C1164" s="107">
        <v>1</v>
      </c>
      <c r="D1164" s="139" t="s">
        <v>3703</v>
      </c>
      <c r="E1164" s="84" t="s">
        <v>3704</v>
      </c>
      <c r="F1164" s="113"/>
      <c r="G1164" s="131"/>
      <c r="H1164" s="186" t="s">
        <v>1007</v>
      </c>
      <c r="I1164" s="107" t="s">
        <v>326</v>
      </c>
      <c r="J1164" s="136" t="s">
        <v>352</v>
      </c>
      <c r="K1164" s="136" t="s">
        <v>526</v>
      </c>
      <c r="L1164" s="138" t="s">
        <v>507</v>
      </c>
      <c r="M1164" s="138" t="s">
        <v>508</v>
      </c>
    </row>
    <row r="1165" spans="1:13" s="114" customFormat="1" ht="25.5">
      <c r="A1165" s="136">
        <v>1163</v>
      </c>
      <c r="B1165" s="129" t="s">
        <v>3705</v>
      </c>
      <c r="C1165" s="107">
        <v>1</v>
      </c>
      <c r="D1165" s="139" t="s">
        <v>3706</v>
      </c>
      <c r="E1165" s="84" t="s">
        <v>3707</v>
      </c>
      <c r="F1165" s="113"/>
      <c r="G1165" s="131"/>
      <c r="H1165" s="186" t="s">
        <v>1671</v>
      </c>
      <c r="I1165" s="107" t="s">
        <v>326</v>
      </c>
      <c r="J1165" s="136" t="s">
        <v>341</v>
      </c>
      <c r="K1165" s="136" t="s">
        <v>580</v>
      </c>
      <c r="L1165" s="138" t="s">
        <v>507</v>
      </c>
      <c r="M1165" s="138" t="s">
        <v>508</v>
      </c>
    </row>
    <row r="1166" spans="1:13" s="114" customFormat="1" ht="38.25">
      <c r="A1166" s="136">
        <v>1164</v>
      </c>
      <c r="B1166" s="129" t="s">
        <v>3708</v>
      </c>
      <c r="C1166" s="107">
        <v>1</v>
      </c>
      <c r="D1166" s="139" t="s">
        <v>3706</v>
      </c>
      <c r="E1166" s="84" t="s">
        <v>3709</v>
      </c>
      <c r="F1166" s="113"/>
      <c r="G1166" s="131"/>
      <c r="H1166" s="186" t="s">
        <v>1836</v>
      </c>
      <c r="I1166" s="107" t="s">
        <v>326</v>
      </c>
      <c r="J1166" s="136" t="s">
        <v>349</v>
      </c>
      <c r="K1166" s="136" t="s">
        <v>1336</v>
      </c>
      <c r="L1166" s="138" t="s">
        <v>507</v>
      </c>
      <c r="M1166" s="138" t="s">
        <v>508</v>
      </c>
    </row>
    <row r="1167" spans="1:13" s="114" customFormat="1" ht="51">
      <c r="A1167" s="136">
        <v>1165</v>
      </c>
      <c r="B1167" s="129" t="s">
        <v>3710</v>
      </c>
      <c r="C1167" s="107">
        <v>1</v>
      </c>
      <c r="D1167" s="139" t="s">
        <v>3706</v>
      </c>
      <c r="E1167" s="84" t="s">
        <v>3711</v>
      </c>
      <c r="F1167" s="113"/>
      <c r="G1167" s="131"/>
      <c r="H1167" s="186" t="s">
        <v>1089</v>
      </c>
      <c r="I1167" s="107" t="s">
        <v>327</v>
      </c>
      <c r="J1167" s="136" t="s">
        <v>342</v>
      </c>
      <c r="K1167" s="136" t="s">
        <v>1090</v>
      </c>
      <c r="L1167" s="138" t="s">
        <v>507</v>
      </c>
      <c r="M1167" s="138" t="s">
        <v>508</v>
      </c>
    </row>
    <row r="1168" spans="1:13" s="114" customFormat="1" ht="38.25">
      <c r="A1168" s="136">
        <v>1166</v>
      </c>
      <c r="B1168" s="129" t="s">
        <v>3712</v>
      </c>
      <c r="C1168" s="107">
        <v>1</v>
      </c>
      <c r="D1168" s="139" t="s">
        <v>3706</v>
      </c>
      <c r="E1168" s="84" t="s">
        <v>3713</v>
      </c>
      <c r="F1168" s="118"/>
      <c r="G1168" s="131"/>
      <c r="H1168" s="186" t="s">
        <v>1617</v>
      </c>
      <c r="I1168" s="107" t="s">
        <v>326</v>
      </c>
      <c r="J1168" s="125" t="s">
        <v>352</v>
      </c>
      <c r="K1168" s="125" t="s">
        <v>561</v>
      </c>
      <c r="L1168" s="138" t="s">
        <v>507</v>
      </c>
      <c r="M1168" s="138" t="s">
        <v>508</v>
      </c>
    </row>
    <row r="1169" spans="1:13" s="114" customFormat="1" ht="38.25">
      <c r="A1169" s="136">
        <v>1167</v>
      </c>
      <c r="B1169" s="129" t="s">
        <v>3714</v>
      </c>
      <c r="C1169" s="107">
        <v>1</v>
      </c>
      <c r="D1169" s="139" t="s">
        <v>3715</v>
      </c>
      <c r="E1169" s="84" t="s">
        <v>3716</v>
      </c>
      <c r="F1169" s="113"/>
      <c r="G1169" s="131"/>
      <c r="H1169" s="186" t="s">
        <v>560</v>
      </c>
      <c r="I1169" s="107" t="s">
        <v>326</v>
      </c>
      <c r="J1169" s="125" t="s">
        <v>352</v>
      </c>
      <c r="K1169" s="125" t="s">
        <v>561</v>
      </c>
      <c r="L1169" s="138" t="s">
        <v>507</v>
      </c>
      <c r="M1169" s="138" t="s">
        <v>508</v>
      </c>
    </row>
    <row r="1170" spans="1:13" s="114" customFormat="1" ht="25.5">
      <c r="A1170" s="136">
        <v>1168</v>
      </c>
      <c r="B1170" s="129" t="s">
        <v>3717</v>
      </c>
      <c r="C1170" s="107">
        <v>1</v>
      </c>
      <c r="D1170" s="139" t="s">
        <v>3715</v>
      </c>
      <c r="E1170" s="84" t="s">
        <v>3718</v>
      </c>
      <c r="F1170" s="113"/>
      <c r="G1170" s="131"/>
      <c r="H1170" s="186" t="s">
        <v>1575</v>
      </c>
      <c r="I1170" s="107" t="s">
        <v>326</v>
      </c>
      <c r="J1170" s="136" t="s">
        <v>341</v>
      </c>
      <c r="K1170" s="136" t="s">
        <v>1576</v>
      </c>
      <c r="L1170" s="138" t="s">
        <v>314</v>
      </c>
      <c r="M1170" s="138" t="s">
        <v>508</v>
      </c>
    </row>
    <row r="1171" spans="1:13" s="114" customFormat="1" ht="38.25">
      <c r="A1171" s="136">
        <v>1169</v>
      </c>
      <c r="B1171" s="129" t="s">
        <v>3719</v>
      </c>
      <c r="C1171" s="107">
        <v>2</v>
      </c>
      <c r="D1171" s="139" t="s">
        <v>3720</v>
      </c>
      <c r="E1171" s="84" t="s">
        <v>3721</v>
      </c>
      <c r="F1171" s="113"/>
      <c r="G1171" s="131"/>
      <c r="H1171" s="186" t="s">
        <v>1531</v>
      </c>
      <c r="I1171" s="107" t="s">
        <v>326</v>
      </c>
      <c r="J1171" s="136" t="s">
        <v>346</v>
      </c>
      <c r="K1171" s="125" t="s">
        <v>761</v>
      </c>
      <c r="L1171" s="138" t="s">
        <v>507</v>
      </c>
      <c r="M1171" s="138" t="s">
        <v>508</v>
      </c>
    </row>
    <row r="1172" spans="1:13" s="114" customFormat="1" ht="25.5">
      <c r="A1172" s="136">
        <v>1170</v>
      </c>
      <c r="B1172" s="129" t="s">
        <v>3722</v>
      </c>
      <c r="C1172" s="107">
        <v>2</v>
      </c>
      <c r="D1172" s="139" t="s">
        <v>3723</v>
      </c>
      <c r="E1172" s="84" t="s">
        <v>3724</v>
      </c>
      <c r="F1172" s="113"/>
      <c r="G1172" s="131"/>
      <c r="H1172" s="186" t="s">
        <v>1490</v>
      </c>
      <c r="I1172" s="107" t="s">
        <v>326</v>
      </c>
      <c r="J1172" s="136" t="s">
        <v>346</v>
      </c>
      <c r="K1172" s="125" t="s">
        <v>761</v>
      </c>
      <c r="L1172" s="138" t="s">
        <v>314</v>
      </c>
      <c r="M1172" s="138" t="s">
        <v>508</v>
      </c>
    </row>
    <row r="1173" spans="1:13" s="114" customFormat="1" ht="38.25">
      <c r="A1173" s="136">
        <v>1171</v>
      </c>
      <c r="B1173" s="129" t="s">
        <v>3725</v>
      </c>
      <c r="C1173" s="107">
        <v>2</v>
      </c>
      <c r="D1173" s="139" t="s">
        <v>3726</v>
      </c>
      <c r="E1173" s="84" t="s">
        <v>3727</v>
      </c>
      <c r="F1173" s="113"/>
      <c r="G1173" s="131"/>
      <c r="H1173" s="186" t="s">
        <v>1933</v>
      </c>
      <c r="I1173" s="107" t="s">
        <v>326</v>
      </c>
      <c r="J1173" s="136" t="s">
        <v>341</v>
      </c>
      <c r="K1173" s="136" t="s">
        <v>580</v>
      </c>
      <c r="L1173" s="138" t="s">
        <v>507</v>
      </c>
      <c r="M1173" s="138" t="s">
        <v>508</v>
      </c>
    </row>
    <row r="1174" spans="1:13" s="114" customFormat="1" ht="38.25">
      <c r="A1174" s="136">
        <v>1172</v>
      </c>
      <c r="B1174" s="129" t="s">
        <v>3728</v>
      </c>
      <c r="C1174" s="107">
        <v>2</v>
      </c>
      <c r="D1174" s="139" t="s">
        <v>3726</v>
      </c>
      <c r="E1174" s="84" t="s">
        <v>3729</v>
      </c>
      <c r="F1174" s="113"/>
      <c r="G1174" s="131"/>
      <c r="H1174" s="186" t="s">
        <v>1608</v>
      </c>
      <c r="I1174" s="107" t="s">
        <v>326</v>
      </c>
      <c r="J1174" s="136" t="s">
        <v>352</v>
      </c>
      <c r="K1174" s="136" t="s">
        <v>597</v>
      </c>
      <c r="L1174" s="138" t="s">
        <v>507</v>
      </c>
      <c r="M1174" s="138" t="s">
        <v>508</v>
      </c>
    </row>
    <row r="1175" spans="1:13" s="114" customFormat="1" ht="25.5">
      <c r="A1175" s="136">
        <v>1173</v>
      </c>
      <c r="B1175" s="129" t="s">
        <v>3730</v>
      </c>
      <c r="C1175" s="107">
        <v>2</v>
      </c>
      <c r="D1175" s="139" t="s">
        <v>3731</v>
      </c>
      <c r="E1175" s="84" t="s">
        <v>3732</v>
      </c>
      <c r="F1175" s="113"/>
      <c r="G1175" s="131"/>
      <c r="H1175" s="186" t="s">
        <v>1671</v>
      </c>
      <c r="I1175" s="107" t="s">
        <v>326</v>
      </c>
      <c r="J1175" s="136" t="s">
        <v>341</v>
      </c>
      <c r="K1175" s="136" t="s">
        <v>580</v>
      </c>
      <c r="L1175" s="138" t="s">
        <v>507</v>
      </c>
      <c r="M1175" s="138" t="s">
        <v>508</v>
      </c>
    </row>
    <row r="1176" spans="1:13" s="114" customFormat="1" ht="25.5">
      <c r="A1176" s="136">
        <v>1174</v>
      </c>
      <c r="B1176" s="129" t="s">
        <v>3733</v>
      </c>
      <c r="C1176" s="107">
        <v>2</v>
      </c>
      <c r="D1176" s="139" t="s">
        <v>3731</v>
      </c>
      <c r="E1176" s="84" t="s">
        <v>3734</v>
      </c>
      <c r="F1176" s="113"/>
      <c r="G1176" s="131"/>
      <c r="H1176" s="186" t="s">
        <v>1070</v>
      </c>
      <c r="I1176" s="107" t="s">
        <v>327</v>
      </c>
      <c r="J1176" s="136" t="s">
        <v>337</v>
      </c>
      <c r="K1176" s="136" t="s">
        <v>1071</v>
      </c>
      <c r="L1176" s="138" t="s">
        <v>314</v>
      </c>
      <c r="M1176" s="138" t="s">
        <v>508</v>
      </c>
    </row>
    <row r="1177" spans="1:13" s="114" customFormat="1" ht="38.25">
      <c r="A1177" s="136">
        <v>1175</v>
      </c>
      <c r="B1177" s="129" t="s">
        <v>3735</v>
      </c>
      <c r="C1177" s="107">
        <v>2</v>
      </c>
      <c r="D1177" s="139" t="s">
        <v>3577</v>
      </c>
      <c r="E1177" s="84" t="s">
        <v>3736</v>
      </c>
      <c r="F1177" s="113"/>
      <c r="G1177" s="131"/>
      <c r="H1177" s="186" t="s">
        <v>1041</v>
      </c>
      <c r="I1177" s="107" t="s">
        <v>326</v>
      </c>
      <c r="J1177" s="136" t="s">
        <v>352</v>
      </c>
      <c r="K1177" s="136" t="s">
        <v>1044</v>
      </c>
      <c r="L1177" s="138" t="s">
        <v>507</v>
      </c>
      <c r="M1177" s="138" t="s">
        <v>508</v>
      </c>
    </row>
    <row r="1178" spans="1:13" s="114" customFormat="1" ht="38.25">
      <c r="A1178" s="136">
        <v>1176</v>
      </c>
      <c r="B1178" s="129" t="s">
        <v>3737</v>
      </c>
      <c r="C1178" s="107">
        <v>3</v>
      </c>
      <c r="D1178" s="139" t="s">
        <v>3738</v>
      </c>
      <c r="E1178" s="84" t="s">
        <v>3739</v>
      </c>
      <c r="F1178" s="113"/>
      <c r="G1178" s="131"/>
      <c r="H1178" s="186" t="s">
        <v>1650</v>
      </c>
      <c r="I1178" s="107" t="s">
        <v>326</v>
      </c>
      <c r="J1178" s="136" t="s">
        <v>341</v>
      </c>
      <c r="K1178" s="136" t="s">
        <v>580</v>
      </c>
      <c r="L1178" s="138" t="s">
        <v>507</v>
      </c>
      <c r="M1178" s="138" t="s">
        <v>508</v>
      </c>
    </row>
    <row r="1179" spans="1:13" s="114" customFormat="1" ht="25.5">
      <c r="A1179" s="136">
        <v>1177</v>
      </c>
      <c r="B1179" s="129" t="s">
        <v>3740</v>
      </c>
      <c r="C1179" s="107">
        <v>3</v>
      </c>
      <c r="D1179" s="139" t="s">
        <v>3741</v>
      </c>
      <c r="E1179" s="84" t="s">
        <v>3742</v>
      </c>
      <c r="F1179" s="113"/>
      <c r="G1179" s="131"/>
      <c r="H1179" s="186" t="s">
        <v>1671</v>
      </c>
      <c r="I1179" s="107" t="s">
        <v>326</v>
      </c>
      <c r="J1179" s="136" t="s">
        <v>341</v>
      </c>
      <c r="K1179" s="136" t="s">
        <v>580</v>
      </c>
      <c r="L1179" s="138" t="s">
        <v>507</v>
      </c>
      <c r="M1179" s="138" t="s">
        <v>508</v>
      </c>
    </row>
    <row r="1180" spans="1:13" s="114" customFormat="1" ht="25.5">
      <c r="A1180" s="136">
        <v>1178</v>
      </c>
      <c r="B1180" s="129" t="s">
        <v>3743</v>
      </c>
      <c r="C1180" s="107">
        <v>4</v>
      </c>
      <c r="D1180" s="139" t="s">
        <v>3744</v>
      </c>
      <c r="E1180" s="84" t="s">
        <v>3745</v>
      </c>
      <c r="F1180" s="113"/>
      <c r="G1180" s="131"/>
      <c r="H1180" s="186" t="s">
        <v>1024</v>
      </c>
      <c r="I1180" s="107" t="s">
        <v>326</v>
      </c>
      <c r="J1180" s="136" t="s">
        <v>341</v>
      </c>
      <c r="K1180" s="136" t="s">
        <v>580</v>
      </c>
      <c r="L1180" s="138" t="s">
        <v>507</v>
      </c>
      <c r="M1180" s="138" t="s">
        <v>508</v>
      </c>
    </row>
    <row r="1181" spans="1:13" s="114" customFormat="1" ht="25.5">
      <c r="A1181" s="136">
        <v>1179</v>
      </c>
      <c r="B1181" s="129" t="s">
        <v>3746</v>
      </c>
      <c r="C1181" s="107">
        <v>4</v>
      </c>
      <c r="D1181" s="139" t="s">
        <v>3744</v>
      </c>
      <c r="E1181" s="84" t="s">
        <v>3747</v>
      </c>
      <c r="F1181" s="113"/>
      <c r="G1181" s="131"/>
      <c r="H1181" s="186" t="s">
        <v>1331</v>
      </c>
      <c r="I1181" s="107" t="s">
        <v>326</v>
      </c>
      <c r="J1181" s="136" t="s">
        <v>349</v>
      </c>
      <c r="K1181" s="136" t="s">
        <v>1336</v>
      </c>
      <c r="L1181" s="138" t="s">
        <v>507</v>
      </c>
      <c r="M1181" s="138" t="s">
        <v>508</v>
      </c>
    </row>
    <row r="1182" spans="1:13" s="114" customFormat="1" ht="25.5">
      <c r="A1182" s="136">
        <v>1180</v>
      </c>
      <c r="B1182" s="129" t="s">
        <v>3748</v>
      </c>
      <c r="C1182" s="107">
        <v>5</v>
      </c>
      <c r="D1182" s="139" t="s">
        <v>3749</v>
      </c>
      <c r="E1182" s="84" t="s">
        <v>3750</v>
      </c>
      <c r="F1182" s="113"/>
      <c r="G1182" s="131"/>
      <c r="H1182" s="186" t="s">
        <v>892</v>
      </c>
      <c r="I1182" s="107" t="s">
        <v>326</v>
      </c>
      <c r="J1182" s="136" t="s">
        <v>346</v>
      </c>
      <c r="K1182" s="136" t="s">
        <v>893</v>
      </c>
      <c r="L1182" s="138" t="s">
        <v>507</v>
      </c>
      <c r="M1182" s="138" t="s">
        <v>508</v>
      </c>
    </row>
    <row r="1183" spans="1:13" s="114" customFormat="1" ht="25.5">
      <c r="A1183" s="136">
        <v>1181</v>
      </c>
      <c r="B1183" s="129" t="s">
        <v>3751</v>
      </c>
      <c r="C1183" s="107">
        <v>5</v>
      </c>
      <c r="D1183" s="139" t="s">
        <v>3749</v>
      </c>
      <c r="E1183" s="84" t="s">
        <v>3752</v>
      </c>
      <c r="F1183" s="118"/>
      <c r="G1183" s="131"/>
      <c r="H1183" s="186" t="s">
        <v>896</v>
      </c>
      <c r="I1183" s="107" t="s">
        <v>326</v>
      </c>
      <c r="J1183" s="136" t="s">
        <v>341</v>
      </c>
      <c r="K1183" s="136" t="s">
        <v>580</v>
      </c>
      <c r="L1183" s="138" t="s">
        <v>507</v>
      </c>
      <c r="M1183" s="138" t="s">
        <v>508</v>
      </c>
    </row>
    <row r="1184" spans="1:13" s="114" customFormat="1" ht="25.5">
      <c r="A1184" s="136">
        <v>1182</v>
      </c>
      <c r="B1184" s="129" t="s">
        <v>3753</v>
      </c>
      <c r="C1184" s="107">
        <v>5</v>
      </c>
      <c r="D1184" s="139" t="s">
        <v>3749</v>
      </c>
      <c r="E1184" s="84" t="s">
        <v>3754</v>
      </c>
      <c r="F1184" s="113"/>
      <c r="G1184" s="131"/>
      <c r="H1184" s="186" t="s">
        <v>1403</v>
      </c>
      <c r="I1184" s="107" t="s">
        <v>326</v>
      </c>
      <c r="J1184" s="136" t="s">
        <v>352</v>
      </c>
      <c r="K1184" s="136" t="s">
        <v>781</v>
      </c>
      <c r="L1184" s="138" t="s">
        <v>507</v>
      </c>
      <c r="M1184" s="138" t="s">
        <v>508</v>
      </c>
    </row>
    <row r="1185" spans="1:13" s="114" customFormat="1" ht="38.25">
      <c r="A1185" s="136">
        <v>1183</v>
      </c>
      <c r="B1185" s="129" t="s">
        <v>3755</v>
      </c>
      <c r="C1185" s="107">
        <v>1</v>
      </c>
      <c r="D1185" s="139" t="s">
        <v>3756</v>
      </c>
      <c r="E1185" s="84" t="s">
        <v>3757</v>
      </c>
      <c r="F1185" s="113"/>
      <c r="G1185" s="131"/>
      <c r="H1185" s="186" t="s">
        <v>1041</v>
      </c>
      <c r="I1185" s="107" t="s">
        <v>326</v>
      </c>
      <c r="J1185" s="136" t="s">
        <v>352</v>
      </c>
      <c r="K1185" s="136" t="s">
        <v>1044</v>
      </c>
      <c r="L1185" s="138" t="s">
        <v>507</v>
      </c>
      <c r="M1185" s="138" t="s">
        <v>508</v>
      </c>
    </row>
    <row r="1186" spans="1:13" s="114" customFormat="1" ht="38.25">
      <c r="A1186" s="136">
        <v>1184</v>
      </c>
      <c r="B1186" s="129" t="s">
        <v>3758</v>
      </c>
      <c r="C1186" s="107">
        <v>1</v>
      </c>
      <c r="D1186" s="139" t="s">
        <v>3756</v>
      </c>
      <c r="E1186" s="84" t="s">
        <v>3759</v>
      </c>
      <c r="F1186" s="113"/>
      <c r="G1186" s="131"/>
      <c r="H1186" s="186" t="s">
        <v>509</v>
      </c>
      <c r="I1186" s="107" t="s">
        <v>326</v>
      </c>
      <c r="J1186" s="136" t="s">
        <v>331</v>
      </c>
      <c r="K1186" s="136" t="s">
        <v>512</v>
      </c>
      <c r="L1186" s="107" t="s">
        <v>507</v>
      </c>
      <c r="M1186" s="138" t="s">
        <v>508</v>
      </c>
    </row>
    <row r="1187" spans="1:13" s="114" customFormat="1" ht="38.25">
      <c r="A1187" s="136">
        <v>1185</v>
      </c>
      <c r="B1187" s="129" t="s">
        <v>3760</v>
      </c>
      <c r="C1187" s="107">
        <v>1</v>
      </c>
      <c r="D1187" s="139" t="s">
        <v>3664</v>
      </c>
      <c r="E1187" s="84" t="s">
        <v>3761</v>
      </c>
      <c r="F1187" s="113"/>
      <c r="G1187" s="131"/>
      <c r="H1187" s="186" t="s">
        <v>509</v>
      </c>
      <c r="I1187" s="107" t="s">
        <v>326</v>
      </c>
      <c r="J1187" s="136" t="s">
        <v>331</v>
      </c>
      <c r="K1187" s="136" t="s">
        <v>512</v>
      </c>
      <c r="L1187" s="138" t="s">
        <v>507</v>
      </c>
      <c r="M1187" s="138" t="s">
        <v>508</v>
      </c>
    </row>
    <row r="1188" spans="1:13" s="114" customFormat="1" ht="38.25">
      <c r="A1188" s="136">
        <v>1186</v>
      </c>
      <c r="B1188" s="129" t="s">
        <v>3762</v>
      </c>
      <c r="C1188" s="107">
        <v>1</v>
      </c>
      <c r="D1188" s="139" t="s">
        <v>3664</v>
      </c>
      <c r="E1188" s="84" t="s">
        <v>3763</v>
      </c>
      <c r="F1188" s="113"/>
      <c r="G1188" s="131"/>
      <c r="H1188" s="186" t="s">
        <v>501</v>
      </c>
      <c r="I1188" s="107" t="s">
        <v>326</v>
      </c>
      <c r="J1188" s="136" t="s">
        <v>331</v>
      </c>
      <c r="K1188" s="136" t="s">
        <v>506</v>
      </c>
      <c r="L1188" s="138" t="s">
        <v>507</v>
      </c>
      <c r="M1188" s="138" t="s">
        <v>508</v>
      </c>
    </row>
    <row r="1189" spans="1:13" s="114" customFormat="1" ht="38.25">
      <c r="A1189" s="136">
        <v>1187</v>
      </c>
      <c r="B1189" s="129" t="s">
        <v>3764</v>
      </c>
      <c r="C1189" s="107">
        <v>1</v>
      </c>
      <c r="D1189" s="139" t="s">
        <v>3664</v>
      </c>
      <c r="E1189" s="84" t="s">
        <v>3765</v>
      </c>
      <c r="F1189" s="113"/>
      <c r="G1189" s="131"/>
      <c r="H1189" s="186" t="s">
        <v>633</v>
      </c>
      <c r="I1189" s="107" t="s">
        <v>326</v>
      </c>
      <c r="J1189" s="136" t="s">
        <v>331</v>
      </c>
      <c r="K1189" s="136" t="s">
        <v>512</v>
      </c>
      <c r="L1189" s="138" t="s">
        <v>507</v>
      </c>
      <c r="M1189" s="138" t="s">
        <v>508</v>
      </c>
    </row>
    <row r="1190" spans="1:13" s="114" customFormat="1" ht="51">
      <c r="A1190" s="136">
        <v>1188</v>
      </c>
      <c r="B1190" s="129" t="s">
        <v>3766</v>
      </c>
      <c r="C1190" s="107">
        <v>1</v>
      </c>
      <c r="D1190" s="139" t="s">
        <v>3664</v>
      </c>
      <c r="E1190" s="84" t="s">
        <v>3767</v>
      </c>
      <c r="F1190" s="113"/>
      <c r="G1190" s="131"/>
      <c r="H1190" s="186" t="s">
        <v>1148</v>
      </c>
      <c r="I1190" s="107" t="s">
        <v>326</v>
      </c>
      <c r="J1190" s="136" t="s">
        <v>331</v>
      </c>
      <c r="K1190" s="136" t="s">
        <v>530</v>
      </c>
      <c r="L1190" s="138" t="s">
        <v>507</v>
      </c>
      <c r="M1190" s="138" t="s">
        <v>508</v>
      </c>
    </row>
    <row r="1191" spans="1:13" s="114" customFormat="1" ht="25.5">
      <c r="A1191" s="136">
        <v>1189</v>
      </c>
      <c r="B1191" s="129" t="s">
        <v>3768</v>
      </c>
      <c r="C1191" s="129" t="s">
        <v>3769</v>
      </c>
      <c r="D1191" s="140" t="s">
        <v>3770</v>
      </c>
      <c r="E1191" s="84" t="s">
        <v>3771</v>
      </c>
      <c r="F1191" s="113"/>
      <c r="G1191" s="131"/>
      <c r="H1191" s="186" t="s">
        <v>1024</v>
      </c>
      <c r="I1191" s="107" t="s">
        <v>326</v>
      </c>
      <c r="J1191" s="136" t="s">
        <v>341</v>
      </c>
      <c r="K1191" s="136" t="s">
        <v>580</v>
      </c>
      <c r="L1191" s="138" t="s">
        <v>507</v>
      </c>
      <c r="M1191" s="138" t="s">
        <v>508</v>
      </c>
    </row>
    <row r="1192" spans="1:13" s="114" customFormat="1" ht="51">
      <c r="A1192" s="136">
        <v>1190</v>
      </c>
      <c r="B1192" s="129" t="s">
        <v>3772</v>
      </c>
      <c r="C1192" s="129" t="s">
        <v>3773</v>
      </c>
      <c r="D1192" s="140" t="s">
        <v>3774</v>
      </c>
      <c r="E1192" s="84" t="s">
        <v>3775</v>
      </c>
      <c r="F1192" s="113"/>
      <c r="G1192" s="131"/>
      <c r="H1192" s="186" t="s">
        <v>1579</v>
      </c>
      <c r="I1192" s="107" t="s">
        <v>327</v>
      </c>
      <c r="J1192" s="136" t="s">
        <v>337</v>
      </c>
      <c r="K1192" s="136" t="s">
        <v>1440</v>
      </c>
      <c r="L1192" s="138" t="s">
        <v>314</v>
      </c>
      <c r="M1192" s="138" t="s">
        <v>953</v>
      </c>
    </row>
    <row r="1193" spans="1:13" s="114" customFormat="1" ht="51">
      <c r="A1193" s="136">
        <v>1191</v>
      </c>
      <c r="B1193" s="129" t="s">
        <v>3776</v>
      </c>
      <c r="C1193" s="129" t="s">
        <v>3773</v>
      </c>
      <c r="D1193" s="140" t="s">
        <v>3774</v>
      </c>
      <c r="E1193" s="84" t="s">
        <v>3777</v>
      </c>
      <c r="F1193" s="113"/>
      <c r="G1193" s="131"/>
      <c r="H1193" s="186" t="s">
        <v>1437</v>
      </c>
      <c r="I1193" s="107" t="s">
        <v>327</v>
      </c>
      <c r="J1193" s="136" t="s">
        <v>337</v>
      </c>
      <c r="K1193" s="136" t="s">
        <v>1440</v>
      </c>
      <c r="L1193" s="138" t="s">
        <v>314</v>
      </c>
      <c r="M1193" s="138" t="s">
        <v>953</v>
      </c>
    </row>
    <row r="1194" spans="1:13" s="114" customFormat="1" ht="51">
      <c r="A1194" s="136">
        <v>1192</v>
      </c>
      <c r="B1194" s="129" t="s">
        <v>3778</v>
      </c>
      <c r="C1194" s="129" t="s">
        <v>3773</v>
      </c>
      <c r="D1194" s="140" t="s">
        <v>3774</v>
      </c>
      <c r="E1194" s="84" t="s">
        <v>3779</v>
      </c>
      <c r="F1194" s="113"/>
      <c r="G1194" s="131"/>
      <c r="H1194" s="186" t="s">
        <v>1899</v>
      </c>
      <c r="I1194" s="107" t="s">
        <v>327</v>
      </c>
      <c r="J1194" s="136" t="s">
        <v>337</v>
      </c>
      <c r="K1194" s="136" t="s">
        <v>1900</v>
      </c>
      <c r="L1194" s="138" t="s">
        <v>314</v>
      </c>
      <c r="M1194" s="138" t="s">
        <v>953</v>
      </c>
    </row>
    <row r="1195" spans="1:13" s="114" customFormat="1" ht="51">
      <c r="A1195" s="136">
        <v>1193</v>
      </c>
      <c r="B1195" s="129" t="s">
        <v>3780</v>
      </c>
      <c r="C1195" s="129" t="s">
        <v>3773</v>
      </c>
      <c r="D1195" s="140" t="s">
        <v>3774</v>
      </c>
      <c r="E1195" s="84" t="s">
        <v>3781</v>
      </c>
      <c r="F1195" s="113"/>
      <c r="G1195" s="131"/>
      <c r="H1195" s="186" t="s">
        <v>971</v>
      </c>
      <c r="I1195" s="107" t="s">
        <v>326</v>
      </c>
      <c r="J1195" s="136" t="s">
        <v>352</v>
      </c>
      <c r="K1195" s="136" t="s">
        <v>597</v>
      </c>
      <c r="L1195" s="138" t="s">
        <v>314</v>
      </c>
      <c r="M1195" s="138" t="s">
        <v>953</v>
      </c>
    </row>
    <row r="1196" spans="1:13" s="114" customFormat="1" ht="51">
      <c r="A1196" s="136">
        <v>1194</v>
      </c>
      <c r="B1196" s="129" t="s">
        <v>3782</v>
      </c>
      <c r="C1196" s="150">
        <v>12.2</v>
      </c>
      <c r="D1196" s="151" t="s">
        <v>3783</v>
      </c>
      <c r="E1196" s="84" t="s">
        <v>3784</v>
      </c>
      <c r="F1196" s="113"/>
      <c r="G1196" s="131"/>
      <c r="H1196" s="186" t="s">
        <v>660</v>
      </c>
      <c r="I1196" s="107" t="s">
        <v>326</v>
      </c>
      <c r="J1196" s="136" t="s">
        <v>331</v>
      </c>
      <c r="K1196" s="136" t="s">
        <v>530</v>
      </c>
      <c r="L1196" s="138" t="s">
        <v>507</v>
      </c>
      <c r="M1196" s="138" t="s">
        <v>508</v>
      </c>
    </row>
    <row r="1197" spans="1:13" s="114" customFormat="1" ht="51">
      <c r="A1197" s="136">
        <v>1195</v>
      </c>
      <c r="B1197" s="129" t="s">
        <v>3785</v>
      </c>
      <c r="C1197" s="150">
        <v>12.2</v>
      </c>
      <c r="D1197" s="151" t="s">
        <v>3783</v>
      </c>
      <c r="E1197" s="84" t="s">
        <v>3786</v>
      </c>
      <c r="F1197" s="113"/>
      <c r="G1197" s="131"/>
      <c r="H1197" s="186" t="s">
        <v>3787</v>
      </c>
      <c r="I1197" s="107" t="s">
        <v>326</v>
      </c>
      <c r="J1197" s="136" t="s">
        <v>331</v>
      </c>
      <c r="K1197" s="136" t="s">
        <v>530</v>
      </c>
      <c r="L1197" s="138" t="s">
        <v>507</v>
      </c>
      <c r="M1197" s="138" t="s">
        <v>508</v>
      </c>
    </row>
    <row r="1198" spans="1:13" s="114" customFormat="1" ht="25.5">
      <c r="A1198" s="136">
        <v>1196</v>
      </c>
      <c r="B1198" s="129" t="s">
        <v>3788</v>
      </c>
      <c r="C1198" s="150">
        <v>12.2</v>
      </c>
      <c r="D1198" s="151" t="s">
        <v>3783</v>
      </c>
      <c r="E1198" s="84" t="s">
        <v>3789</v>
      </c>
      <c r="F1198" s="113"/>
      <c r="G1198" s="131"/>
      <c r="H1198" s="186" t="s">
        <v>1568</v>
      </c>
      <c r="I1198" s="107" t="s">
        <v>326</v>
      </c>
      <c r="J1198" s="136" t="s">
        <v>346</v>
      </c>
      <c r="K1198" s="125" t="s">
        <v>761</v>
      </c>
      <c r="L1198" s="138" t="s">
        <v>507</v>
      </c>
      <c r="M1198" s="138" t="s">
        <v>508</v>
      </c>
    </row>
    <row r="1199" spans="1:13" s="114" customFormat="1" ht="25.5">
      <c r="A1199" s="136">
        <v>1197</v>
      </c>
      <c r="B1199" s="129" t="s">
        <v>3790</v>
      </c>
      <c r="C1199" s="150">
        <v>12.2</v>
      </c>
      <c r="D1199" s="151" t="s">
        <v>3783</v>
      </c>
      <c r="E1199" s="84" t="s">
        <v>3791</v>
      </c>
      <c r="F1199" s="113"/>
      <c r="G1199" s="131"/>
      <c r="H1199" s="186" t="s">
        <v>1568</v>
      </c>
      <c r="I1199" s="107" t="s">
        <v>326</v>
      </c>
      <c r="J1199" s="136" t="s">
        <v>346</v>
      </c>
      <c r="K1199" s="125" t="s">
        <v>761</v>
      </c>
      <c r="L1199" s="138" t="s">
        <v>507</v>
      </c>
      <c r="M1199" s="138" t="s">
        <v>508</v>
      </c>
    </row>
    <row r="1200" spans="1:13" s="114" customFormat="1" ht="51">
      <c r="A1200" s="136">
        <v>1198</v>
      </c>
      <c r="B1200" s="129" t="s">
        <v>3792</v>
      </c>
      <c r="C1200" s="150">
        <v>12.2</v>
      </c>
      <c r="D1200" s="151" t="s">
        <v>3783</v>
      </c>
      <c r="E1200" s="84" t="s">
        <v>3793</v>
      </c>
      <c r="F1200" s="113"/>
      <c r="G1200" s="131"/>
      <c r="H1200" s="186" t="s">
        <v>608</v>
      </c>
      <c r="I1200" s="107" t="s">
        <v>326</v>
      </c>
      <c r="J1200" s="136" t="s">
        <v>331</v>
      </c>
      <c r="K1200" s="136" t="s">
        <v>530</v>
      </c>
      <c r="L1200" s="138" t="s">
        <v>507</v>
      </c>
      <c r="M1200" s="138" t="s">
        <v>508</v>
      </c>
    </row>
    <row r="1201" spans="1:13" s="114" customFormat="1" ht="63.75">
      <c r="A1201" s="136">
        <v>1199</v>
      </c>
      <c r="B1201" s="129" t="s">
        <v>3794</v>
      </c>
      <c r="C1201" s="129">
        <v>12.3</v>
      </c>
      <c r="D1201" s="140" t="s">
        <v>3795</v>
      </c>
      <c r="E1201" s="84" t="s">
        <v>3796</v>
      </c>
      <c r="F1201" s="113"/>
      <c r="G1201" s="131"/>
      <c r="H1201" s="186" t="s">
        <v>2575</v>
      </c>
      <c r="I1201" s="107" t="s">
        <v>326</v>
      </c>
      <c r="J1201" s="136" t="s">
        <v>352</v>
      </c>
      <c r="K1201" s="136" t="s">
        <v>1044</v>
      </c>
      <c r="L1201" s="138" t="s">
        <v>507</v>
      </c>
      <c r="M1201" s="138" t="s">
        <v>508</v>
      </c>
    </row>
    <row r="1202" spans="1:13" s="114" customFormat="1" ht="38.25">
      <c r="A1202" s="136">
        <v>1200</v>
      </c>
      <c r="B1202" s="136" t="s">
        <v>3797</v>
      </c>
      <c r="C1202" s="136">
        <v>12.3</v>
      </c>
      <c r="D1202" s="136" t="s">
        <v>3795</v>
      </c>
      <c r="E1202" s="84" t="s">
        <v>3798</v>
      </c>
      <c r="F1202" s="113"/>
      <c r="G1202" s="131"/>
      <c r="H1202" s="186" t="s">
        <v>1836</v>
      </c>
      <c r="I1202" s="125" t="s">
        <v>326</v>
      </c>
      <c r="J1202" s="125" t="s">
        <v>349</v>
      </c>
      <c r="K1202" s="125" t="s">
        <v>1336</v>
      </c>
      <c r="L1202" s="125" t="s">
        <v>507</v>
      </c>
      <c r="M1202" s="125" t="s">
        <v>508</v>
      </c>
    </row>
    <row r="1203" spans="1:13" s="114" customFormat="1" ht="25.5">
      <c r="A1203" s="136">
        <v>1201</v>
      </c>
      <c r="B1203" s="129" t="s">
        <v>3799</v>
      </c>
      <c r="C1203" s="129">
        <v>12.3</v>
      </c>
      <c r="D1203" s="140" t="s">
        <v>3795</v>
      </c>
      <c r="E1203" s="84" t="s">
        <v>3800</v>
      </c>
      <c r="F1203" s="113"/>
      <c r="G1203" s="131"/>
      <c r="H1203" s="186" t="s">
        <v>889</v>
      </c>
      <c r="I1203" s="107" t="s">
        <v>326</v>
      </c>
      <c r="J1203" s="136" t="s">
        <v>352</v>
      </c>
      <c r="K1203" s="136" t="s">
        <v>526</v>
      </c>
      <c r="L1203" s="138" t="s">
        <v>507</v>
      </c>
      <c r="M1203" s="138" t="s">
        <v>508</v>
      </c>
    </row>
    <row r="1204" spans="1:13" s="114" customFormat="1" ht="25.5">
      <c r="A1204" s="136">
        <v>1202</v>
      </c>
      <c r="B1204" s="129" t="s">
        <v>3801</v>
      </c>
      <c r="C1204" s="129">
        <v>12.3</v>
      </c>
      <c r="D1204" s="140" t="s">
        <v>3795</v>
      </c>
      <c r="E1204" s="84" t="s">
        <v>3802</v>
      </c>
      <c r="F1204" s="113"/>
      <c r="G1204" s="131"/>
      <c r="H1204" s="186" t="s">
        <v>995</v>
      </c>
      <c r="I1204" s="107" t="s">
        <v>326</v>
      </c>
      <c r="J1204" s="136" t="s">
        <v>346</v>
      </c>
      <c r="K1204" s="136" t="s">
        <v>998</v>
      </c>
      <c r="L1204" s="138" t="s">
        <v>314</v>
      </c>
      <c r="M1204" s="138" t="s">
        <v>508</v>
      </c>
    </row>
    <row r="1205" spans="1:13" s="114" customFormat="1" ht="25.5">
      <c r="A1205" s="136">
        <v>1203</v>
      </c>
      <c r="B1205" s="129" t="s">
        <v>3803</v>
      </c>
      <c r="C1205" s="129">
        <v>12.3</v>
      </c>
      <c r="D1205" s="140" t="s">
        <v>3795</v>
      </c>
      <c r="E1205" s="84" t="s">
        <v>3804</v>
      </c>
      <c r="F1205" s="113"/>
      <c r="G1205" s="131"/>
      <c r="H1205" s="186" t="s">
        <v>1462</v>
      </c>
      <c r="I1205" s="107" t="s">
        <v>326</v>
      </c>
      <c r="J1205" s="136" t="s">
        <v>346</v>
      </c>
      <c r="K1205" s="136" t="s">
        <v>1465</v>
      </c>
      <c r="L1205" s="138" t="s">
        <v>507</v>
      </c>
      <c r="M1205" s="138" t="s">
        <v>508</v>
      </c>
    </row>
    <row r="1206" spans="1:13" s="114" customFormat="1" ht="25.5">
      <c r="A1206" s="136">
        <v>1204</v>
      </c>
      <c r="B1206" s="129" t="s">
        <v>3805</v>
      </c>
      <c r="C1206" s="129">
        <v>12.3</v>
      </c>
      <c r="D1206" s="140" t="s">
        <v>3795</v>
      </c>
      <c r="E1206" s="84" t="s">
        <v>3806</v>
      </c>
      <c r="F1206" s="113"/>
      <c r="G1206" s="131"/>
      <c r="H1206" s="186" t="s">
        <v>1462</v>
      </c>
      <c r="I1206" s="107" t="s">
        <v>326</v>
      </c>
      <c r="J1206" s="136" t="s">
        <v>346</v>
      </c>
      <c r="K1206" s="136" t="s">
        <v>1465</v>
      </c>
      <c r="L1206" s="138" t="s">
        <v>507</v>
      </c>
      <c r="M1206" s="138" t="s">
        <v>508</v>
      </c>
    </row>
    <row r="1207" spans="1:13" s="114" customFormat="1" ht="25.5">
      <c r="A1207" s="136">
        <v>1205</v>
      </c>
      <c r="B1207" s="129" t="s">
        <v>3807</v>
      </c>
      <c r="C1207" s="129">
        <v>12.3</v>
      </c>
      <c r="D1207" s="140" t="s">
        <v>3795</v>
      </c>
      <c r="E1207" s="84" t="s">
        <v>3808</v>
      </c>
      <c r="F1207" s="113"/>
      <c r="G1207" s="131"/>
      <c r="H1207" s="186" t="s">
        <v>1462</v>
      </c>
      <c r="I1207" s="107" t="s">
        <v>326</v>
      </c>
      <c r="J1207" s="136" t="s">
        <v>346</v>
      </c>
      <c r="K1207" s="136" t="s">
        <v>1465</v>
      </c>
      <c r="L1207" s="138" t="s">
        <v>507</v>
      </c>
      <c r="M1207" s="138" t="s">
        <v>508</v>
      </c>
    </row>
    <row r="1208" spans="1:13" s="114" customFormat="1" ht="25.5">
      <c r="A1208" s="136">
        <v>1206</v>
      </c>
      <c r="B1208" s="129" t="s">
        <v>3809</v>
      </c>
      <c r="C1208" s="129">
        <v>12.3</v>
      </c>
      <c r="D1208" s="140" t="s">
        <v>3795</v>
      </c>
      <c r="E1208" s="84" t="s">
        <v>3810</v>
      </c>
      <c r="F1208" s="113"/>
      <c r="G1208" s="131"/>
      <c r="H1208" s="186" t="s">
        <v>1462</v>
      </c>
      <c r="I1208" s="125" t="s">
        <v>326</v>
      </c>
      <c r="J1208" s="125" t="s">
        <v>346</v>
      </c>
      <c r="K1208" s="136" t="s">
        <v>1465</v>
      </c>
      <c r="L1208" s="138" t="s">
        <v>314</v>
      </c>
      <c r="M1208" s="138" t="s">
        <v>508</v>
      </c>
    </row>
    <row r="1209" spans="1:13" s="114" customFormat="1" ht="25.5">
      <c r="A1209" s="136">
        <v>1207</v>
      </c>
      <c r="B1209" s="129" t="s">
        <v>3811</v>
      </c>
      <c r="C1209" s="129">
        <v>12.4</v>
      </c>
      <c r="D1209" s="140" t="s">
        <v>3812</v>
      </c>
      <c r="E1209" s="84" t="s">
        <v>3813</v>
      </c>
      <c r="F1209" s="113"/>
      <c r="G1209" s="131"/>
      <c r="H1209" s="186" t="s">
        <v>1836</v>
      </c>
      <c r="I1209" s="107" t="s">
        <v>326</v>
      </c>
      <c r="J1209" s="136" t="s">
        <v>349</v>
      </c>
      <c r="K1209" s="136" t="s">
        <v>1336</v>
      </c>
      <c r="L1209" s="138" t="s">
        <v>507</v>
      </c>
      <c r="M1209" s="138" t="s">
        <v>508</v>
      </c>
    </row>
    <row r="1210" spans="1:13" s="114" customFormat="1" ht="25.5">
      <c r="A1210" s="136">
        <v>1208</v>
      </c>
      <c r="B1210" s="129" t="s">
        <v>3814</v>
      </c>
      <c r="C1210" s="129">
        <v>12.4</v>
      </c>
      <c r="D1210" s="140" t="s">
        <v>3812</v>
      </c>
      <c r="E1210" s="84" t="s">
        <v>3815</v>
      </c>
      <c r="F1210" s="113"/>
      <c r="G1210" s="131"/>
      <c r="H1210" s="186" t="s">
        <v>1836</v>
      </c>
      <c r="I1210" s="107" t="s">
        <v>326</v>
      </c>
      <c r="J1210" s="136" t="s">
        <v>349</v>
      </c>
      <c r="K1210" s="136" t="s">
        <v>1336</v>
      </c>
      <c r="L1210" s="138" t="s">
        <v>507</v>
      </c>
      <c r="M1210" s="138" t="s">
        <v>508</v>
      </c>
    </row>
    <row r="1211" spans="1:13" s="114" customFormat="1" ht="51">
      <c r="A1211" s="136">
        <v>1209</v>
      </c>
      <c r="B1211" s="129" t="s">
        <v>3816</v>
      </c>
      <c r="C1211" s="129">
        <v>12.4</v>
      </c>
      <c r="D1211" s="140" t="s">
        <v>3812</v>
      </c>
      <c r="E1211" s="84" t="s">
        <v>3817</v>
      </c>
      <c r="F1211" s="113"/>
      <c r="G1211" s="131"/>
      <c r="H1211" s="186" t="s">
        <v>2632</v>
      </c>
      <c r="I1211" s="107" t="s">
        <v>326</v>
      </c>
      <c r="J1211" s="136" t="s">
        <v>346</v>
      </c>
      <c r="K1211" s="136" t="s">
        <v>1465</v>
      </c>
      <c r="L1211" s="138" t="s">
        <v>314</v>
      </c>
      <c r="M1211" s="138" t="s">
        <v>953</v>
      </c>
    </row>
    <row r="1212" spans="1:13" s="114" customFormat="1" ht="25.5">
      <c r="A1212" s="136">
        <v>1210</v>
      </c>
      <c r="B1212" s="129" t="s">
        <v>3818</v>
      </c>
      <c r="C1212" s="129">
        <v>12.4</v>
      </c>
      <c r="D1212" s="140" t="s">
        <v>3812</v>
      </c>
      <c r="E1212" s="84" t="s">
        <v>3819</v>
      </c>
      <c r="F1212" s="113"/>
      <c r="G1212" s="131"/>
      <c r="H1212" s="186" t="s">
        <v>1826</v>
      </c>
      <c r="I1212" s="107" t="s">
        <v>327</v>
      </c>
      <c r="J1212" s="136" t="s">
        <v>337</v>
      </c>
      <c r="K1212" s="136" t="s">
        <v>1827</v>
      </c>
      <c r="L1212" s="138" t="s">
        <v>507</v>
      </c>
      <c r="M1212" s="138" t="s">
        <v>508</v>
      </c>
    </row>
    <row r="1213" spans="1:13" s="114" customFormat="1" ht="38.25">
      <c r="A1213" s="136">
        <v>1211</v>
      </c>
      <c r="B1213" s="129" t="s">
        <v>3820</v>
      </c>
      <c r="C1213" s="129">
        <v>12.4</v>
      </c>
      <c r="D1213" s="140" t="s">
        <v>3812</v>
      </c>
      <c r="E1213" s="84" t="s">
        <v>3821</v>
      </c>
      <c r="F1213" s="113"/>
      <c r="G1213" s="131"/>
      <c r="H1213" s="186" t="s">
        <v>1826</v>
      </c>
      <c r="I1213" s="107" t="s">
        <v>327</v>
      </c>
      <c r="J1213" s="136" t="s">
        <v>337</v>
      </c>
      <c r="K1213" s="136" t="s">
        <v>1827</v>
      </c>
      <c r="L1213" s="138" t="s">
        <v>507</v>
      </c>
      <c r="M1213" s="138" t="s">
        <v>508</v>
      </c>
    </row>
    <row r="1214" spans="1:13" s="114" customFormat="1" ht="25.5">
      <c r="A1214" s="136">
        <v>1212</v>
      </c>
      <c r="B1214" s="129" t="s">
        <v>3822</v>
      </c>
      <c r="C1214" s="129">
        <v>12.4</v>
      </c>
      <c r="D1214" s="140" t="s">
        <v>3812</v>
      </c>
      <c r="E1214" s="84" t="s">
        <v>3823</v>
      </c>
      <c r="F1214" s="113"/>
      <c r="G1214" s="131"/>
      <c r="H1214" s="186" t="s">
        <v>1603</v>
      </c>
      <c r="I1214" s="107" t="s">
        <v>326</v>
      </c>
      <c r="J1214" s="136" t="s">
        <v>352</v>
      </c>
      <c r="K1214" s="136" t="s">
        <v>597</v>
      </c>
      <c r="L1214" s="138" t="s">
        <v>507</v>
      </c>
      <c r="M1214" s="138" t="s">
        <v>508</v>
      </c>
    </row>
    <row r="1215" spans="1:13" s="114" customFormat="1" ht="38.25">
      <c r="A1215" s="136">
        <v>1213</v>
      </c>
      <c r="B1215" s="129" t="s">
        <v>3824</v>
      </c>
      <c r="C1215" s="129">
        <v>12.4</v>
      </c>
      <c r="D1215" s="140" t="s">
        <v>3812</v>
      </c>
      <c r="E1215" s="84" t="s">
        <v>3825</v>
      </c>
      <c r="F1215" s="113"/>
      <c r="G1215" s="131"/>
      <c r="H1215" s="186" t="s">
        <v>1836</v>
      </c>
      <c r="I1215" s="107" t="s">
        <v>326</v>
      </c>
      <c r="J1215" s="136" t="s">
        <v>349</v>
      </c>
      <c r="K1215" s="136" t="s">
        <v>1336</v>
      </c>
      <c r="L1215" s="138" t="s">
        <v>507</v>
      </c>
      <c r="M1215" s="138" t="s">
        <v>508</v>
      </c>
    </row>
    <row r="1216" spans="1:13" s="114" customFormat="1" ht="51">
      <c r="A1216" s="136">
        <v>1214</v>
      </c>
      <c r="B1216" s="129" t="s">
        <v>3826</v>
      </c>
      <c r="C1216" s="129" t="s">
        <v>3827</v>
      </c>
      <c r="D1216" s="140" t="s">
        <v>3828</v>
      </c>
      <c r="E1216" s="84" t="s">
        <v>3829</v>
      </c>
      <c r="F1216" s="113"/>
      <c r="G1216" s="131"/>
      <c r="H1216" s="186" t="s">
        <v>1148</v>
      </c>
      <c r="I1216" s="107" t="s">
        <v>326</v>
      </c>
      <c r="J1216" s="136" t="s">
        <v>331</v>
      </c>
      <c r="K1216" s="136" t="s">
        <v>530</v>
      </c>
      <c r="L1216" s="138" t="s">
        <v>507</v>
      </c>
      <c r="M1216" s="138" t="s">
        <v>508</v>
      </c>
    </row>
    <row r="1217" spans="1:13" s="114" customFormat="1" ht="25.5">
      <c r="A1217" s="136">
        <v>1215</v>
      </c>
      <c r="B1217" s="129" t="s">
        <v>3830</v>
      </c>
      <c r="C1217" s="129" t="s">
        <v>3827</v>
      </c>
      <c r="D1217" s="140" t="s">
        <v>3828</v>
      </c>
      <c r="E1217" s="84" t="s">
        <v>3831</v>
      </c>
      <c r="F1217" s="118"/>
      <c r="G1217" s="131"/>
      <c r="H1217" s="186" t="s">
        <v>1672</v>
      </c>
      <c r="I1217" s="107" t="s">
        <v>326</v>
      </c>
      <c r="J1217" s="136" t="s">
        <v>341</v>
      </c>
      <c r="K1217" s="136" t="s">
        <v>580</v>
      </c>
      <c r="L1217" s="138" t="s">
        <v>507</v>
      </c>
      <c r="M1217" s="138" t="s">
        <v>508</v>
      </c>
    </row>
    <row r="1218" spans="1:13" s="114" customFormat="1" ht="25.5">
      <c r="A1218" s="136">
        <v>1216</v>
      </c>
      <c r="B1218" s="129" t="s">
        <v>3832</v>
      </c>
      <c r="C1218" s="129" t="s">
        <v>3827</v>
      </c>
      <c r="D1218" s="140" t="s">
        <v>3828</v>
      </c>
      <c r="E1218" s="84" t="s">
        <v>3833</v>
      </c>
      <c r="F1218" s="113"/>
      <c r="G1218" s="131"/>
      <c r="H1218" s="186" t="s">
        <v>1836</v>
      </c>
      <c r="I1218" s="107" t="s">
        <v>326</v>
      </c>
      <c r="J1218" s="136" t="s">
        <v>349</v>
      </c>
      <c r="K1218" s="136" t="s">
        <v>1336</v>
      </c>
      <c r="L1218" s="138" t="s">
        <v>507</v>
      </c>
      <c r="M1218" s="138" t="s">
        <v>508</v>
      </c>
    </row>
    <row r="1219" spans="1:13" s="114" customFormat="1" ht="89.25">
      <c r="A1219" s="136">
        <v>1217</v>
      </c>
      <c r="B1219" s="129" t="s">
        <v>3834</v>
      </c>
      <c r="C1219" s="125" t="s">
        <v>3835</v>
      </c>
      <c r="D1219" s="125" t="s">
        <v>3836</v>
      </c>
      <c r="E1219" s="152" t="s">
        <v>3837</v>
      </c>
      <c r="F1219" s="113"/>
      <c r="G1219" s="113"/>
      <c r="H1219" s="186" t="s">
        <v>3311</v>
      </c>
      <c r="I1219" s="125" t="s">
        <v>326</v>
      </c>
      <c r="J1219" s="125" t="s">
        <v>346</v>
      </c>
      <c r="K1219" s="125" t="s">
        <v>761</v>
      </c>
      <c r="L1219" s="125" t="s">
        <v>507</v>
      </c>
      <c r="M1219" s="125" t="s">
        <v>508</v>
      </c>
    </row>
    <row r="1220" spans="1:13" s="114" customFormat="1" ht="89.25">
      <c r="A1220" s="136">
        <v>1218</v>
      </c>
      <c r="B1220" s="129" t="s">
        <v>3838</v>
      </c>
      <c r="C1220" s="125" t="s">
        <v>3835</v>
      </c>
      <c r="D1220" s="125" t="s">
        <v>3836</v>
      </c>
      <c r="E1220" s="152" t="s">
        <v>3837</v>
      </c>
      <c r="F1220" s="113"/>
      <c r="G1220" s="113"/>
      <c r="H1220" s="186" t="s">
        <v>3311</v>
      </c>
      <c r="I1220" s="125" t="s">
        <v>326</v>
      </c>
      <c r="J1220" s="125" t="s">
        <v>346</v>
      </c>
      <c r="K1220" s="125" t="s">
        <v>761</v>
      </c>
      <c r="L1220" s="125" t="s">
        <v>507</v>
      </c>
      <c r="M1220" s="125" t="s">
        <v>508</v>
      </c>
    </row>
    <row r="1221" spans="1:13" s="114" customFormat="1" ht="89.25">
      <c r="A1221" s="136">
        <v>1219</v>
      </c>
      <c r="B1221" s="129" t="s">
        <v>3839</v>
      </c>
      <c r="C1221" s="125" t="s">
        <v>3835</v>
      </c>
      <c r="D1221" s="125" t="s">
        <v>3836</v>
      </c>
      <c r="E1221" s="152" t="s">
        <v>3837</v>
      </c>
      <c r="F1221" s="113"/>
      <c r="G1221" s="113"/>
      <c r="H1221" s="186" t="s">
        <v>3311</v>
      </c>
      <c r="I1221" s="125" t="s">
        <v>326</v>
      </c>
      <c r="J1221" s="125" t="s">
        <v>346</v>
      </c>
      <c r="K1221" s="125" t="s">
        <v>761</v>
      </c>
      <c r="L1221" s="125" t="s">
        <v>507</v>
      </c>
      <c r="M1221" s="125" t="s">
        <v>508</v>
      </c>
    </row>
    <row r="1222" spans="1:13" s="114" customFormat="1" ht="38.25">
      <c r="A1222" s="136">
        <v>1220</v>
      </c>
      <c r="B1222" s="129" t="s">
        <v>3840</v>
      </c>
      <c r="C1222" s="129" t="s">
        <v>3841</v>
      </c>
      <c r="D1222" s="137" t="s">
        <v>3842</v>
      </c>
      <c r="E1222" s="84" t="s">
        <v>3843</v>
      </c>
      <c r="F1222" s="113"/>
      <c r="G1222" s="131"/>
      <c r="H1222" s="186" t="s">
        <v>1650</v>
      </c>
      <c r="I1222" s="107" t="s">
        <v>326</v>
      </c>
      <c r="J1222" s="136" t="s">
        <v>341</v>
      </c>
      <c r="K1222" s="136" t="s">
        <v>580</v>
      </c>
      <c r="L1222" s="138" t="s">
        <v>507</v>
      </c>
      <c r="M1222" s="138" t="s">
        <v>508</v>
      </c>
    </row>
    <row r="1223" spans="1:13" s="114" customFormat="1" ht="38.25">
      <c r="A1223" s="136">
        <v>1221</v>
      </c>
      <c r="B1223" s="136" t="s">
        <v>3844</v>
      </c>
      <c r="C1223" s="136" t="s">
        <v>3845</v>
      </c>
      <c r="D1223" s="136" t="s">
        <v>3846</v>
      </c>
      <c r="E1223" s="84" t="s">
        <v>3847</v>
      </c>
      <c r="F1223" s="113"/>
      <c r="G1223" s="131"/>
      <c r="H1223" s="186" t="s">
        <v>567</v>
      </c>
      <c r="I1223" s="125" t="s">
        <v>326</v>
      </c>
      <c r="J1223" s="125" t="s">
        <v>341</v>
      </c>
      <c r="K1223" s="125" t="s">
        <v>570</v>
      </c>
      <c r="L1223" s="125" t="s">
        <v>507</v>
      </c>
      <c r="M1223" s="125" t="s">
        <v>508</v>
      </c>
    </row>
    <row r="1224" spans="1:13" s="114" customFormat="1" ht="38.25">
      <c r="A1224" s="136">
        <v>1222</v>
      </c>
      <c r="B1224" s="129" t="s">
        <v>3848</v>
      </c>
      <c r="C1224" s="129" t="s">
        <v>3849</v>
      </c>
      <c r="D1224" s="137" t="s">
        <v>3850</v>
      </c>
      <c r="E1224" s="84" t="s">
        <v>3851</v>
      </c>
      <c r="F1224" s="113"/>
      <c r="G1224" s="131"/>
      <c r="H1224" s="186" t="s">
        <v>509</v>
      </c>
      <c r="I1224" s="125" t="s">
        <v>326</v>
      </c>
      <c r="J1224" s="125" t="s">
        <v>331</v>
      </c>
      <c r="K1224" s="125" t="s">
        <v>512</v>
      </c>
      <c r="L1224" s="138" t="s">
        <v>507</v>
      </c>
      <c r="M1224" s="138" t="s">
        <v>508</v>
      </c>
    </row>
    <row r="1225" spans="1:13" s="114" customFormat="1" ht="38.25">
      <c r="A1225" s="136">
        <v>1223</v>
      </c>
      <c r="B1225" s="129" t="s">
        <v>2042</v>
      </c>
      <c r="C1225" s="129" t="s">
        <v>3852</v>
      </c>
      <c r="D1225" s="137" t="s">
        <v>3853</v>
      </c>
      <c r="E1225" s="84" t="s">
        <v>3854</v>
      </c>
      <c r="F1225" s="113"/>
      <c r="G1225" s="131"/>
      <c r="H1225" s="186" t="s">
        <v>3855</v>
      </c>
      <c r="I1225" s="125" t="s">
        <v>326</v>
      </c>
      <c r="J1225" s="125" t="s">
        <v>331</v>
      </c>
      <c r="K1225" s="125" t="s">
        <v>512</v>
      </c>
      <c r="L1225" s="138" t="s">
        <v>507</v>
      </c>
      <c r="M1225" s="138" t="s">
        <v>508</v>
      </c>
    </row>
    <row r="1226" spans="1:13" s="114" customFormat="1" ht="38.25">
      <c r="A1226" s="136">
        <v>1224</v>
      </c>
      <c r="B1226" s="129" t="s">
        <v>3856</v>
      </c>
      <c r="C1226" s="129" t="s">
        <v>3857</v>
      </c>
      <c r="D1226" s="137" t="s">
        <v>3850</v>
      </c>
      <c r="E1226" s="84" t="s">
        <v>3858</v>
      </c>
      <c r="F1226" s="113"/>
      <c r="G1226" s="131"/>
      <c r="H1226" s="186" t="s">
        <v>1330</v>
      </c>
      <c r="I1226" s="125" t="s">
        <v>326</v>
      </c>
      <c r="J1226" s="125" t="s">
        <v>352</v>
      </c>
      <c r="K1226" s="125" t="s">
        <v>781</v>
      </c>
      <c r="L1226" s="138" t="s">
        <v>507</v>
      </c>
      <c r="M1226" s="138" t="s">
        <v>508</v>
      </c>
    </row>
    <row r="1227" spans="1:13" s="114" customFormat="1" ht="25.5">
      <c r="A1227" s="136">
        <v>1225</v>
      </c>
      <c r="B1227" s="129" t="s">
        <v>3859</v>
      </c>
      <c r="C1227" s="129" t="s">
        <v>3857</v>
      </c>
      <c r="D1227" s="137" t="s">
        <v>3853</v>
      </c>
      <c r="E1227" s="84" t="s">
        <v>3860</v>
      </c>
      <c r="F1227" s="113"/>
      <c r="G1227" s="131"/>
      <c r="H1227" s="186" t="s">
        <v>1330</v>
      </c>
      <c r="I1227" s="125" t="s">
        <v>326</v>
      </c>
      <c r="J1227" s="125" t="s">
        <v>352</v>
      </c>
      <c r="K1227" s="125" t="s">
        <v>781</v>
      </c>
      <c r="L1227" s="138" t="s">
        <v>507</v>
      </c>
      <c r="M1227" s="138" t="s">
        <v>508</v>
      </c>
    </row>
    <row r="1228" spans="1:13" s="114" customFormat="1" ht="25.5">
      <c r="A1228" s="136">
        <v>1226</v>
      </c>
      <c r="B1228" s="129" t="s">
        <v>3861</v>
      </c>
      <c r="C1228" s="129" t="s">
        <v>3862</v>
      </c>
      <c r="D1228" s="137" t="s">
        <v>3850</v>
      </c>
      <c r="E1228" s="84" t="s">
        <v>3863</v>
      </c>
      <c r="F1228" s="113"/>
      <c r="G1228" s="131"/>
      <c r="H1228" s="186" t="s">
        <v>1403</v>
      </c>
      <c r="I1228" s="125" t="s">
        <v>326</v>
      </c>
      <c r="J1228" s="125" t="s">
        <v>352</v>
      </c>
      <c r="K1228" s="125" t="s">
        <v>781</v>
      </c>
      <c r="L1228" s="138" t="s">
        <v>507</v>
      </c>
      <c r="M1228" s="138" t="s">
        <v>508</v>
      </c>
    </row>
    <row r="1229" spans="1:13" s="114" customFormat="1" ht="38.25">
      <c r="A1229" s="136">
        <v>1227</v>
      </c>
      <c r="B1229" s="129" t="s">
        <v>3550</v>
      </c>
      <c r="C1229" s="129" t="s">
        <v>3864</v>
      </c>
      <c r="D1229" s="137" t="s">
        <v>3850</v>
      </c>
      <c r="E1229" s="84" t="s">
        <v>3865</v>
      </c>
      <c r="F1229" s="113"/>
      <c r="G1229" s="131"/>
      <c r="H1229" s="186" t="s">
        <v>3866</v>
      </c>
      <c r="I1229" s="125" t="s">
        <v>326</v>
      </c>
      <c r="J1229" s="125" t="s">
        <v>331</v>
      </c>
      <c r="K1229" s="125" t="s">
        <v>512</v>
      </c>
      <c r="L1229" s="138" t="s">
        <v>507</v>
      </c>
      <c r="M1229" s="138" t="s">
        <v>508</v>
      </c>
    </row>
    <row r="1230" spans="1:13" s="114" customFormat="1" ht="38.25">
      <c r="A1230" s="136">
        <v>1228</v>
      </c>
      <c r="B1230" s="129" t="s">
        <v>3867</v>
      </c>
      <c r="C1230" s="129" t="s">
        <v>3864</v>
      </c>
      <c r="D1230" s="137" t="s">
        <v>3850</v>
      </c>
      <c r="E1230" s="84" t="s">
        <v>3868</v>
      </c>
      <c r="F1230" s="113"/>
      <c r="G1230" s="131"/>
      <c r="H1230" s="186" t="s">
        <v>509</v>
      </c>
      <c r="I1230" s="125" t="s">
        <v>326</v>
      </c>
      <c r="J1230" s="125" t="s">
        <v>331</v>
      </c>
      <c r="K1230" s="125" t="s">
        <v>512</v>
      </c>
      <c r="L1230" s="138" t="s">
        <v>507</v>
      </c>
      <c r="M1230" s="138" t="s">
        <v>508</v>
      </c>
    </row>
    <row r="1231" spans="1:13" s="114" customFormat="1" ht="38.25">
      <c r="A1231" s="136">
        <v>1229</v>
      </c>
      <c r="B1231" s="129" t="s">
        <v>3869</v>
      </c>
      <c r="C1231" s="129" t="s">
        <v>3023</v>
      </c>
      <c r="D1231" s="137" t="s">
        <v>3850</v>
      </c>
      <c r="E1231" s="84" t="s">
        <v>3870</v>
      </c>
      <c r="F1231" s="113"/>
      <c r="G1231" s="131"/>
      <c r="H1231" s="186" t="s">
        <v>1209</v>
      </c>
      <c r="I1231" s="125" t="s">
        <v>326</v>
      </c>
      <c r="J1231" s="125" t="s">
        <v>331</v>
      </c>
      <c r="K1231" s="125" t="s">
        <v>1178</v>
      </c>
      <c r="L1231" s="138" t="s">
        <v>507</v>
      </c>
      <c r="M1231" s="138" t="s">
        <v>508</v>
      </c>
    </row>
    <row r="1232" spans="1:13" s="114" customFormat="1" ht="25.5">
      <c r="A1232" s="136">
        <v>1230</v>
      </c>
      <c r="B1232" s="129" t="s">
        <v>3871</v>
      </c>
      <c r="C1232" s="129" t="s">
        <v>3023</v>
      </c>
      <c r="D1232" s="137" t="s">
        <v>3850</v>
      </c>
      <c r="E1232" s="84" t="s">
        <v>3872</v>
      </c>
      <c r="F1232" s="113"/>
      <c r="G1232" s="131"/>
      <c r="H1232" s="186" t="s">
        <v>1209</v>
      </c>
      <c r="I1232" s="125" t="s">
        <v>326</v>
      </c>
      <c r="J1232" s="125" t="s">
        <v>331</v>
      </c>
      <c r="K1232" s="125" t="s">
        <v>1178</v>
      </c>
      <c r="L1232" s="138" t="s">
        <v>507</v>
      </c>
      <c r="M1232" s="138" t="s">
        <v>508</v>
      </c>
    </row>
    <row r="1233" spans="1:13" s="114" customFormat="1" ht="38.25">
      <c r="A1233" s="136">
        <v>1231</v>
      </c>
      <c r="B1233" s="129" t="s">
        <v>3873</v>
      </c>
      <c r="C1233" s="129" t="s">
        <v>3026</v>
      </c>
      <c r="D1233" s="137" t="s">
        <v>3853</v>
      </c>
      <c r="E1233" s="84" t="s">
        <v>3874</v>
      </c>
      <c r="F1233" s="113"/>
      <c r="G1233" s="131"/>
      <c r="H1233" s="186" t="s">
        <v>509</v>
      </c>
      <c r="I1233" s="125" t="s">
        <v>326</v>
      </c>
      <c r="J1233" s="125" t="s">
        <v>331</v>
      </c>
      <c r="K1233" s="125" t="s">
        <v>512</v>
      </c>
      <c r="L1233" s="107" t="s">
        <v>507</v>
      </c>
      <c r="M1233" s="138" t="s">
        <v>508</v>
      </c>
    </row>
    <row r="1234" spans="1:13" s="114" customFormat="1" ht="38.25">
      <c r="A1234" s="136">
        <v>1232</v>
      </c>
      <c r="B1234" s="129" t="s">
        <v>3875</v>
      </c>
      <c r="C1234" s="129" t="s">
        <v>3026</v>
      </c>
      <c r="D1234" s="137" t="s">
        <v>3853</v>
      </c>
      <c r="E1234" s="84" t="s">
        <v>3876</v>
      </c>
      <c r="F1234" s="113"/>
      <c r="G1234" s="131"/>
      <c r="H1234" s="186" t="s">
        <v>509</v>
      </c>
      <c r="I1234" s="125" t="s">
        <v>326</v>
      </c>
      <c r="J1234" s="125" t="s">
        <v>331</v>
      </c>
      <c r="K1234" s="125" t="s">
        <v>512</v>
      </c>
      <c r="L1234" s="138" t="s">
        <v>507</v>
      </c>
      <c r="M1234" s="138" t="s">
        <v>508</v>
      </c>
    </row>
    <row r="1235" spans="1:13" s="114" customFormat="1" ht="38.25">
      <c r="A1235" s="136">
        <v>1233</v>
      </c>
      <c r="B1235" s="129" t="s">
        <v>3877</v>
      </c>
      <c r="C1235" s="129" t="s">
        <v>3026</v>
      </c>
      <c r="D1235" s="137" t="s">
        <v>3853</v>
      </c>
      <c r="E1235" s="84" t="s">
        <v>3878</v>
      </c>
      <c r="F1235" s="113"/>
      <c r="G1235" s="131"/>
      <c r="H1235" s="186" t="s">
        <v>3550</v>
      </c>
      <c r="I1235" s="125" t="s">
        <v>326</v>
      </c>
      <c r="J1235" s="125" t="s">
        <v>331</v>
      </c>
      <c r="K1235" s="125" t="s">
        <v>512</v>
      </c>
      <c r="L1235" s="138" t="s">
        <v>507</v>
      </c>
      <c r="M1235" s="138" t="s">
        <v>508</v>
      </c>
    </row>
    <row r="1236" spans="1:13" s="114" customFormat="1" ht="38.25">
      <c r="A1236" s="136">
        <v>1234</v>
      </c>
      <c r="B1236" s="129" t="s">
        <v>3879</v>
      </c>
      <c r="C1236" s="129" t="s">
        <v>3046</v>
      </c>
      <c r="D1236" s="137" t="s">
        <v>3853</v>
      </c>
      <c r="E1236" s="84" t="s">
        <v>3880</v>
      </c>
      <c r="F1236" s="113"/>
      <c r="G1236" s="131"/>
      <c r="H1236" s="186" t="s">
        <v>501</v>
      </c>
      <c r="I1236" s="125" t="s">
        <v>326</v>
      </c>
      <c r="J1236" s="125" t="s">
        <v>331</v>
      </c>
      <c r="K1236" s="125" t="s">
        <v>506</v>
      </c>
      <c r="L1236" s="138" t="s">
        <v>507</v>
      </c>
      <c r="M1236" s="138" t="s">
        <v>508</v>
      </c>
    </row>
    <row r="1237" spans="1:13" s="114" customFormat="1" ht="38.25">
      <c r="A1237" s="136">
        <v>1235</v>
      </c>
      <c r="B1237" s="129" t="s">
        <v>3881</v>
      </c>
      <c r="C1237" s="129" t="s">
        <v>3059</v>
      </c>
      <c r="D1237" s="137" t="s">
        <v>3850</v>
      </c>
      <c r="E1237" s="84" t="s">
        <v>3882</v>
      </c>
      <c r="F1237" s="113"/>
      <c r="G1237" s="131"/>
      <c r="H1237" s="186" t="s">
        <v>2042</v>
      </c>
      <c r="I1237" s="125" t="s">
        <v>326</v>
      </c>
      <c r="J1237" s="125" t="s">
        <v>331</v>
      </c>
      <c r="K1237" s="125" t="s">
        <v>512</v>
      </c>
      <c r="L1237" s="138" t="s">
        <v>507</v>
      </c>
      <c r="M1237" s="138" t="s">
        <v>508</v>
      </c>
    </row>
    <row r="1238" spans="1:13" s="114" customFormat="1" ht="51">
      <c r="A1238" s="136">
        <v>1236</v>
      </c>
      <c r="B1238" s="129" t="s">
        <v>3883</v>
      </c>
      <c r="C1238" s="129" t="s">
        <v>3884</v>
      </c>
      <c r="D1238" s="137" t="s">
        <v>3850</v>
      </c>
      <c r="E1238" s="84" t="s">
        <v>3885</v>
      </c>
      <c r="F1238" s="113"/>
      <c r="G1238" s="131"/>
      <c r="H1238" s="186" t="s">
        <v>1148</v>
      </c>
      <c r="I1238" s="125" t="s">
        <v>326</v>
      </c>
      <c r="J1238" s="125" t="s">
        <v>331</v>
      </c>
      <c r="K1238" s="125" t="s">
        <v>530</v>
      </c>
      <c r="L1238" s="138" t="s">
        <v>507</v>
      </c>
      <c r="M1238" s="138" t="s">
        <v>508</v>
      </c>
    </row>
    <row r="1239" spans="1:13" s="114" customFormat="1" ht="25.5">
      <c r="A1239" s="136">
        <v>1237</v>
      </c>
      <c r="B1239" s="129" t="s">
        <v>3886</v>
      </c>
      <c r="C1239" s="129">
        <v>10.1</v>
      </c>
      <c r="D1239" s="137" t="s">
        <v>3887</v>
      </c>
      <c r="E1239" s="84" t="s">
        <v>3888</v>
      </c>
      <c r="F1239" s="113"/>
      <c r="G1239" s="131"/>
      <c r="H1239" s="186" t="s">
        <v>896</v>
      </c>
      <c r="I1239" s="125" t="s">
        <v>326</v>
      </c>
      <c r="J1239" s="125" t="s">
        <v>341</v>
      </c>
      <c r="K1239" s="125" t="s">
        <v>580</v>
      </c>
      <c r="L1239" s="138" t="s">
        <v>507</v>
      </c>
      <c r="M1239" s="138" t="s">
        <v>508</v>
      </c>
    </row>
    <row r="1240" spans="1:13" s="114" customFormat="1" ht="38.25">
      <c r="A1240" s="136">
        <v>1238</v>
      </c>
      <c r="B1240" s="129" t="s">
        <v>3889</v>
      </c>
      <c r="C1240" s="129" t="s">
        <v>3153</v>
      </c>
      <c r="D1240" s="137" t="s">
        <v>3850</v>
      </c>
      <c r="E1240" s="84" t="s">
        <v>3890</v>
      </c>
      <c r="F1240" s="118"/>
      <c r="G1240" s="131"/>
      <c r="H1240" s="186" t="s">
        <v>3550</v>
      </c>
      <c r="I1240" s="125" t="s">
        <v>326</v>
      </c>
      <c r="J1240" s="125" t="s">
        <v>331</v>
      </c>
      <c r="K1240" s="125" t="s">
        <v>512</v>
      </c>
      <c r="L1240" s="138" t="s">
        <v>507</v>
      </c>
      <c r="M1240" s="138" t="s">
        <v>508</v>
      </c>
    </row>
    <row r="1241" spans="1:13" s="114" customFormat="1" ht="25.5">
      <c r="A1241" s="136">
        <v>1239</v>
      </c>
      <c r="B1241" s="129" t="s">
        <v>3891</v>
      </c>
      <c r="C1241" s="129" t="s">
        <v>3183</v>
      </c>
      <c r="D1241" s="137" t="s">
        <v>3850</v>
      </c>
      <c r="E1241" s="84" t="s">
        <v>3892</v>
      </c>
      <c r="F1241" s="118"/>
      <c r="G1241" s="131"/>
      <c r="H1241" s="186" t="s">
        <v>2299</v>
      </c>
      <c r="I1241" s="125" t="s">
        <v>326</v>
      </c>
      <c r="J1241" s="125" t="s">
        <v>341</v>
      </c>
      <c r="K1241" s="125" t="s">
        <v>2303</v>
      </c>
      <c r="L1241" s="138" t="s">
        <v>314</v>
      </c>
      <c r="M1241" s="138" t="s">
        <v>508</v>
      </c>
    </row>
    <row r="1242" spans="1:13" s="114" customFormat="1" ht="25.5">
      <c r="A1242" s="136">
        <v>1240</v>
      </c>
      <c r="B1242" s="129" t="s">
        <v>3893</v>
      </c>
      <c r="C1242" s="129" t="s">
        <v>3194</v>
      </c>
      <c r="D1242" s="137" t="s">
        <v>3850</v>
      </c>
      <c r="E1242" s="84" t="s">
        <v>3894</v>
      </c>
      <c r="F1242" s="118"/>
      <c r="G1242" s="131"/>
      <c r="H1242" s="186" t="s">
        <v>2632</v>
      </c>
      <c r="I1242" s="125" t="s">
        <v>326</v>
      </c>
      <c r="J1242" s="125" t="s">
        <v>346</v>
      </c>
      <c r="K1242" s="125" t="s">
        <v>1465</v>
      </c>
      <c r="L1242" s="138" t="s">
        <v>314</v>
      </c>
      <c r="M1242" s="138" t="s">
        <v>508</v>
      </c>
    </row>
    <row r="1243" spans="1:13" s="114" customFormat="1" ht="25.5">
      <c r="A1243" s="136">
        <v>1241</v>
      </c>
      <c r="B1243" s="129" t="s">
        <v>3895</v>
      </c>
      <c r="C1243" s="129" t="s">
        <v>3209</v>
      </c>
      <c r="D1243" s="137" t="s">
        <v>3850</v>
      </c>
      <c r="E1243" s="84" t="s">
        <v>3896</v>
      </c>
      <c r="F1243" s="118"/>
      <c r="G1243" s="131"/>
      <c r="H1243" s="186" t="s">
        <v>892</v>
      </c>
      <c r="I1243" s="125" t="s">
        <v>326</v>
      </c>
      <c r="J1243" s="125" t="s">
        <v>346</v>
      </c>
      <c r="K1243" s="125" t="s">
        <v>893</v>
      </c>
      <c r="L1243" s="138" t="s">
        <v>507</v>
      </c>
      <c r="M1243" s="138" t="s">
        <v>508</v>
      </c>
    </row>
    <row r="1244" spans="1:13" s="114" customFormat="1" ht="25.5">
      <c r="A1244" s="136">
        <v>1242</v>
      </c>
      <c r="B1244" s="129" t="s">
        <v>3897</v>
      </c>
      <c r="C1244" s="129" t="s">
        <v>3209</v>
      </c>
      <c r="D1244" s="137" t="s">
        <v>3850</v>
      </c>
      <c r="E1244" s="84" t="s">
        <v>3898</v>
      </c>
      <c r="F1244" s="118"/>
      <c r="G1244" s="131"/>
      <c r="H1244" s="186" t="s">
        <v>1131</v>
      </c>
      <c r="I1244" s="125" t="s">
        <v>326</v>
      </c>
      <c r="J1244" s="125" t="s">
        <v>346</v>
      </c>
      <c r="K1244" s="125" t="s">
        <v>893</v>
      </c>
      <c r="L1244" s="138" t="s">
        <v>507</v>
      </c>
      <c r="M1244" s="138" t="s">
        <v>508</v>
      </c>
    </row>
    <row r="1245" spans="1:13" s="114" customFormat="1" ht="25.5">
      <c r="A1245" s="136">
        <v>1243</v>
      </c>
      <c r="B1245" s="129" t="s">
        <v>3899</v>
      </c>
      <c r="C1245" s="129" t="s">
        <v>3223</v>
      </c>
      <c r="D1245" s="137" t="s">
        <v>3853</v>
      </c>
      <c r="E1245" s="84" t="s">
        <v>3900</v>
      </c>
      <c r="F1245" s="118"/>
      <c r="G1245" s="131"/>
      <c r="H1245" s="186" t="s">
        <v>523</v>
      </c>
      <c r="I1245" s="125" t="s">
        <v>326</v>
      </c>
      <c r="J1245" s="125" t="s">
        <v>352</v>
      </c>
      <c r="K1245" s="125" t="s">
        <v>526</v>
      </c>
      <c r="L1245" s="138" t="s">
        <v>507</v>
      </c>
      <c r="M1245" s="138" t="s">
        <v>508</v>
      </c>
    </row>
    <row r="1246" spans="1:13" s="114" customFormat="1" ht="51">
      <c r="A1246" s="136">
        <v>1244</v>
      </c>
      <c r="B1246" s="129" t="s">
        <v>3901</v>
      </c>
      <c r="C1246" s="129" t="s">
        <v>3223</v>
      </c>
      <c r="D1246" s="137" t="s">
        <v>3853</v>
      </c>
      <c r="E1246" s="84" t="s">
        <v>3902</v>
      </c>
      <c r="F1246" s="118"/>
      <c r="G1246" s="131"/>
      <c r="H1246" s="186" t="s">
        <v>523</v>
      </c>
      <c r="I1246" s="125" t="s">
        <v>326</v>
      </c>
      <c r="J1246" s="125" t="s">
        <v>352</v>
      </c>
      <c r="K1246" s="125" t="s">
        <v>526</v>
      </c>
      <c r="L1246" s="138" t="s">
        <v>507</v>
      </c>
      <c r="M1246" s="138" t="s">
        <v>508</v>
      </c>
    </row>
    <row r="1247" spans="1:13" s="114" customFormat="1" ht="25.5">
      <c r="A1247" s="136">
        <v>1245</v>
      </c>
      <c r="B1247" s="129" t="s">
        <v>3903</v>
      </c>
      <c r="C1247" s="129" t="s">
        <v>3223</v>
      </c>
      <c r="D1247" s="137" t="s">
        <v>3853</v>
      </c>
      <c r="E1247" s="84" t="s">
        <v>3904</v>
      </c>
      <c r="F1247" s="113"/>
      <c r="G1247" s="131"/>
      <c r="H1247" s="186" t="s">
        <v>523</v>
      </c>
      <c r="I1247" s="125" t="s">
        <v>326</v>
      </c>
      <c r="J1247" s="125" t="s">
        <v>352</v>
      </c>
      <c r="K1247" s="136" t="s">
        <v>526</v>
      </c>
      <c r="L1247" s="138" t="s">
        <v>507</v>
      </c>
      <c r="M1247" s="138" t="s">
        <v>508</v>
      </c>
    </row>
    <row r="1248" spans="1:13" s="114" customFormat="1" ht="25.5">
      <c r="A1248" s="136">
        <v>1246</v>
      </c>
      <c r="B1248" s="129" t="s">
        <v>3905</v>
      </c>
      <c r="C1248" s="129" t="s">
        <v>3223</v>
      </c>
      <c r="D1248" s="137" t="s">
        <v>3853</v>
      </c>
      <c r="E1248" s="84" t="s">
        <v>3906</v>
      </c>
      <c r="F1248" s="118"/>
      <c r="G1248" s="131"/>
      <c r="H1248" s="186" t="s">
        <v>918</v>
      </c>
      <c r="I1248" s="125" t="s">
        <v>326</v>
      </c>
      <c r="J1248" s="125" t="s">
        <v>352</v>
      </c>
      <c r="K1248" s="125" t="s">
        <v>526</v>
      </c>
      <c r="L1248" s="138" t="s">
        <v>507</v>
      </c>
      <c r="M1248" s="138" t="s">
        <v>508</v>
      </c>
    </row>
    <row r="1249" spans="1:13" s="114" customFormat="1" ht="25.5">
      <c r="A1249" s="136">
        <v>1247</v>
      </c>
      <c r="B1249" s="129" t="s">
        <v>3907</v>
      </c>
      <c r="C1249" s="129" t="s">
        <v>3223</v>
      </c>
      <c r="D1249" s="137" t="s">
        <v>3853</v>
      </c>
      <c r="E1249" s="84" t="s">
        <v>3908</v>
      </c>
      <c r="F1249" s="113"/>
      <c r="G1249" s="131"/>
      <c r="H1249" s="186" t="s">
        <v>889</v>
      </c>
      <c r="I1249" s="125" t="s">
        <v>326</v>
      </c>
      <c r="J1249" s="125" t="s">
        <v>352</v>
      </c>
      <c r="K1249" s="125" t="s">
        <v>526</v>
      </c>
      <c r="L1249" s="138" t="s">
        <v>507</v>
      </c>
      <c r="M1249" s="138" t="s">
        <v>508</v>
      </c>
    </row>
    <row r="1250" spans="1:13" s="114" customFormat="1" ht="38.25">
      <c r="A1250" s="136">
        <v>1248</v>
      </c>
      <c r="B1250" s="129" t="s">
        <v>3909</v>
      </c>
      <c r="C1250" s="129" t="s">
        <v>3230</v>
      </c>
      <c r="D1250" s="137" t="s">
        <v>3850</v>
      </c>
      <c r="E1250" s="84" t="s">
        <v>3910</v>
      </c>
      <c r="F1250" s="118"/>
      <c r="G1250" s="131"/>
      <c r="H1250" s="186" t="s">
        <v>884</v>
      </c>
      <c r="I1250" s="125" t="s">
        <v>326</v>
      </c>
      <c r="J1250" s="125" t="s">
        <v>331</v>
      </c>
      <c r="K1250" s="125" t="s">
        <v>512</v>
      </c>
      <c r="L1250" s="138" t="s">
        <v>507</v>
      </c>
      <c r="M1250" s="138" t="s">
        <v>508</v>
      </c>
    </row>
    <row r="1251" spans="1:13" s="114" customFormat="1" ht="25.5">
      <c r="A1251" s="136">
        <v>1249</v>
      </c>
      <c r="B1251" s="129" t="s">
        <v>3911</v>
      </c>
      <c r="C1251" s="129" t="s">
        <v>3230</v>
      </c>
      <c r="D1251" s="137" t="s">
        <v>3853</v>
      </c>
      <c r="E1251" s="84" t="s">
        <v>3912</v>
      </c>
      <c r="F1251" s="113"/>
      <c r="G1251" s="131"/>
      <c r="H1251" s="186" t="s">
        <v>2314</v>
      </c>
      <c r="I1251" s="125" t="s">
        <v>326</v>
      </c>
      <c r="J1251" s="125" t="s">
        <v>341</v>
      </c>
      <c r="K1251" s="125" t="s">
        <v>580</v>
      </c>
      <c r="L1251" s="138" t="s">
        <v>507</v>
      </c>
      <c r="M1251" s="138" t="s">
        <v>508</v>
      </c>
    </row>
    <row r="1252" spans="1:13" s="114" customFormat="1" ht="25.5">
      <c r="A1252" s="136">
        <v>1250</v>
      </c>
      <c r="B1252" s="129" t="s">
        <v>3913</v>
      </c>
      <c r="C1252" s="129" t="s">
        <v>3238</v>
      </c>
      <c r="D1252" s="137" t="s">
        <v>3850</v>
      </c>
      <c r="E1252" s="84" t="s">
        <v>3914</v>
      </c>
      <c r="F1252" s="113"/>
      <c r="G1252" s="131"/>
      <c r="H1252" s="186" t="s">
        <v>871</v>
      </c>
      <c r="I1252" s="125" t="s">
        <v>326</v>
      </c>
      <c r="J1252" s="125" t="s">
        <v>352</v>
      </c>
      <c r="K1252" s="125" t="s">
        <v>526</v>
      </c>
      <c r="L1252" s="138" t="s">
        <v>507</v>
      </c>
      <c r="M1252" s="138" t="s">
        <v>508</v>
      </c>
    </row>
    <row r="1253" spans="1:13" s="114" customFormat="1" ht="25.5">
      <c r="A1253" s="136">
        <v>1251</v>
      </c>
      <c r="B1253" s="129" t="s">
        <v>3915</v>
      </c>
      <c r="C1253" s="129" t="s">
        <v>3267</v>
      </c>
      <c r="D1253" s="137" t="s">
        <v>3853</v>
      </c>
      <c r="E1253" s="84" t="s">
        <v>3916</v>
      </c>
      <c r="F1253" s="113"/>
      <c r="G1253" s="131"/>
      <c r="H1253" s="186" t="s">
        <v>2582</v>
      </c>
      <c r="I1253" s="125" t="s">
        <v>326</v>
      </c>
      <c r="J1253" s="125" t="s">
        <v>341</v>
      </c>
      <c r="K1253" s="125" t="s">
        <v>570</v>
      </c>
      <c r="L1253" s="138" t="s">
        <v>507</v>
      </c>
      <c r="M1253" s="138" t="s">
        <v>508</v>
      </c>
    </row>
    <row r="1254" spans="1:13" s="114" customFormat="1" ht="38.25">
      <c r="A1254" s="136">
        <v>1252</v>
      </c>
      <c r="B1254" s="129" t="s">
        <v>3917</v>
      </c>
      <c r="C1254" s="129" t="s">
        <v>3918</v>
      </c>
      <c r="D1254" s="137" t="s">
        <v>3850</v>
      </c>
      <c r="E1254" s="84" t="s">
        <v>3919</v>
      </c>
      <c r="F1254" s="113"/>
      <c r="G1254" s="131"/>
      <c r="H1254" s="186" t="s">
        <v>501</v>
      </c>
      <c r="I1254" s="125" t="s">
        <v>326</v>
      </c>
      <c r="J1254" s="125" t="s">
        <v>331</v>
      </c>
      <c r="K1254" s="125" t="s">
        <v>506</v>
      </c>
      <c r="L1254" s="138" t="s">
        <v>507</v>
      </c>
      <c r="M1254" s="138" t="s">
        <v>508</v>
      </c>
    </row>
    <row r="1255" spans="1:13" s="114" customFormat="1" ht="25.5">
      <c r="A1255" s="136">
        <v>1253</v>
      </c>
      <c r="B1255" s="129" t="s">
        <v>3920</v>
      </c>
      <c r="C1255" s="129" t="s">
        <v>3921</v>
      </c>
      <c r="D1255" s="137" t="s">
        <v>3922</v>
      </c>
      <c r="E1255" s="84" t="s">
        <v>3923</v>
      </c>
      <c r="F1255" s="113"/>
      <c r="G1255" s="131"/>
      <c r="H1255" s="186" t="s">
        <v>1671</v>
      </c>
      <c r="I1255" s="125" t="s">
        <v>326</v>
      </c>
      <c r="J1255" s="125" t="s">
        <v>341</v>
      </c>
      <c r="K1255" s="125" t="s">
        <v>580</v>
      </c>
      <c r="L1255" s="138" t="s">
        <v>507</v>
      </c>
      <c r="M1255" s="138" t="s">
        <v>508</v>
      </c>
    </row>
    <row r="1256" spans="1:13" s="114" customFormat="1" ht="38.25">
      <c r="A1256" s="136">
        <v>1254</v>
      </c>
      <c r="B1256" s="129" t="s">
        <v>3924</v>
      </c>
      <c r="C1256" s="129" t="s">
        <v>3925</v>
      </c>
      <c r="D1256" s="137" t="s">
        <v>3853</v>
      </c>
      <c r="E1256" s="84" t="s">
        <v>3926</v>
      </c>
      <c r="F1256" s="113"/>
      <c r="G1256" s="131"/>
      <c r="H1256" s="186" t="s">
        <v>1617</v>
      </c>
      <c r="I1256" s="125" t="s">
        <v>326</v>
      </c>
      <c r="J1256" s="125" t="s">
        <v>352</v>
      </c>
      <c r="K1256" s="125" t="s">
        <v>561</v>
      </c>
      <c r="L1256" s="138" t="s">
        <v>507</v>
      </c>
      <c r="M1256" s="138" t="s">
        <v>508</v>
      </c>
    </row>
    <row r="1257" spans="1:13" s="114" customFormat="1" ht="38.25">
      <c r="A1257" s="136">
        <v>1255</v>
      </c>
      <c r="B1257" s="129" t="s">
        <v>3927</v>
      </c>
      <c r="C1257" s="125" t="s">
        <v>3928</v>
      </c>
      <c r="D1257" s="137" t="s">
        <v>3929</v>
      </c>
      <c r="E1257" s="84" t="s">
        <v>3930</v>
      </c>
      <c r="F1257" s="113"/>
      <c r="G1257" s="131"/>
      <c r="H1257" s="186" t="s">
        <v>3931</v>
      </c>
      <c r="I1257" s="107" t="s">
        <v>326</v>
      </c>
      <c r="J1257" s="136" t="s">
        <v>331</v>
      </c>
      <c r="K1257" s="136" t="s">
        <v>512</v>
      </c>
      <c r="L1257" s="138" t="s">
        <v>507</v>
      </c>
      <c r="M1257" s="138" t="s">
        <v>508</v>
      </c>
    </row>
    <row r="1258" spans="1:13" s="114" customFormat="1" ht="38.25">
      <c r="A1258" s="136">
        <v>1256</v>
      </c>
      <c r="B1258" s="129" t="s">
        <v>3932</v>
      </c>
      <c r="C1258" s="125" t="s">
        <v>3933</v>
      </c>
      <c r="D1258" s="137" t="s">
        <v>3934</v>
      </c>
      <c r="E1258" s="84" t="s">
        <v>3935</v>
      </c>
      <c r="F1258" s="113"/>
      <c r="G1258" s="131"/>
      <c r="H1258" s="186" t="s">
        <v>3927</v>
      </c>
      <c r="I1258" s="107" t="s">
        <v>326</v>
      </c>
      <c r="J1258" s="136" t="s">
        <v>331</v>
      </c>
      <c r="K1258" s="136" t="s">
        <v>512</v>
      </c>
      <c r="L1258" s="138" t="s">
        <v>507</v>
      </c>
      <c r="M1258" s="138" t="s">
        <v>508</v>
      </c>
    </row>
    <row r="1259" spans="1:13" s="114" customFormat="1" ht="38.25">
      <c r="A1259" s="136">
        <v>1257</v>
      </c>
      <c r="B1259" s="129" t="s">
        <v>3936</v>
      </c>
      <c r="C1259" s="125" t="s">
        <v>3933</v>
      </c>
      <c r="D1259" s="137" t="s">
        <v>3934</v>
      </c>
      <c r="E1259" s="84" t="s">
        <v>3937</v>
      </c>
      <c r="F1259" s="113"/>
      <c r="G1259" s="131"/>
      <c r="H1259" s="186" t="s">
        <v>3927</v>
      </c>
      <c r="I1259" s="107" t="s">
        <v>326</v>
      </c>
      <c r="J1259" s="136" t="s">
        <v>331</v>
      </c>
      <c r="K1259" s="136" t="s">
        <v>512</v>
      </c>
      <c r="L1259" s="138" t="s">
        <v>507</v>
      </c>
      <c r="M1259" s="138" t="s">
        <v>508</v>
      </c>
    </row>
    <row r="1260" spans="1:13" s="114" customFormat="1" ht="38.25">
      <c r="A1260" s="136">
        <v>1258</v>
      </c>
      <c r="B1260" s="129" t="s">
        <v>3938</v>
      </c>
      <c r="C1260" s="125" t="s">
        <v>3939</v>
      </c>
      <c r="D1260" s="137" t="s">
        <v>3940</v>
      </c>
      <c r="E1260" s="84" t="s">
        <v>3941</v>
      </c>
      <c r="F1260" s="113"/>
      <c r="G1260" s="131"/>
      <c r="H1260" s="186" t="s">
        <v>3927</v>
      </c>
      <c r="I1260" s="107" t="s">
        <v>326</v>
      </c>
      <c r="J1260" s="136" t="s">
        <v>331</v>
      </c>
      <c r="K1260" s="136" t="s">
        <v>512</v>
      </c>
      <c r="L1260" s="138" t="s">
        <v>507</v>
      </c>
      <c r="M1260" s="138" t="s">
        <v>508</v>
      </c>
    </row>
    <row r="1261" spans="1:13" s="114" customFormat="1" ht="38.25">
      <c r="A1261" s="136">
        <v>1259</v>
      </c>
      <c r="B1261" s="129" t="s">
        <v>3942</v>
      </c>
      <c r="C1261" s="125" t="s">
        <v>3939</v>
      </c>
      <c r="D1261" s="137" t="s">
        <v>3940</v>
      </c>
      <c r="E1261" s="84" t="s">
        <v>3943</v>
      </c>
      <c r="F1261" s="113"/>
      <c r="G1261" s="131"/>
      <c r="H1261" s="186" t="s">
        <v>3927</v>
      </c>
      <c r="I1261" s="107" t="s">
        <v>326</v>
      </c>
      <c r="J1261" s="136" t="s">
        <v>331</v>
      </c>
      <c r="K1261" s="136" t="s">
        <v>512</v>
      </c>
      <c r="L1261" s="138" t="s">
        <v>507</v>
      </c>
      <c r="M1261" s="138" t="s">
        <v>508</v>
      </c>
    </row>
    <row r="1262" spans="1:13" s="114" customFormat="1" ht="38.25">
      <c r="A1262" s="136">
        <v>1260</v>
      </c>
      <c r="B1262" s="129" t="s">
        <v>3944</v>
      </c>
      <c r="C1262" s="125" t="s">
        <v>3945</v>
      </c>
      <c r="D1262" s="139" t="s">
        <v>3946</v>
      </c>
      <c r="E1262" s="84" t="s">
        <v>3947</v>
      </c>
      <c r="F1262" s="113"/>
      <c r="G1262" s="131"/>
      <c r="H1262" s="186" t="s">
        <v>3927</v>
      </c>
      <c r="I1262" s="107" t="s">
        <v>326</v>
      </c>
      <c r="J1262" s="136" t="s">
        <v>331</v>
      </c>
      <c r="K1262" s="136" t="s">
        <v>512</v>
      </c>
      <c r="L1262" s="138" t="s">
        <v>507</v>
      </c>
      <c r="M1262" s="138" t="s">
        <v>508</v>
      </c>
    </row>
    <row r="1263" spans="1:13" s="114" customFormat="1" ht="38.25">
      <c r="A1263" s="136">
        <v>1261</v>
      </c>
      <c r="B1263" s="129" t="s">
        <v>3948</v>
      </c>
      <c r="C1263" s="125" t="s">
        <v>3945</v>
      </c>
      <c r="D1263" s="139" t="s">
        <v>3946</v>
      </c>
      <c r="E1263" s="84" t="s">
        <v>3949</v>
      </c>
      <c r="F1263" s="113"/>
      <c r="G1263" s="131"/>
      <c r="H1263" s="186" t="s">
        <v>3927</v>
      </c>
      <c r="I1263" s="107" t="s">
        <v>326</v>
      </c>
      <c r="J1263" s="136" t="s">
        <v>331</v>
      </c>
      <c r="K1263" s="136" t="s">
        <v>512</v>
      </c>
      <c r="L1263" s="138" t="s">
        <v>507</v>
      </c>
      <c r="M1263" s="138" t="s">
        <v>508</v>
      </c>
    </row>
    <row r="1264" spans="1:13" s="114" customFormat="1" ht="38.25">
      <c r="A1264" s="136">
        <v>1262</v>
      </c>
      <c r="B1264" s="129" t="s">
        <v>3950</v>
      </c>
      <c r="C1264" s="125" t="s">
        <v>3951</v>
      </c>
      <c r="D1264" s="137" t="s">
        <v>3952</v>
      </c>
      <c r="E1264" s="84" t="s">
        <v>3953</v>
      </c>
      <c r="F1264" s="113"/>
      <c r="G1264" s="131"/>
      <c r="H1264" s="186" t="s">
        <v>3927</v>
      </c>
      <c r="I1264" s="107" t="s">
        <v>326</v>
      </c>
      <c r="J1264" s="136" t="s">
        <v>331</v>
      </c>
      <c r="K1264" s="136" t="s">
        <v>512</v>
      </c>
      <c r="L1264" s="138" t="s">
        <v>507</v>
      </c>
      <c r="M1264" s="138" t="s">
        <v>508</v>
      </c>
    </row>
    <row r="1265" spans="1:13" s="114" customFormat="1" ht="38.25">
      <c r="A1265" s="136">
        <v>1263</v>
      </c>
      <c r="B1265" s="129" t="s">
        <v>3954</v>
      </c>
      <c r="C1265" s="125" t="s">
        <v>3951</v>
      </c>
      <c r="D1265" s="137" t="s">
        <v>3952</v>
      </c>
      <c r="E1265" s="84" t="s">
        <v>3955</v>
      </c>
      <c r="F1265" s="113"/>
      <c r="G1265" s="131"/>
      <c r="H1265" s="186" t="s">
        <v>3927</v>
      </c>
      <c r="I1265" s="107" t="s">
        <v>326</v>
      </c>
      <c r="J1265" s="136" t="s">
        <v>331</v>
      </c>
      <c r="K1265" s="136" t="s">
        <v>512</v>
      </c>
      <c r="L1265" s="138" t="s">
        <v>507</v>
      </c>
      <c r="M1265" s="138" t="s">
        <v>508</v>
      </c>
    </row>
    <row r="1266" spans="1:13" s="114" customFormat="1" ht="38.25">
      <c r="A1266" s="136">
        <v>1264</v>
      </c>
      <c r="B1266" s="129" t="s">
        <v>3956</v>
      </c>
      <c r="C1266" s="129" t="s">
        <v>3957</v>
      </c>
      <c r="D1266" s="137" t="s">
        <v>3958</v>
      </c>
      <c r="E1266" s="84" t="s">
        <v>3959</v>
      </c>
      <c r="F1266" s="113"/>
      <c r="G1266" s="131"/>
      <c r="H1266" s="186" t="s">
        <v>3927</v>
      </c>
      <c r="I1266" s="107" t="s">
        <v>326</v>
      </c>
      <c r="J1266" s="136" t="s">
        <v>331</v>
      </c>
      <c r="K1266" s="136" t="s">
        <v>512</v>
      </c>
      <c r="L1266" s="138" t="s">
        <v>507</v>
      </c>
      <c r="M1266" s="138" t="s">
        <v>508</v>
      </c>
    </row>
    <row r="1267" spans="1:13" s="114" customFormat="1" ht="38.25">
      <c r="A1267" s="136">
        <v>1265</v>
      </c>
      <c r="B1267" s="129" t="s">
        <v>3960</v>
      </c>
      <c r="C1267" s="129" t="s">
        <v>3961</v>
      </c>
      <c r="D1267" s="140" t="s">
        <v>3962</v>
      </c>
      <c r="E1267" s="84" t="s">
        <v>3963</v>
      </c>
      <c r="F1267" s="113"/>
      <c r="G1267" s="131"/>
      <c r="H1267" s="186" t="s">
        <v>3927</v>
      </c>
      <c r="I1267" s="107" t="s">
        <v>326</v>
      </c>
      <c r="J1267" s="136" t="s">
        <v>331</v>
      </c>
      <c r="K1267" s="136" t="s">
        <v>512</v>
      </c>
      <c r="L1267" s="138" t="s">
        <v>507</v>
      </c>
      <c r="M1267" s="138" t="s">
        <v>508</v>
      </c>
    </row>
    <row r="1268" spans="1:13" s="114" customFormat="1" ht="38.25">
      <c r="A1268" s="136">
        <v>1266</v>
      </c>
      <c r="B1268" s="129" t="s">
        <v>3964</v>
      </c>
      <c r="C1268" s="153">
        <v>6.1</v>
      </c>
      <c r="D1268" s="137" t="s">
        <v>3965</v>
      </c>
      <c r="E1268" s="84" t="s">
        <v>3966</v>
      </c>
      <c r="F1268" s="113"/>
      <c r="G1268" s="131"/>
      <c r="H1268" s="186" t="s">
        <v>3927</v>
      </c>
      <c r="I1268" s="107" t="s">
        <v>326</v>
      </c>
      <c r="J1268" s="136" t="s">
        <v>331</v>
      </c>
      <c r="K1268" s="136" t="s">
        <v>512</v>
      </c>
      <c r="L1268" s="138" t="s">
        <v>507</v>
      </c>
      <c r="M1268" s="138" t="s">
        <v>508</v>
      </c>
    </row>
    <row r="1269" spans="1:13" s="114" customFormat="1" ht="25.5">
      <c r="A1269" s="136">
        <v>1267</v>
      </c>
      <c r="B1269" s="129" t="s">
        <v>3967</v>
      </c>
      <c r="C1269" s="129">
        <v>6.12</v>
      </c>
      <c r="D1269" s="140" t="s">
        <v>3968</v>
      </c>
      <c r="E1269" s="84" t="s">
        <v>3969</v>
      </c>
      <c r="F1269" s="113"/>
      <c r="G1269" s="131"/>
      <c r="H1269" s="186" t="s">
        <v>3970</v>
      </c>
      <c r="I1269" s="107" t="s">
        <v>326</v>
      </c>
      <c r="J1269" s="136" t="s">
        <v>352</v>
      </c>
      <c r="K1269" s="136" t="s">
        <v>526</v>
      </c>
      <c r="L1269" s="138" t="s">
        <v>507</v>
      </c>
      <c r="M1269" s="138" t="s">
        <v>508</v>
      </c>
    </row>
    <row r="1270" spans="1:13" s="114" customFormat="1" ht="25.5">
      <c r="A1270" s="136">
        <v>1268</v>
      </c>
      <c r="B1270" s="129" t="s">
        <v>3970</v>
      </c>
      <c r="C1270" s="129">
        <v>6.12</v>
      </c>
      <c r="D1270" s="140" t="s">
        <v>3968</v>
      </c>
      <c r="E1270" s="84" t="s">
        <v>3971</v>
      </c>
      <c r="F1270" s="113"/>
      <c r="G1270" s="131"/>
      <c r="H1270" s="186" t="s">
        <v>3972</v>
      </c>
      <c r="I1270" s="107" t="s">
        <v>326</v>
      </c>
      <c r="J1270" s="136" t="s">
        <v>352</v>
      </c>
      <c r="K1270" s="136" t="s">
        <v>526</v>
      </c>
      <c r="L1270" s="138" t="s">
        <v>507</v>
      </c>
      <c r="M1270" s="138" t="s">
        <v>508</v>
      </c>
    </row>
    <row r="1271" spans="1:13" s="114" customFormat="1" ht="38.25">
      <c r="A1271" s="136">
        <v>1269</v>
      </c>
      <c r="B1271" s="129" t="s">
        <v>3973</v>
      </c>
      <c r="C1271" s="129" t="s">
        <v>3974</v>
      </c>
      <c r="D1271" s="137" t="s">
        <v>3975</v>
      </c>
      <c r="E1271" s="84" t="s">
        <v>3976</v>
      </c>
      <c r="F1271" s="113"/>
      <c r="G1271" s="131"/>
      <c r="H1271" s="186" t="s">
        <v>3927</v>
      </c>
      <c r="I1271" s="107" t="s">
        <v>326</v>
      </c>
      <c r="J1271" s="136" t="s">
        <v>331</v>
      </c>
      <c r="K1271" s="136" t="s">
        <v>512</v>
      </c>
      <c r="L1271" s="138" t="s">
        <v>507</v>
      </c>
      <c r="M1271" s="138" t="s">
        <v>508</v>
      </c>
    </row>
    <row r="1272" spans="1:13" s="114" customFormat="1" ht="25.5">
      <c r="A1272" s="136">
        <v>1270</v>
      </c>
      <c r="B1272" s="129" t="s">
        <v>3977</v>
      </c>
      <c r="C1272" s="129" t="s">
        <v>3974</v>
      </c>
      <c r="D1272" s="137" t="s">
        <v>3978</v>
      </c>
      <c r="E1272" s="84" t="s">
        <v>3979</v>
      </c>
      <c r="F1272" s="113"/>
      <c r="G1272" s="131"/>
      <c r="H1272" s="186" t="s">
        <v>3970</v>
      </c>
      <c r="I1272" s="107" t="s">
        <v>326</v>
      </c>
      <c r="J1272" s="136" t="s">
        <v>352</v>
      </c>
      <c r="K1272" s="136" t="s">
        <v>526</v>
      </c>
      <c r="L1272" s="138" t="s">
        <v>507</v>
      </c>
      <c r="M1272" s="138" t="s">
        <v>508</v>
      </c>
    </row>
    <row r="1273" spans="1:13" s="114" customFormat="1" ht="38.25">
      <c r="A1273" s="136">
        <v>1271</v>
      </c>
      <c r="B1273" s="129" t="s">
        <v>3980</v>
      </c>
      <c r="C1273" s="129" t="s">
        <v>3974</v>
      </c>
      <c r="D1273" s="137" t="s">
        <v>3978</v>
      </c>
      <c r="E1273" s="84" t="s">
        <v>3981</v>
      </c>
      <c r="F1273" s="113"/>
      <c r="G1273" s="131"/>
      <c r="H1273" s="186" t="s">
        <v>3970</v>
      </c>
      <c r="I1273" s="107" t="s">
        <v>326</v>
      </c>
      <c r="J1273" s="136" t="s">
        <v>352</v>
      </c>
      <c r="K1273" s="136" t="s">
        <v>526</v>
      </c>
      <c r="L1273" s="138" t="s">
        <v>507</v>
      </c>
      <c r="M1273" s="138" t="s">
        <v>508</v>
      </c>
    </row>
    <row r="1274" spans="1:13" s="114" customFormat="1" ht="25.5">
      <c r="A1274" s="136">
        <v>1272</v>
      </c>
      <c r="B1274" s="129" t="s">
        <v>3982</v>
      </c>
      <c r="C1274" s="129" t="s">
        <v>3974</v>
      </c>
      <c r="D1274" s="137" t="s">
        <v>3978</v>
      </c>
      <c r="E1274" s="84" t="s">
        <v>3983</v>
      </c>
      <c r="F1274" s="113"/>
      <c r="G1274" s="131"/>
      <c r="H1274" s="186" t="s">
        <v>3970</v>
      </c>
      <c r="I1274" s="107" t="s">
        <v>326</v>
      </c>
      <c r="J1274" s="136" t="s">
        <v>352</v>
      </c>
      <c r="K1274" s="136" t="s">
        <v>526</v>
      </c>
      <c r="L1274" s="138" t="s">
        <v>507</v>
      </c>
      <c r="M1274" s="138" t="s">
        <v>508</v>
      </c>
    </row>
    <row r="1275" spans="1:13" s="114" customFormat="1" ht="25.5">
      <c r="A1275" s="136">
        <v>1273</v>
      </c>
      <c r="B1275" s="129" t="s">
        <v>3984</v>
      </c>
      <c r="C1275" s="129" t="s">
        <v>3974</v>
      </c>
      <c r="D1275" s="137" t="s">
        <v>3978</v>
      </c>
      <c r="E1275" s="84" t="s">
        <v>3985</v>
      </c>
      <c r="F1275" s="113"/>
      <c r="G1275" s="131"/>
      <c r="H1275" s="186" t="s">
        <v>3970</v>
      </c>
      <c r="I1275" s="107" t="s">
        <v>326</v>
      </c>
      <c r="J1275" s="136" t="s">
        <v>352</v>
      </c>
      <c r="K1275" s="136" t="s">
        <v>526</v>
      </c>
      <c r="L1275" s="138" t="s">
        <v>507</v>
      </c>
      <c r="M1275" s="138" t="s">
        <v>508</v>
      </c>
    </row>
    <row r="1276" spans="1:13" s="114" customFormat="1" ht="25.5">
      <c r="A1276" s="136">
        <v>1274</v>
      </c>
      <c r="B1276" s="129" t="s">
        <v>3986</v>
      </c>
      <c r="C1276" s="129" t="s">
        <v>3974</v>
      </c>
      <c r="D1276" s="137" t="s">
        <v>3978</v>
      </c>
      <c r="E1276" s="84" t="s">
        <v>3987</v>
      </c>
      <c r="F1276" s="113"/>
      <c r="G1276" s="131"/>
      <c r="H1276" s="186" t="s">
        <v>3970</v>
      </c>
      <c r="I1276" s="107" t="s">
        <v>326</v>
      </c>
      <c r="J1276" s="136" t="s">
        <v>352</v>
      </c>
      <c r="K1276" s="136" t="s">
        <v>526</v>
      </c>
      <c r="L1276" s="138" t="s">
        <v>507</v>
      </c>
      <c r="M1276" s="138" t="s">
        <v>508</v>
      </c>
    </row>
    <row r="1277" spans="1:13" s="114" customFormat="1" ht="25.5">
      <c r="A1277" s="136">
        <v>1275</v>
      </c>
      <c r="B1277" s="129" t="s">
        <v>3988</v>
      </c>
      <c r="C1277" s="129" t="s">
        <v>3974</v>
      </c>
      <c r="D1277" s="137" t="s">
        <v>3978</v>
      </c>
      <c r="E1277" s="84" t="s">
        <v>3989</v>
      </c>
      <c r="F1277" s="113"/>
      <c r="G1277" s="131"/>
      <c r="H1277" s="186" t="s">
        <v>3970</v>
      </c>
      <c r="I1277" s="107" t="s">
        <v>326</v>
      </c>
      <c r="J1277" s="136" t="s">
        <v>352</v>
      </c>
      <c r="K1277" s="136" t="s">
        <v>526</v>
      </c>
      <c r="L1277" s="138" t="s">
        <v>507</v>
      </c>
      <c r="M1277" s="138" t="s">
        <v>508</v>
      </c>
    </row>
    <row r="1278" spans="1:13" s="114" customFormat="1" ht="38.25">
      <c r="A1278" s="136">
        <v>1276</v>
      </c>
      <c r="B1278" s="129" t="s">
        <v>3990</v>
      </c>
      <c r="C1278" s="125" t="s">
        <v>3633</v>
      </c>
      <c r="D1278" s="142" t="s">
        <v>3991</v>
      </c>
      <c r="E1278" s="84" t="s">
        <v>3992</v>
      </c>
      <c r="F1278" s="113"/>
      <c r="G1278" s="131"/>
      <c r="H1278" s="186" t="s">
        <v>1671</v>
      </c>
      <c r="I1278" s="107" t="s">
        <v>326</v>
      </c>
      <c r="J1278" s="136" t="s">
        <v>341</v>
      </c>
      <c r="K1278" s="136" t="s">
        <v>580</v>
      </c>
      <c r="L1278" s="138" t="s">
        <v>507</v>
      </c>
      <c r="M1278" s="138" t="s">
        <v>508</v>
      </c>
    </row>
    <row r="1279" spans="1:13" s="114" customFormat="1" ht="38.25">
      <c r="A1279" s="136">
        <v>1277</v>
      </c>
      <c r="B1279" s="129" t="s">
        <v>3993</v>
      </c>
      <c r="C1279" s="125" t="s">
        <v>3633</v>
      </c>
      <c r="D1279" s="142" t="s">
        <v>3994</v>
      </c>
      <c r="E1279" s="84" t="s">
        <v>3995</v>
      </c>
      <c r="F1279" s="113"/>
      <c r="G1279" s="131"/>
      <c r="H1279" s="186" t="s">
        <v>543</v>
      </c>
      <c r="I1279" s="107" t="s">
        <v>326</v>
      </c>
      <c r="J1279" s="136" t="s">
        <v>331</v>
      </c>
      <c r="K1279" s="136" t="s">
        <v>512</v>
      </c>
      <c r="L1279" s="138" t="s">
        <v>507</v>
      </c>
      <c r="M1279" s="138" t="s">
        <v>508</v>
      </c>
    </row>
    <row r="1280" spans="1:13" s="114" customFormat="1" ht="51">
      <c r="A1280" s="136">
        <v>1278</v>
      </c>
      <c r="B1280" s="129" t="s">
        <v>3996</v>
      </c>
      <c r="C1280" s="125" t="s">
        <v>3633</v>
      </c>
      <c r="D1280" s="142" t="s">
        <v>3994</v>
      </c>
      <c r="E1280" s="84" t="s">
        <v>3997</v>
      </c>
      <c r="F1280" s="113"/>
      <c r="G1280" s="131"/>
      <c r="H1280" s="186" t="s">
        <v>690</v>
      </c>
      <c r="I1280" s="107" t="s">
        <v>326</v>
      </c>
      <c r="J1280" s="136" t="s">
        <v>331</v>
      </c>
      <c r="K1280" s="136" t="s">
        <v>530</v>
      </c>
      <c r="L1280" s="138" t="s">
        <v>507</v>
      </c>
      <c r="M1280" s="138" t="s">
        <v>508</v>
      </c>
    </row>
    <row r="1281" spans="1:13" s="114" customFormat="1" ht="38.25">
      <c r="A1281" s="136">
        <v>1279</v>
      </c>
      <c r="B1281" s="129" t="s">
        <v>3998</v>
      </c>
      <c r="C1281" s="125" t="s">
        <v>3633</v>
      </c>
      <c r="D1281" s="142" t="s">
        <v>3994</v>
      </c>
      <c r="E1281" s="84" t="s">
        <v>3999</v>
      </c>
      <c r="F1281" s="113"/>
      <c r="G1281" s="131"/>
      <c r="H1281" s="186" t="s">
        <v>509</v>
      </c>
      <c r="I1281" s="107" t="s">
        <v>326</v>
      </c>
      <c r="J1281" s="136" t="s">
        <v>331</v>
      </c>
      <c r="K1281" s="136" t="s">
        <v>512</v>
      </c>
      <c r="L1281" s="138" t="s">
        <v>507</v>
      </c>
      <c r="M1281" s="138" t="s">
        <v>508</v>
      </c>
    </row>
    <row r="1282" spans="1:13" s="114" customFormat="1" ht="51">
      <c r="A1282" s="136">
        <v>1280</v>
      </c>
      <c r="B1282" s="129" t="s">
        <v>4000</v>
      </c>
      <c r="C1282" s="125" t="s">
        <v>3633</v>
      </c>
      <c r="D1282" s="142" t="s">
        <v>3994</v>
      </c>
      <c r="E1282" s="84" t="s">
        <v>4001</v>
      </c>
      <c r="F1282" s="113"/>
      <c r="G1282" s="131"/>
      <c r="H1282" s="186" t="s">
        <v>1148</v>
      </c>
      <c r="I1282" s="107" t="s">
        <v>326</v>
      </c>
      <c r="J1282" s="136" t="s">
        <v>331</v>
      </c>
      <c r="K1282" s="136" t="s">
        <v>530</v>
      </c>
      <c r="L1282" s="138" t="s">
        <v>507</v>
      </c>
      <c r="M1282" s="138" t="s">
        <v>508</v>
      </c>
    </row>
    <row r="1283" spans="1:13" s="114" customFormat="1" ht="38.25">
      <c r="A1283" s="136">
        <v>1281</v>
      </c>
      <c r="B1283" s="129" t="s">
        <v>4002</v>
      </c>
      <c r="C1283" s="125" t="s">
        <v>3633</v>
      </c>
      <c r="D1283" s="142" t="s">
        <v>3994</v>
      </c>
      <c r="E1283" s="84" t="s">
        <v>4003</v>
      </c>
      <c r="F1283" s="113"/>
      <c r="G1283" s="131"/>
      <c r="H1283" s="186" t="s">
        <v>1221</v>
      </c>
      <c r="I1283" s="107" t="s">
        <v>326</v>
      </c>
      <c r="J1283" s="136" t="s">
        <v>331</v>
      </c>
      <c r="K1283" s="136" t="s">
        <v>1178</v>
      </c>
      <c r="L1283" s="138" t="s">
        <v>507</v>
      </c>
      <c r="M1283" s="138" t="s">
        <v>508</v>
      </c>
    </row>
    <row r="1284" spans="1:13" s="114" customFormat="1" ht="25.5">
      <c r="A1284" s="136">
        <v>1282</v>
      </c>
      <c r="B1284" s="129" t="s">
        <v>1436</v>
      </c>
      <c r="C1284" s="125" t="s">
        <v>3633</v>
      </c>
      <c r="D1284" s="142" t="s">
        <v>3994</v>
      </c>
      <c r="E1284" s="84" t="s">
        <v>4004</v>
      </c>
      <c r="F1284" s="113"/>
      <c r="G1284" s="131"/>
      <c r="H1284" s="186" t="s">
        <v>4005</v>
      </c>
      <c r="I1284" s="107" t="s">
        <v>326</v>
      </c>
      <c r="J1284" s="136" t="s">
        <v>331</v>
      </c>
      <c r="K1284" s="136" t="s">
        <v>1357</v>
      </c>
      <c r="L1284" s="138" t="s">
        <v>507</v>
      </c>
      <c r="M1284" s="138" t="s">
        <v>508</v>
      </c>
    </row>
    <row r="1285" spans="1:13" s="114" customFormat="1" ht="51">
      <c r="A1285" s="136">
        <v>1283</v>
      </c>
      <c r="B1285" s="129" t="s">
        <v>4006</v>
      </c>
      <c r="C1285" s="125" t="s">
        <v>3633</v>
      </c>
      <c r="D1285" s="142" t="s">
        <v>4007</v>
      </c>
      <c r="E1285" s="84" t="s">
        <v>4008</v>
      </c>
      <c r="F1285" s="113"/>
      <c r="G1285" s="131"/>
      <c r="H1285" s="186" t="s">
        <v>608</v>
      </c>
      <c r="I1285" s="107" t="s">
        <v>326</v>
      </c>
      <c r="J1285" s="136" t="s">
        <v>331</v>
      </c>
      <c r="K1285" s="136" t="s">
        <v>530</v>
      </c>
      <c r="L1285" s="138" t="s">
        <v>507</v>
      </c>
      <c r="M1285" s="138" t="s">
        <v>508</v>
      </c>
    </row>
    <row r="1286" spans="1:13" s="114" customFormat="1" ht="38.25">
      <c r="A1286" s="136">
        <v>1284</v>
      </c>
      <c r="B1286" s="129" t="s">
        <v>4009</v>
      </c>
      <c r="C1286" s="125" t="s">
        <v>3633</v>
      </c>
      <c r="D1286" s="142" t="s">
        <v>4007</v>
      </c>
      <c r="E1286" s="84" t="s">
        <v>4010</v>
      </c>
      <c r="F1286" s="113"/>
      <c r="G1286" s="131"/>
      <c r="H1286" s="186" t="s">
        <v>1331</v>
      </c>
      <c r="I1286" s="107" t="s">
        <v>326</v>
      </c>
      <c r="J1286" s="136" t="s">
        <v>349</v>
      </c>
      <c r="K1286" s="136" t="s">
        <v>1336</v>
      </c>
      <c r="L1286" s="138" t="s">
        <v>507</v>
      </c>
      <c r="M1286" s="138" t="s">
        <v>508</v>
      </c>
    </row>
    <row r="1287" spans="1:13" s="114" customFormat="1" ht="51">
      <c r="A1287" s="136">
        <v>1285</v>
      </c>
      <c r="B1287" s="129" t="s">
        <v>4011</v>
      </c>
      <c r="C1287" s="125" t="s">
        <v>3633</v>
      </c>
      <c r="D1287" s="142" t="s">
        <v>4007</v>
      </c>
      <c r="E1287" s="84" t="s">
        <v>4012</v>
      </c>
      <c r="F1287" s="113"/>
      <c r="G1287" s="131"/>
      <c r="H1287" s="186" t="s">
        <v>608</v>
      </c>
      <c r="I1287" s="107" t="s">
        <v>326</v>
      </c>
      <c r="J1287" s="136" t="s">
        <v>331</v>
      </c>
      <c r="K1287" s="136" t="s">
        <v>530</v>
      </c>
      <c r="L1287" s="138" t="s">
        <v>507</v>
      </c>
      <c r="M1287" s="138" t="s">
        <v>508</v>
      </c>
    </row>
    <row r="1288" spans="1:13" s="114" customFormat="1" ht="51">
      <c r="A1288" s="136">
        <v>1286</v>
      </c>
      <c r="B1288" s="129" t="s">
        <v>4013</v>
      </c>
      <c r="C1288" s="125" t="s">
        <v>3633</v>
      </c>
      <c r="D1288" s="142" t="s">
        <v>4007</v>
      </c>
      <c r="E1288" s="84" t="s">
        <v>4014</v>
      </c>
      <c r="F1288" s="113"/>
      <c r="G1288" s="131"/>
      <c r="H1288" s="186" t="s">
        <v>608</v>
      </c>
      <c r="I1288" s="107" t="s">
        <v>326</v>
      </c>
      <c r="J1288" s="136" t="s">
        <v>331</v>
      </c>
      <c r="K1288" s="136" t="s">
        <v>530</v>
      </c>
      <c r="L1288" s="138" t="s">
        <v>507</v>
      </c>
      <c r="M1288" s="138" t="s">
        <v>508</v>
      </c>
    </row>
    <row r="1289" spans="1:13" s="114" customFormat="1" ht="51">
      <c r="A1289" s="136">
        <v>1287</v>
      </c>
      <c r="B1289" s="129" t="s">
        <v>4015</v>
      </c>
      <c r="C1289" s="125" t="s">
        <v>3633</v>
      </c>
      <c r="D1289" s="142" t="s">
        <v>4007</v>
      </c>
      <c r="E1289" s="84" t="s">
        <v>4016</v>
      </c>
      <c r="F1289" s="113"/>
      <c r="G1289" s="131"/>
      <c r="H1289" s="186" t="s">
        <v>1024</v>
      </c>
      <c r="I1289" s="107" t="s">
        <v>326</v>
      </c>
      <c r="J1289" s="136" t="s">
        <v>341</v>
      </c>
      <c r="K1289" s="136" t="s">
        <v>580</v>
      </c>
      <c r="L1289" s="138" t="s">
        <v>507</v>
      </c>
      <c r="M1289" s="138" t="s">
        <v>508</v>
      </c>
    </row>
    <row r="1290" spans="1:13" s="114" customFormat="1" ht="38.25">
      <c r="A1290" s="136">
        <v>1288</v>
      </c>
      <c r="B1290" s="129" t="s">
        <v>4017</v>
      </c>
      <c r="C1290" s="125" t="s">
        <v>3633</v>
      </c>
      <c r="D1290" s="142" t="s">
        <v>4007</v>
      </c>
      <c r="E1290" s="84" t="s">
        <v>4018</v>
      </c>
      <c r="F1290" s="113"/>
      <c r="G1290" s="131"/>
      <c r="H1290" s="186" t="s">
        <v>974</v>
      </c>
      <c r="I1290" s="107" t="s">
        <v>326</v>
      </c>
      <c r="J1290" s="136" t="s">
        <v>352</v>
      </c>
      <c r="K1290" s="136" t="s">
        <v>597</v>
      </c>
      <c r="L1290" s="138" t="s">
        <v>314</v>
      </c>
      <c r="M1290" s="138" t="s">
        <v>508</v>
      </c>
    </row>
    <row r="1291" spans="1:13" s="114" customFormat="1" ht="38.25">
      <c r="A1291" s="136">
        <v>1289</v>
      </c>
      <c r="B1291" s="129" t="s">
        <v>4019</v>
      </c>
      <c r="C1291" s="125" t="s">
        <v>3633</v>
      </c>
      <c r="D1291" s="142" t="s">
        <v>4007</v>
      </c>
      <c r="E1291" s="84" t="s">
        <v>4020</v>
      </c>
      <c r="F1291" s="113"/>
      <c r="G1291" s="131"/>
      <c r="H1291" s="186" t="s">
        <v>509</v>
      </c>
      <c r="I1291" s="107" t="s">
        <v>326</v>
      </c>
      <c r="J1291" s="136" t="s">
        <v>331</v>
      </c>
      <c r="K1291" s="136" t="s">
        <v>512</v>
      </c>
      <c r="L1291" s="107" t="s">
        <v>507</v>
      </c>
      <c r="M1291" s="138" t="s">
        <v>508</v>
      </c>
    </row>
    <row r="1292" spans="1:13" s="114" customFormat="1" ht="51">
      <c r="A1292" s="136">
        <v>1290</v>
      </c>
      <c r="B1292" s="129" t="s">
        <v>4021</v>
      </c>
      <c r="C1292" s="125" t="s">
        <v>3633</v>
      </c>
      <c r="D1292" s="142" t="s">
        <v>4022</v>
      </c>
      <c r="E1292" s="84" t="s">
        <v>4023</v>
      </c>
      <c r="F1292" s="113"/>
      <c r="G1292" s="131"/>
      <c r="H1292" s="186" t="s">
        <v>1024</v>
      </c>
      <c r="I1292" s="107" t="s">
        <v>326</v>
      </c>
      <c r="J1292" s="136" t="s">
        <v>341</v>
      </c>
      <c r="K1292" s="136" t="s">
        <v>580</v>
      </c>
      <c r="L1292" s="138" t="s">
        <v>507</v>
      </c>
      <c r="M1292" s="138" t="s">
        <v>508</v>
      </c>
    </row>
    <row r="1293" spans="1:13" s="114" customFormat="1" ht="25.5">
      <c r="A1293" s="136">
        <v>1291</v>
      </c>
      <c r="B1293" s="129" t="s">
        <v>4024</v>
      </c>
      <c r="C1293" s="125" t="s">
        <v>3633</v>
      </c>
      <c r="D1293" s="142" t="s">
        <v>4022</v>
      </c>
      <c r="E1293" s="84" t="s">
        <v>4025</v>
      </c>
      <c r="F1293" s="113"/>
      <c r="G1293" s="131"/>
      <c r="H1293" s="186" t="s">
        <v>1024</v>
      </c>
      <c r="I1293" s="107" t="s">
        <v>326</v>
      </c>
      <c r="J1293" s="136" t="s">
        <v>341</v>
      </c>
      <c r="K1293" s="136" t="s">
        <v>580</v>
      </c>
      <c r="L1293" s="138" t="s">
        <v>507</v>
      </c>
      <c r="M1293" s="138" t="s">
        <v>508</v>
      </c>
    </row>
    <row r="1294" spans="1:13" s="114" customFormat="1" ht="25.5">
      <c r="A1294" s="136">
        <v>1292</v>
      </c>
      <c r="B1294" s="129" t="s">
        <v>4026</v>
      </c>
      <c r="C1294" s="125" t="s">
        <v>3633</v>
      </c>
      <c r="D1294" s="142" t="s">
        <v>4027</v>
      </c>
      <c r="E1294" s="84" t="s">
        <v>4028</v>
      </c>
      <c r="F1294" s="113"/>
      <c r="G1294" s="131"/>
      <c r="H1294" s="186" t="s">
        <v>1671</v>
      </c>
      <c r="I1294" s="107" t="s">
        <v>326</v>
      </c>
      <c r="J1294" s="136" t="s">
        <v>341</v>
      </c>
      <c r="K1294" s="136" t="s">
        <v>580</v>
      </c>
      <c r="L1294" s="138" t="s">
        <v>507</v>
      </c>
      <c r="M1294" s="138" t="s">
        <v>508</v>
      </c>
    </row>
    <row r="1295" spans="1:13" s="114" customFormat="1" ht="12.75">
      <c r="A1295" s="136">
        <v>1293</v>
      </c>
      <c r="B1295" s="129" t="s">
        <v>4029</v>
      </c>
      <c r="C1295" s="125" t="s">
        <v>3633</v>
      </c>
      <c r="D1295" s="142" t="s">
        <v>4027</v>
      </c>
      <c r="E1295" s="84" t="s">
        <v>4030</v>
      </c>
      <c r="F1295" s="113"/>
      <c r="G1295" s="131"/>
      <c r="H1295" s="186" t="s">
        <v>600</v>
      </c>
      <c r="I1295" s="107" t="s">
        <v>326</v>
      </c>
      <c r="J1295" s="136" t="s">
        <v>341</v>
      </c>
      <c r="K1295" s="136" t="s">
        <v>601</v>
      </c>
      <c r="L1295" s="138" t="s">
        <v>507</v>
      </c>
      <c r="M1295" s="138" t="s">
        <v>508</v>
      </c>
    </row>
    <row r="1296" spans="1:13" s="114" customFormat="1" ht="25.5">
      <c r="A1296" s="136">
        <v>1294</v>
      </c>
      <c r="B1296" s="129" t="s">
        <v>4031</v>
      </c>
      <c r="C1296" s="125" t="s">
        <v>3633</v>
      </c>
      <c r="D1296" s="142" t="s">
        <v>4027</v>
      </c>
      <c r="E1296" s="84" t="s">
        <v>4032</v>
      </c>
      <c r="F1296" s="113"/>
      <c r="G1296" s="131"/>
      <c r="H1296" s="186" t="s">
        <v>1671</v>
      </c>
      <c r="I1296" s="107" t="s">
        <v>326</v>
      </c>
      <c r="J1296" s="136" t="s">
        <v>341</v>
      </c>
      <c r="K1296" s="136" t="s">
        <v>580</v>
      </c>
      <c r="L1296" s="138" t="s">
        <v>507</v>
      </c>
      <c r="M1296" s="138" t="s">
        <v>508</v>
      </c>
    </row>
    <row r="1297" spans="1:13" s="114" customFormat="1" ht="25.5">
      <c r="A1297" s="136">
        <v>1295</v>
      </c>
      <c r="B1297" s="129" t="s">
        <v>4033</v>
      </c>
      <c r="C1297" s="125" t="s">
        <v>3633</v>
      </c>
      <c r="D1297" s="142" t="s">
        <v>4027</v>
      </c>
      <c r="E1297" s="84" t="s">
        <v>4034</v>
      </c>
      <c r="F1297" s="113"/>
      <c r="G1297" s="131"/>
      <c r="H1297" s="186" t="s">
        <v>600</v>
      </c>
      <c r="I1297" s="107" t="s">
        <v>326</v>
      </c>
      <c r="J1297" s="125" t="s">
        <v>341</v>
      </c>
      <c r="K1297" s="125" t="s">
        <v>601</v>
      </c>
      <c r="L1297" s="138" t="s">
        <v>507</v>
      </c>
      <c r="M1297" s="138" t="s">
        <v>508</v>
      </c>
    </row>
    <row r="1298" spans="1:13" s="114" customFormat="1" ht="25.5">
      <c r="A1298" s="136">
        <v>1296</v>
      </c>
      <c r="B1298" s="129" t="s">
        <v>4035</v>
      </c>
      <c r="C1298" s="125" t="s">
        <v>3633</v>
      </c>
      <c r="D1298" s="142" t="s">
        <v>4027</v>
      </c>
      <c r="E1298" s="84" t="s">
        <v>4036</v>
      </c>
      <c r="F1298" s="113"/>
      <c r="G1298" s="131"/>
      <c r="H1298" s="186" t="s">
        <v>1650</v>
      </c>
      <c r="I1298" s="107" t="s">
        <v>326</v>
      </c>
      <c r="J1298" s="136" t="s">
        <v>341</v>
      </c>
      <c r="K1298" s="136" t="s">
        <v>580</v>
      </c>
      <c r="L1298" s="138" t="s">
        <v>507</v>
      </c>
      <c r="M1298" s="138" t="s">
        <v>508</v>
      </c>
    </row>
    <row r="1299" spans="1:13" s="114" customFormat="1" ht="25.5">
      <c r="A1299" s="136">
        <v>1297</v>
      </c>
      <c r="B1299" s="129" t="s">
        <v>4037</v>
      </c>
      <c r="C1299" s="125" t="s">
        <v>3633</v>
      </c>
      <c r="D1299" s="142" t="s">
        <v>4038</v>
      </c>
      <c r="E1299" s="84" t="s">
        <v>4039</v>
      </c>
      <c r="F1299" s="113"/>
      <c r="G1299" s="131"/>
      <c r="H1299" s="186" t="s">
        <v>2582</v>
      </c>
      <c r="I1299" s="107" t="s">
        <v>326</v>
      </c>
      <c r="J1299" s="136" t="s">
        <v>341</v>
      </c>
      <c r="K1299" s="136" t="s">
        <v>570</v>
      </c>
      <c r="L1299" s="138" t="s">
        <v>507</v>
      </c>
      <c r="M1299" s="138" t="s">
        <v>508</v>
      </c>
    </row>
    <row r="1300" spans="1:13" s="114" customFormat="1" ht="38.25">
      <c r="A1300" s="136">
        <v>1298</v>
      </c>
      <c r="B1300" s="129" t="s">
        <v>4040</v>
      </c>
      <c r="C1300" s="125" t="s">
        <v>3633</v>
      </c>
      <c r="D1300" s="142" t="s">
        <v>4041</v>
      </c>
      <c r="E1300" s="84" t="s">
        <v>4042</v>
      </c>
      <c r="F1300" s="113"/>
      <c r="G1300" s="131"/>
      <c r="H1300" s="186" t="s">
        <v>2632</v>
      </c>
      <c r="I1300" s="107" t="s">
        <v>326</v>
      </c>
      <c r="J1300" s="136" t="s">
        <v>346</v>
      </c>
      <c r="K1300" s="136" t="s">
        <v>1465</v>
      </c>
      <c r="L1300" s="138" t="s">
        <v>314</v>
      </c>
      <c r="M1300" s="138" t="s">
        <v>508</v>
      </c>
    </row>
    <row r="1301" spans="1:13" s="114" customFormat="1" ht="51">
      <c r="A1301" s="136">
        <v>1299</v>
      </c>
      <c r="B1301" s="129" t="s">
        <v>4043</v>
      </c>
      <c r="C1301" s="125" t="s">
        <v>3633</v>
      </c>
      <c r="D1301" s="142" t="s">
        <v>4041</v>
      </c>
      <c r="E1301" s="84" t="s">
        <v>4044</v>
      </c>
      <c r="F1301" s="113"/>
      <c r="G1301" s="131"/>
      <c r="H1301" s="186" t="s">
        <v>2632</v>
      </c>
      <c r="I1301" s="107" t="s">
        <v>326</v>
      </c>
      <c r="J1301" s="136" t="s">
        <v>346</v>
      </c>
      <c r="K1301" s="136" t="s">
        <v>1465</v>
      </c>
      <c r="L1301" s="138" t="s">
        <v>314</v>
      </c>
      <c r="M1301" s="138" t="s">
        <v>953</v>
      </c>
    </row>
    <row r="1302" spans="1:13" s="114" customFormat="1" ht="63.75">
      <c r="A1302" s="136">
        <v>1300</v>
      </c>
      <c r="B1302" s="129" t="s">
        <v>4045</v>
      </c>
      <c r="C1302" s="125" t="s">
        <v>3633</v>
      </c>
      <c r="D1302" s="142" t="s">
        <v>4041</v>
      </c>
      <c r="E1302" s="84" t="s">
        <v>4046</v>
      </c>
      <c r="F1302" s="113"/>
      <c r="G1302" s="131"/>
      <c r="H1302" s="186" t="s">
        <v>1007</v>
      </c>
      <c r="I1302" s="107" t="s">
        <v>326</v>
      </c>
      <c r="J1302" s="136" t="s">
        <v>352</v>
      </c>
      <c r="K1302" s="136" t="s">
        <v>526</v>
      </c>
      <c r="L1302" s="138" t="s">
        <v>507</v>
      </c>
      <c r="M1302" s="138" t="s">
        <v>508</v>
      </c>
    </row>
    <row r="1303" spans="1:13" s="114" customFormat="1" ht="51">
      <c r="A1303" s="136">
        <v>1301</v>
      </c>
      <c r="B1303" s="129" t="s">
        <v>4047</v>
      </c>
      <c r="C1303" s="125" t="s">
        <v>3633</v>
      </c>
      <c r="D1303" s="142" t="s">
        <v>4041</v>
      </c>
      <c r="E1303" s="84" t="s">
        <v>4048</v>
      </c>
      <c r="F1303" s="113"/>
      <c r="G1303" s="131"/>
      <c r="H1303" s="186" t="s">
        <v>2632</v>
      </c>
      <c r="I1303" s="107" t="s">
        <v>326</v>
      </c>
      <c r="J1303" s="136" t="s">
        <v>346</v>
      </c>
      <c r="K1303" s="136" t="s">
        <v>1465</v>
      </c>
      <c r="L1303" s="138" t="s">
        <v>314</v>
      </c>
      <c r="M1303" s="138" t="s">
        <v>953</v>
      </c>
    </row>
    <row r="1304" spans="1:13" s="114" customFormat="1" ht="38.25">
      <c r="A1304" s="136">
        <v>1302</v>
      </c>
      <c r="B1304" s="129" t="s">
        <v>4049</v>
      </c>
      <c r="C1304" s="125" t="s">
        <v>3633</v>
      </c>
      <c r="D1304" s="142" t="s">
        <v>4041</v>
      </c>
      <c r="E1304" s="84" t="s">
        <v>4050</v>
      </c>
      <c r="F1304" s="113"/>
      <c r="G1304" s="131"/>
      <c r="H1304" s="186" t="s">
        <v>1485</v>
      </c>
      <c r="I1304" s="107" t="s">
        <v>326</v>
      </c>
      <c r="J1304" s="136" t="s">
        <v>346</v>
      </c>
      <c r="K1304" s="136" t="s">
        <v>998</v>
      </c>
      <c r="L1304" s="138" t="s">
        <v>314</v>
      </c>
      <c r="M1304" s="138" t="s">
        <v>508</v>
      </c>
    </row>
    <row r="1305" spans="1:13" s="114" customFormat="1" ht="38.25">
      <c r="A1305" s="136">
        <v>1303</v>
      </c>
      <c r="B1305" s="129" t="s">
        <v>4051</v>
      </c>
      <c r="C1305" s="125" t="s">
        <v>3633</v>
      </c>
      <c r="D1305" s="142" t="s">
        <v>4052</v>
      </c>
      <c r="E1305" s="84" t="s">
        <v>4053</v>
      </c>
      <c r="F1305" s="113"/>
      <c r="G1305" s="131"/>
      <c r="H1305" s="186" t="s">
        <v>1089</v>
      </c>
      <c r="I1305" s="107" t="s">
        <v>327</v>
      </c>
      <c r="J1305" s="136" t="s">
        <v>342</v>
      </c>
      <c r="K1305" s="136" t="s">
        <v>1090</v>
      </c>
      <c r="L1305" s="138" t="s">
        <v>507</v>
      </c>
      <c r="M1305" s="138" t="s">
        <v>508</v>
      </c>
    </row>
    <row r="1306" spans="1:13" s="114" customFormat="1" ht="51">
      <c r="A1306" s="136">
        <v>1304</v>
      </c>
      <c r="B1306" s="129" t="s">
        <v>4054</v>
      </c>
      <c r="C1306" s="125" t="s">
        <v>3633</v>
      </c>
      <c r="D1306" s="142" t="s">
        <v>4052</v>
      </c>
      <c r="E1306" s="84" t="s">
        <v>4055</v>
      </c>
      <c r="F1306" s="113"/>
      <c r="G1306" s="131"/>
      <c r="H1306" s="186" t="s">
        <v>1450</v>
      </c>
      <c r="I1306" s="107" t="s">
        <v>326</v>
      </c>
      <c r="J1306" s="136" t="s">
        <v>346</v>
      </c>
      <c r="K1306" s="136" t="s">
        <v>984</v>
      </c>
      <c r="L1306" s="138" t="s">
        <v>507</v>
      </c>
      <c r="M1306" s="138" t="s">
        <v>508</v>
      </c>
    </row>
    <row r="1307" spans="1:13" s="114" customFormat="1" ht="51">
      <c r="A1307" s="136">
        <v>1305</v>
      </c>
      <c r="B1307" s="129" t="s">
        <v>4056</v>
      </c>
      <c r="C1307" s="125" t="s">
        <v>3633</v>
      </c>
      <c r="D1307" s="142" t="s">
        <v>4052</v>
      </c>
      <c r="E1307" s="84" t="s">
        <v>4057</v>
      </c>
      <c r="F1307" s="113"/>
      <c r="G1307" s="131"/>
      <c r="H1307" s="186" t="s">
        <v>1450</v>
      </c>
      <c r="I1307" s="107" t="s">
        <v>326</v>
      </c>
      <c r="J1307" s="136" t="s">
        <v>346</v>
      </c>
      <c r="K1307" s="136" t="s">
        <v>984</v>
      </c>
      <c r="L1307" s="138" t="s">
        <v>507</v>
      </c>
      <c r="M1307" s="138" t="s">
        <v>508</v>
      </c>
    </row>
    <row r="1308" spans="1:13" s="114" customFormat="1" ht="51">
      <c r="A1308" s="136">
        <v>1306</v>
      </c>
      <c r="B1308" s="129" t="s">
        <v>4058</v>
      </c>
      <c r="C1308" s="125" t="s">
        <v>3633</v>
      </c>
      <c r="D1308" s="142" t="s">
        <v>4052</v>
      </c>
      <c r="E1308" s="84" t="s">
        <v>4059</v>
      </c>
      <c r="F1308" s="113"/>
      <c r="G1308" s="131"/>
      <c r="H1308" s="186" t="s">
        <v>1450</v>
      </c>
      <c r="I1308" s="107" t="s">
        <v>326</v>
      </c>
      <c r="J1308" s="136" t="s">
        <v>346</v>
      </c>
      <c r="K1308" s="136" t="s">
        <v>984</v>
      </c>
      <c r="L1308" s="138" t="s">
        <v>507</v>
      </c>
      <c r="M1308" s="138" t="s">
        <v>508</v>
      </c>
    </row>
    <row r="1309" spans="1:13" s="114" customFormat="1" ht="51">
      <c r="A1309" s="136">
        <v>1307</v>
      </c>
      <c r="B1309" s="129" t="s">
        <v>4060</v>
      </c>
      <c r="C1309" s="125" t="s">
        <v>3633</v>
      </c>
      <c r="D1309" s="142" t="s">
        <v>4061</v>
      </c>
      <c r="E1309" s="84" t="s">
        <v>4062</v>
      </c>
      <c r="F1309" s="113"/>
      <c r="G1309" s="131"/>
      <c r="H1309" s="186" t="s">
        <v>567</v>
      </c>
      <c r="I1309" s="107" t="s">
        <v>326</v>
      </c>
      <c r="J1309" s="136" t="s">
        <v>341</v>
      </c>
      <c r="K1309" s="136" t="s">
        <v>570</v>
      </c>
      <c r="L1309" s="138" t="s">
        <v>507</v>
      </c>
      <c r="M1309" s="138" t="s">
        <v>508</v>
      </c>
    </row>
    <row r="1310" spans="1:13" s="114" customFormat="1" ht="51">
      <c r="A1310" s="136">
        <v>1308</v>
      </c>
      <c r="B1310" s="129" t="s">
        <v>4063</v>
      </c>
      <c r="C1310" s="125" t="s">
        <v>3633</v>
      </c>
      <c r="D1310" s="142" t="s">
        <v>4061</v>
      </c>
      <c r="E1310" s="84" t="s">
        <v>4064</v>
      </c>
      <c r="F1310" s="113"/>
      <c r="G1310" s="131"/>
      <c r="H1310" s="186" t="s">
        <v>995</v>
      </c>
      <c r="I1310" s="107" t="s">
        <v>326</v>
      </c>
      <c r="J1310" s="136" t="s">
        <v>346</v>
      </c>
      <c r="K1310" s="136" t="s">
        <v>998</v>
      </c>
      <c r="L1310" s="138" t="s">
        <v>314</v>
      </c>
      <c r="M1310" s="138" t="s">
        <v>508</v>
      </c>
    </row>
    <row r="1311" spans="1:13" s="114" customFormat="1" ht="51">
      <c r="A1311" s="136">
        <v>1309</v>
      </c>
      <c r="B1311" s="129" t="s">
        <v>4065</v>
      </c>
      <c r="C1311" s="125" t="s">
        <v>3633</v>
      </c>
      <c r="D1311" s="142" t="s">
        <v>4061</v>
      </c>
      <c r="E1311" s="84" t="s">
        <v>4066</v>
      </c>
      <c r="F1311" s="113"/>
      <c r="G1311" s="131"/>
      <c r="H1311" s="186" t="s">
        <v>1617</v>
      </c>
      <c r="I1311" s="107" t="s">
        <v>326</v>
      </c>
      <c r="J1311" s="136" t="s">
        <v>352</v>
      </c>
      <c r="K1311" s="136" t="s">
        <v>561</v>
      </c>
      <c r="L1311" s="138" t="s">
        <v>507</v>
      </c>
      <c r="M1311" s="138" t="s">
        <v>508</v>
      </c>
    </row>
    <row r="1312" spans="1:13" s="114" customFormat="1" ht="51">
      <c r="A1312" s="136">
        <v>1310</v>
      </c>
      <c r="B1312" s="129" t="s">
        <v>4067</v>
      </c>
      <c r="C1312" s="125" t="s">
        <v>3633</v>
      </c>
      <c r="D1312" s="142" t="s">
        <v>4061</v>
      </c>
      <c r="E1312" s="84" t="s">
        <v>4068</v>
      </c>
      <c r="F1312" s="113"/>
      <c r="G1312" s="131"/>
      <c r="H1312" s="186" t="s">
        <v>1617</v>
      </c>
      <c r="I1312" s="107" t="s">
        <v>326</v>
      </c>
      <c r="J1312" s="136" t="s">
        <v>352</v>
      </c>
      <c r="K1312" s="136" t="s">
        <v>561</v>
      </c>
      <c r="L1312" s="138" t="s">
        <v>507</v>
      </c>
      <c r="M1312" s="138" t="s">
        <v>508</v>
      </c>
    </row>
    <row r="1313" spans="1:13" s="114" customFormat="1" ht="38.25">
      <c r="A1313" s="136">
        <v>1311</v>
      </c>
      <c r="B1313" s="136" t="s">
        <v>4069</v>
      </c>
      <c r="C1313" s="136" t="s">
        <v>4070</v>
      </c>
      <c r="D1313" s="139" t="s">
        <v>4071</v>
      </c>
      <c r="E1313" s="84" t="s">
        <v>4072</v>
      </c>
      <c r="F1313" s="113"/>
      <c r="G1313" s="131"/>
      <c r="H1313" s="186" t="s">
        <v>1089</v>
      </c>
      <c r="I1313" s="125" t="s">
        <v>327</v>
      </c>
      <c r="J1313" s="125" t="s">
        <v>342</v>
      </c>
      <c r="K1313" s="125" t="s">
        <v>1090</v>
      </c>
      <c r="L1313" s="138" t="s">
        <v>507</v>
      </c>
      <c r="M1313" s="138" t="s">
        <v>508</v>
      </c>
    </row>
    <row r="1314" spans="1:13" s="114" customFormat="1" ht="38.25">
      <c r="A1314" s="136">
        <v>1312</v>
      </c>
      <c r="B1314" s="136" t="s">
        <v>4073</v>
      </c>
      <c r="C1314" s="136" t="s">
        <v>4070</v>
      </c>
      <c r="D1314" s="139" t="s">
        <v>4071</v>
      </c>
      <c r="E1314" s="84" t="s">
        <v>4074</v>
      </c>
      <c r="F1314" s="113"/>
      <c r="G1314" s="131"/>
      <c r="H1314" s="186" t="s">
        <v>896</v>
      </c>
      <c r="I1314" s="125" t="s">
        <v>326</v>
      </c>
      <c r="J1314" s="125" t="s">
        <v>341</v>
      </c>
      <c r="K1314" s="125" t="s">
        <v>580</v>
      </c>
      <c r="L1314" s="138" t="s">
        <v>507</v>
      </c>
      <c r="M1314" s="138" t="s">
        <v>508</v>
      </c>
    </row>
    <row r="1315" spans="1:13" s="114" customFormat="1" ht="38.25">
      <c r="A1315" s="136">
        <v>1313</v>
      </c>
      <c r="B1315" s="136" t="s">
        <v>4075</v>
      </c>
      <c r="C1315" s="136" t="s">
        <v>4070</v>
      </c>
      <c r="D1315" s="139" t="s">
        <v>4071</v>
      </c>
      <c r="E1315" s="84" t="s">
        <v>4076</v>
      </c>
      <c r="F1315" s="113"/>
      <c r="G1315" s="131"/>
      <c r="H1315" s="186" t="s">
        <v>1007</v>
      </c>
      <c r="I1315" s="125" t="s">
        <v>326</v>
      </c>
      <c r="J1315" s="125" t="s">
        <v>352</v>
      </c>
      <c r="K1315" s="125" t="s">
        <v>526</v>
      </c>
      <c r="L1315" s="138" t="s">
        <v>507</v>
      </c>
      <c r="M1315" s="138" t="s">
        <v>508</v>
      </c>
    </row>
    <row r="1316" spans="1:13" s="114" customFormat="1" ht="25.5">
      <c r="A1316" s="136">
        <v>1314</v>
      </c>
      <c r="B1316" s="136" t="s">
        <v>4077</v>
      </c>
      <c r="C1316" s="136" t="s">
        <v>4070</v>
      </c>
      <c r="D1316" s="139" t="s">
        <v>4078</v>
      </c>
      <c r="E1316" s="84" t="s">
        <v>4079</v>
      </c>
      <c r="F1316" s="113"/>
      <c r="G1316" s="131"/>
      <c r="H1316" s="186" t="s">
        <v>1826</v>
      </c>
      <c r="I1316" s="125" t="s">
        <v>327</v>
      </c>
      <c r="J1316" s="125" t="s">
        <v>337</v>
      </c>
      <c r="K1316" s="125" t="s">
        <v>1827</v>
      </c>
      <c r="L1316" s="138" t="s">
        <v>507</v>
      </c>
      <c r="M1316" s="138" t="s">
        <v>508</v>
      </c>
    </row>
    <row r="1317" spans="1:13" s="114" customFormat="1" ht="38.25">
      <c r="A1317" s="136">
        <v>1315</v>
      </c>
      <c r="B1317" s="136" t="s">
        <v>4080</v>
      </c>
      <c r="C1317" s="136" t="s">
        <v>4070</v>
      </c>
      <c r="D1317" s="139" t="s">
        <v>4081</v>
      </c>
      <c r="E1317" s="84" t="s">
        <v>4082</v>
      </c>
      <c r="F1317" s="113"/>
      <c r="G1317" s="131"/>
      <c r="H1317" s="186" t="s">
        <v>1024</v>
      </c>
      <c r="I1317" s="125" t="s">
        <v>326</v>
      </c>
      <c r="J1317" s="125" t="s">
        <v>341</v>
      </c>
      <c r="K1317" s="125" t="s">
        <v>580</v>
      </c>
      <c r="L1317" s="138" t="s">
        <v>507</v>
      </c>
      <c r="M1317" s="138" t="s">
        <v>508</v>
      </c>
    </row>
    <row r="1318" spans="1:13" s="114" customFormat="1" ht="51">
      <c r="A1318" s="136">
        <v>1316</v>
      </c>
      <c r="B1318" s="136" t="s">
        <v>4083</v>
      </c>
      <c r="C1318" s="136" t="s">
        <v>4070</v>
      </c>
      <c r="D1318" s="139" t="s">
        <v>4084</v>
      </c>
      <c r="E1318" s="84" t="s">
        <v>4085</v>
      </c>
      <c r="F1318" s="113"/>
      <c r="G1318" s="131"/>
      <c r="H1318" s="186" t="s">
        <v>974</v>
      </c>
      <c r="I1318" s="125" t="s">
        <v>326</v>
      </c>
      <c r="J1318" s="125" t="s">
        <v>352</v>
      </c>
      <c r="K1318" s="125" t="s">
        <v>597</v>
      </c>
      <c r="L1318" s="138" t="s">
        <v>314</v>
      </c>
      <c r="M1318" s="138" t="s">
        <v>953</v>
      </c>
    </row>
    <row r="1319" spans="1:13" s="114" customFormat="1" ht="51">
      <c r="A1319" s="136">
        <v>1317</v>
      </c>
      <c r="B1319" s="136" t="s">
        <v>4086</v>
      </c>
      <c r="C1319" s="136" t="s">
        <v>4070</v>
      </c>
      <c r="D1319" s="139" t="s">
        <v>4084</v>
      </c>
      <c r="E1319" s="84" t="s">
        <v>4087</v>
      </c>
      <c r="F1319" s="113"/>
      <c r="G1319" s="131"/>
      <c r="H1319" s="186" t="s">
        <v>974</v>
      </c>
      <c r="I1319" s="125" t="s">
        <v>326</v>
      </c>
      <c r="J1319" s="125" t="s">
        <v>352</v>
      </c>
      <c r="K1319" s="125" t="s">
        <v>597</v>
      </c>
      <c r="L1319" s="138" t="s">
        <v>314</v>
      </c>
      <c r="M1319" s="138" t="s">
        <v>953</v>
      </c>
    </row>
    <row r="1320" spans="1:13" s="114" customFormat="1" ht="51">
      <c r="A1320" s="136">
        <v>1318</v>
      </c>
      <c r="B1320" s="136" t="s">
        <v>4088</v>
      </c>
      <c r="C1320" s="136" t="s">
        <v>4070</v>
      </c>
      <c r="D1320" s="139" t="s">
        <v>4084</v>
      </c>
      <c r="E1320" s="84" t="s">
        <v>4089</v>
      </c>
      <c r="F1320" s="118"/>
      <c r="G1320" s="131"/>
      <c r="H1320" s="186" t="s">
        <v>1148</v>
      </c>
      <c r="I1320" s="125" t="s">
        <v>326</v>
      </c>
      <c r="J1320" s="125" t="s">
        <v>331</v>
      </c>
      <c r="K1320" s="125" t="s">
        <v>530</v>
      </c>
      <c r="L1320" s="138" t="s">
        <v>507</v>
      </c>
      <c r="M1320" s="138" t="s">
        <v>508</v>
      </c>
    </row>
    <row r="1321" spans="1:13" s="114" customFormat="1" ht="25.5">
      <c r="A1321" s="136">
        <v>1319</v>
      </c>
      <c r="B1321" s="136" t="s">
        <v>4090</v>
      </c>
      <c r="C1321" s="136" t="s">
        <v>4070</v>
      </c>
      <c r="D1321" s="139" t="s">
        <v>4084</v>
      </c>
      <c r="E1321" s="84" t="s">
        <v>4091</v>
      </c>
      <c r="F1321" s="113"/>
      <c r="G1321" s="131"/>
      <c r="H1321" s="186" t="s">
        <v>523</v>
      </c>
      <c r="I1321" s="125" t="s">
        <v>326</v>
      </c>
      <c r="J1321" s="125" t="s">
        <v>352</v>
      </c>
      <c r="K1321" s="125" t="s">
        <v>526</v>
      </c>
      <c r="L1321" s="138" t="s">
        <v>507</v>
      </c>
      <c r="M1321" s="138" t="s">
        <v>508</v>
      </c>
    </row>
    <row r="1322" spans="1:13" s="114" customFormat="1" ht="38.25">
      <c r="A1322" s="136">
        <v>1320</v>
      </c>
      <c r="B1322" s="136" t="s">
        <v>4092</v>
      </c>
      <c r="C1322" s="136" t="s">
        <v>4070</v>
      </c>
      <c r="D1322" s="139" t="s">
        <v>4084</v>
      </c>
      <c r="E1322" s="84" t="s">
        <v>4093</v>
      </c>
      <c r="F1322" s="113"/>
      <c r="G1322" s="131"/>
      <c r="H1322" s="186" t="s">
        <v>543</v>
      </c>
      <c r="I1322" s="125" t="s">
        <v>326</v>
      </c>
      <c r="J1322" s="125" t="s">
        <v>331</v>
      </c>
      <c r="K1322" s="125" t="s">
        <v>512</v>
      </c>
      <c r="L1322" s="138" t="s">
        <v>507</v>
      </c>
      <c r="M1322" s="138" t="s">
        <v>508</v>
      </c>
    </row>
    <row r="1323" spans="1:13" s="114" customFormat="1" ht="25.5">
      <c r="A1323" s="136">
        <v>1321</v>
      </c>
      <c r="B1323" s="136" t="s">
        <v>4094</v>
      </c>
      <c r="C1323" s="136" t="s">
        <v>4070</v>
      </c>
      <c r="D1323" s="139" t="s">
        <v>4084</v>
      </c>
      <c r="E1323" s="84" t="s">
        <v>4095</v>
      </c>
      <c r="F1323" s="113"/>
      <c r="G1323" s="131"/>
      <c r="H1323" s="186" t="s">
        <v>1735</v>
      </c>
      <c r="I1323" s="125" t="s">
        <v>326</v>
      </c>
      <c r="J1323" s="125" t="s">
        <v>341</v>
      </c>
      <c r="K1323" s="125" t="s">
        <v>1736</v>
      </c>
      <c r="L1323" s="138" t="s">
        <v>507</v>
      </c>
      <c r="M1323" s="138" t="s">
        <v>508</v>
      </c>
    </row>
    <row r="1324" spans="1:13" s="114" customFormat="1" ht="38.25">
      <c r="A1324" s="136">
        <v>1322</v>
      </c>
      <c r="B1324" s="136" t="s">
        <v>4096</v>
      </c>
      <c r="C1324" s="136" t="s">
        <v>4070</v>
      </c>
      <c r="D1324" s="139" t="s">
        <v>4097</v>
      </c>
      <c r="E1324" s="84" t="s">
        <v>4098</v>
      </c>
      <c r="F1324" s="113"/>
      <c r="G1324" s="131"/>
      <c r="H1324" s="186" t="s">
        <v>3550</v>
      </c>
      <c r="I1324" s="125" t="s">
        <v>326</v>
      </c>
      <c r="J1324" s="125" t="s">
        <v>331</v>
      </c>
      <c r="K1324" s="125" t="s">
        <v>512</v>
      </c>
      <c r="L1324" s="138" t="s">
        <v>507</v>
      </c>
      <c r="M1324" s="138" t="s">
        <v>508</v>
      </c>
    </row>
    <row r="1325" spans="1:13" s="114" customFormat="1" ht="25.5">
      <c r="A1325" s="136">
        <v>1323</v>
      </c>
      <c r="B1325" s="129" t="s">
        <v>4099</v>
      </c>
      <c r="C1325" s="146" t="s">
        <v>4100</v>
      </c>
      <c r="D1325" s="137" t="s">
        <v>4101</v>
      </c>
      <c r="E1325" s="84" t="s">
        <v>4102</v>
      </c>
      <c r="F1325" s="113"/>
      <c r="G1325" s="131"/>
      <c r="H1325" s="186" t="s">
        <v>2055</v>
      </c>
      <c r="I1325" s="125" t="s">
        <v>326</v>
      </c>
      <c r="J1325" s="125" t="s">
        <v>341</v>
      </c>
      <c r="K1325" s="125" t="s">
        <v>580</v>
      </c>
      <c r="L1325" s="138" t="s">
        <v>507</v>
      </c>
      <c r="M1325" s="138" t="s">
        <v>508</v>
      </c>
    </row>
    <row r="1326" spans="1:13" s="114" customFormat="1" ht="76.5">
      <c r="A1326" s="136">
        <v>1324</v>
      </c>
      <c r="B1326" s="129" t="s">
        <v>4103</v>
      </c>
      <c r="C1326" s="146" t="s">
        <v>4100</v>
      </c>
      <c r="D1326" s="137" t="s">
        <v>4101</v>
      </c>
      <c r="E1326" s="84" t="s">
        <v>4104</v>
      </c>
      <c r="F1326" s="113"/>
      <c r="G1326" s="131"/>
      <c r="H1326" s="186" t="s">
        <v>600</v>
      </c>
      <c r="I1326" s="125" t="s">
        <v>326</v>
      </c>
      <c r="J1326" s="125" t="s">
        <v>341</v>
      </c>
      <c r="K1326" s="125" t="s">
        <v>601</v>
      </c>
      <c r="L1326" s="138" t="s">
        <v>507</v>
      </c>
      <c r="M1326" s="138" t="s">
        <v>508</v>
      </c>
    </row>
    <row r="1327" spans="1:13" s="114" customFormat="1" ht="38.25">
      <c r="A1327" s="136">
        <v>1325</v>
      </c>
      <c r="B1327" s="129" t="s">
        <v>4105</v>
      </c>
      <c r="C1327" s="146" t="s">
        <v>4100</v>
      </c>
      <c r="D1327" s="137" t="s">
        <v>4101</v>
      </c>
      <c r="E1327" s="84" t="s">
        <v>4106</v>
      </c>
      <c r="F1327" s="113"/>
      <c r="G1327" s="131"/>
      <c r="H1327" s="186" t="s">
        <v>513</v>
      </c>
      <c r="I1327" s="125" t="s">
        <v>326</v>
      </c>
      <c r="J1327" s="125" t="s">
        <v>331</v>
      </c>
      <c r="K1327" s="125" t="s">
        <v>512</v>
      </c>
      <c r="L1327" s="138" t="s">
        <v>507</v>
      </c>
      <c r="M1327" s="138" t="s">
        <v>508</v>
      </c>
    </row>
    <row r="1328" spans="1:13" s="114" customFormat="1" ht="25.5">
      <c r="A1328" s="136">
        <v>1326</v>
      </c>
      <c r="B1328" s="129" t="s">
        <v>4107</v>
      </c>
      <c r="C1328" s="146" t="s">
        <v>4100</v>
      </c>
      <c r="D1328" s="137" t="s">
        <v>4101</v>
      </c>
      <c r="E1328" s="84" t="s">
        <v>4108</v>
      </c>
      <c r="F1328" s="113"/>
      <c r="G1328" s="131"/>
      <c r="H1328" s="186" t="s">
        <v>1175</v>
      </c>
      <c r="I1328" s="125" t="s">
        <v>326</v>
      </c>
      <c r="J1328" s="125" t="s">
        <v>331</v>
      </c>
      <c r="K1328" s="125" t="s">
        <v>1178</v>
      </c>
      <c r="L1328" s="138" t="s">
        <v>507</v>
      </c>
      <c r="M1328" s="138" t="s">
        <v>508</v>
      </c>
    </row>
    <row r="1329" spans="1:13" s="114" customFormat="1" ht="38.25">
      <c r="A1329" s="136">
        <v>1327</v>
      </c>
      <c r="B1329" s="129" t="s">
        <v>4109</v>
      </c>
      <c r="C1329" s="146" t="s">
        <v>4100</v>
      </c>
      <c r="D1329" s="137" t="s">
        <v>4101</v>
      </c>
      <c r="E1329" s="84" t="s">
        <v>4110</v>
      </c>
      <c r="F1329" s="113"/>
      <c r="G1329" s="131"/>
      <c r="H1329" s="186" t="s">
        <v>2473</v>
      </c>
      <c r="I1329" s="125" t="s">
        <v>326</v>
      </c>
      <c r="J1329" s="125" t="s">
        <v>346</v>
      </c>
      <c r="K1329" s="125" t="s">
        <v>659</v>
      </c>
      <c r="L1329" s="138" t="s">
        <v>507</v>
      </c>
      <c r="M1329" s="138" t="s">
        <v>508</v>
      </c>
    </row>
    <row r="1330" spans="1:13" s="114" customFormat="1" ht="38.25">
      <c r="A1330" s="136">
        <v>1328</v>
      </c>
      <c r="B1330" s="129" t="s">
        <v>4111</v>
      </c>
      <c r="C1330" s="154" t="s">
        <v>4100</v>
      </c>
      <c r="D1330" s="137" t="s">
        <v>4112</v>
      </c>
      <c r="E1330" s="84" t="s">
        <v>4113</v>
      </c>
      <c r="F1330" s="113"/>
      <c r="G1330" s="131"/>
      <c r="H1330" s="186" t="s">
        <v>3219</v>
      </c>
      <c r="I1330" s="125" t="s">
        <v>326</v>
      </c>
      <c r="J1330" s="125" t="s">
        <v>346</v>
      </c>
      <c r="K1330" s="125" t="s">
        <v>893</v>
      </c>
      <c r="L1330" s="138" t="s">
        <v>507</v>
      </c>
      <c r="M1330" s="138" t="s">
        <v>508</v>
      </c>
    </row>
    <row r="1331" spans="1:13" s="114" customFormat="1" ht="25.5">
      <c r="A1331" s="136">
        <v>1329</v>
      </c>
      <c r="B1331" s="129" t="s">
        <v>4114</v>
      </c>
      <c r="C1331" s="154" t="s">
        <v>4115</v>
      </c>
      <c r="D1331" s="155" t="s">
        <v>4116</v>
      </c>
      <c r="E1331" s="84" t="s">
        <v>4117</v>
      </c>
      <c r="F1331" s="113"/>
      <c r="G1331" s="131"/>
      <c r="H1331" s="186" t="s">
        <v>896</v>
      </c>
      <c r="I1331" s="125" t="s">
        <v>326</v>
      </c>
      <c r="J1331" s="125" t="s">
        <v>341</v>
      </c>
      <c r="K1331" s="125" t="s">
        <v>580</v>
      </c>
      <c r="L1331" s="138" t="s">
        <v>507</v>
      </c>
      <c r="M1331" s="138" t="s">
        <v>508</v>
      </c>
    </row>
    <row r="1332" spans="1:13" s="114" customFormat="1" ht="38.25">
      <c r="A1332" s="136">
        <v>1330</v>
      </c>
      <c r="B1332" s="129" t="s">
        <v>4118</v>
      </c>
      <c r="C1332" s="129" t="s">
        <v>4115</v>
      </c>
      <c r="D1332" s="140" t="s">
        <v>4116</v>
      </c>
      <c r="E1332" s="84" t="s">
        <v>4119</v>
      </c>
      <c r="F1332" s="113"/>
      <c r="G1332" s="131"/>
      <c r="H1332" s="186" t="s">
        <v>1617</v>
      </c>
      <c r="I1332" s="125" t="s">
        <v>326</v>
      </c>
      <c r="J1332" s="125" t="s">
        <v>352</v>
      </c>
      <c r="K1332" s="125" t="s">
        <v>561</v>
      </c>
      <c r="L1332" s="138" t="s">
        <v>507</v>
      </c>
      <c r="M1332" s="138" t="s">
        <v>508</v>
      </c>
    </row>
    <row r="1333" spans="1:13" s="114" customFormat="1" ht="38.25">
      <c r="A1333" s="136">
        <v>1331</v>
      </c>
      <c r="B1333" s="129" t="s">
        <v>4120</v>
      </c>
      <c r="C1333" s="129" t="s">
        <v>4121</v>
      </c>
      <c r="D1333" s="140" t="s">
        <v>4116</v>
      </c>
      <c r="E1333" s="84" t="s">
        <v>4122</v>
      </c>
      <c r="F1333" s="118"/>
      <c r="G1333" s="131"/>
      <c r="H1333" s="186" t="s">
        <v>513</v>
      </c>
      <c r="I1333" s="125" t="s">
        <v>326</v>
      </c>
      <c r="J1333" s="125" t="s">
        <v>331</v>
      </c>
      <c r="K1333" s="125" t="s">
        <v>512</v>
      </c>
      <c r="L1333" s="138" t="s">
        <v>507</v>
      </c>
      <c r="M1333" s="138" t="s">
        <v>508</v>
      </c>
    </row>
    <row r="1334" spans="1:13" s="114" customFormat="1" ht="38.25">
      <c r="A1334" s="136">
        <v>1332</v>
      </c>
      <c r="B1334" s="129" t="s">
        <v>4123</v>
      </c>
      <c r="C1334" s="129" t="s">
        <v>4121</v>
      </c>
      <c r="D1334" s="140" t="s">
        <v>4116</v>
      </c>
      <c r="E1334" s="84" t="s">
        <v>4124</v>
      </c>
      <c r="F1334" s="118"/>
      <c r="G1334" s="131"/>
      <c r="H1334" s="186" t="s">
        <v>543</v>
      </c>
      <c r="I1334" s="125" t="s">
        <v>326</v>
      </c>
      <c r="J1334" s="125" t="s">
        <v>331</v>
      </c>
      <c r="K1334" s="125" t="s">
        <v>512</v>
      </c>
      <c r="L1334" s="138" t="s">
        <v>507</v>
      </c>
      <c r="M1334" s="138" t="s">
        <v>508</v>
      </c>
    </row>
    <row r="1335" spans="1:13" s="114" customFormat="1" ht="25.5">
      <c r="A1335" s="136">
        <v>1333</v>
      </c>
      <c r="B1335" s="129" t="s">
        <v>4125</v>
      </c>
      <c r="C1335" s="125" t="s">
        <v>4126</v>
      </c>
      <c r="D1335" s="137" t="s">
        <v>4127</v>
      </c>
      <c r="E1335" s="84" t="s">
        <v>4128</v>
      </c>
      <c r="F1335" s="113"/>
      <c r="G1335" s="131"/>
      <c r="H1335" s="186" t="s">
        <v>1531</v>
      </c>
      <c r="I1335" s="125" t="s">
        <v>326</v>
      </c>
      <c r="J1335" s="125" t="s">
        <v>346</v>
      </c>
      <c r="K1335" s="125" t="s">
        <v>761</v>
      </c>
      <c r="L1335" s="138" t="s">
        <v>507</v>
      </c>
      <c r="M1335" s="138" t="s">
        <v>508</v>
      </c>
    </row>
    <row r="1336" spans="1:13" s="114" customFormat="1" ht="38.25">
      <c r="A1336" s="136">
        <v>1334</v>
      </c>
      <c r="B1336" s="156" t="s">
        <v>4129</v>
      </c>
      <c r="C1336" s="125" t="s">
        <v>4130</v>
      </c>
      <c r="D1336" s="137" t="s">
        <v>4127</v>
      </c>
      <c r="E1336" s="84" t="s">
        <v>4131</v>
      </c>
      <c r="F1336" s="113"/>
      <c r="G1336" s="131"/>
      <c r="H1336" s="186" t="s">
        <v>1531</v>
      </c>
      <c r="I1336" s="125" t="s">
        <v>326</v>
      </c>
      <c r="J1336" s="125" t="s">
        <v>346</v>
      </c>
      <c r="K1336" s="125" t="s">
        <v>761</v>
      </c>
      <c r="L1336" s="125" t="s">
        <v>507</v>
      </c>
      <c r="M1336" s="125" t="s">
        <v>508</v>
      </c>
    </row>
    <row r="1337" spans="1:13" s="114" customFormat="1" ht="25.5">
      <c r="A1337" s="136">
        <v>1335</v>
      </c>
      <c r="B1337" s="129" t="s">
        <v>4132</v>
      </c>
      <c r="C1337" s="125" t="s">
        <v>4133</v>
      </c>
      <c r="D1337" s="137" t="s">
        <v>4127</v>
      </c>
      <c r="E1337" s="84" t="s">
        <v>4134</v>
      </c>
      <c r="F1337" s="113"/>
      <c r="G1337" s="131"/>
      <c r="H1337" s="186" t="s">
        <v>1531</v>
      </c>
      <c r="I1337" s="125" t="s">
        <v>326</v>
      </c>
      <c r="J1337" s="125" t="s">
        <v>346</v>
      </c>
      <c r="K1337" s="125" t="s">
        <v>761</v>
      </c>
      <c r="L1337" s="138" t="s">
        <v>507</v>
      </c>
      <c r="M1337" s="138" t="s">
        <v>508</v>
      </c>
    </row>
    <row r="1338" spans="1:13" s="114" customFormat="1" ht="63.75">
      <c r="A1338" s="136">
        <v>1336</v>
      </c>
      <c r="B1338" s="129" t="s">
        <v>4135</v>
      </c>
      <c r="C1338" s="125" t="s">
        <v>4136</v>
      </c>
      <c r="D1338" s="137" t="s">
        <v>4127</v>
      </c>
      <c r="E1338" s="84" t="s">
        <v>4137</v>
      </c>
      <c r="F1338" s="113"/>
      <c r="G1338" s="131"/>
      <c r="H1338" s="186" t="s">
        <v>1531</v>
      </c>
      <c r="I1338" s="125" t="s">
        <v>326</v>
      </c>
      <c r="J1338" s="125" t="s">
        <v>346</v>
      </c>
      <c r="K1338" s="125" t="s">
        <v>761</v>
      </c>
      <c r="L1338" s="138" t="s">
        <v>507</v>
      </c>
      <c r="M1338" s="138" t="s">
        <v>508</v>
      </c>
    </row>
    <row r="1339" spans="1:13" s="114" customFormat="1" ht="25.5">
      <c r="A1339" s="136">
        <v>1337</v>
      </c>
      <c r="B1339" s="129" t="s">
        <v>4138</v>
      </c>
      <c r="C1339" s="125" t="s">
        <v>4139</v>
      </c>
      <c r="D1339" s="137" t="s">
        <v>4127</v>
      </c>
      <c r="E1339" s="84" t="s">
        <v>4140</v>
      </c>
      <c r="F1339" s="113"/>
      <c r="G1339" s="131"/>
      <c r="H1339" s="186" t="s">
        <v>1531</v>
      </c>
      <c r="I1339" s="125" t="s">
        <v>326</v>
      </c>
      <c r="J1339" s="125" t="s">
        <v>346</v>
      </c>
      <c r="K1339" s="125" t="s">
        <v>761</v>
      </c>
      <c r="L1339" s="138" t="s">
        <v>507</v>
      </c>
      <c r="M1339" s="138" t="s">
        <v>508</v>
      </c>
    </row>
    <row r="1340" spans="1:13" s="114" customFormat="1" ht="25.5">
      <c r="A1340" s="136">
        <v>1338</v>
      </c>
      <c r="B1340" s="129" t="s">
        <v>4141</v>
      </c>
      <c r="C1340" s="125" t="s">
        <v>4142</v>
      </c>
      <c r="D1340" s="137" t="s">
        <v>4127</v>
      </c>
      <c r="E1340" s="84" t="s">
        <v>4143</v>
      </c>
      <c r="F1340" s="113"/>
      <c r="G1340" s="131"/>
      <c r="H1340" s="186" t="s">
        <v>1531</v>
      </c>
      <c r="I1340" s="125" t="s">
        <v>326</v>
      </c>
      <c r="J1340" s="125" t="s">
        <v>346</v>
      </c>
      <c r="K1340" s="125" t="s">
        <v>761</v>
      </c>
      <c r="L1340" s="138" t="s">
        <v>507</v>
      </c>
      <c r="M1340" s="138" t="s">
        <v>508</v>
      </c>
    </row>
    <row r="1341" spans="1:13" s="114" customFormat="1" ht="25.5">
      <c r="A1341" s="136">
        <v>1339</v>
      </c>
      <c r="B1341" s="129" t="s">
        <v>4144</v>
      </c>
      <c r="C1341" s="125" t="s">
        <v>4145</v>
      </c>
      <c r="D1341" s="137" t="s">
        <v>4127</v>
      </c>
      <c r="E1341" s="84" t="s">
        <v>4146</v>
      </c>
      <c r="F1341" s="113"/>
      <c r="G1341" s="131"/>
      <c r="H1341" s="186" t="s">
        <v>1531</v>
      </c>
      <c r="I1341" s="125" t="s">
        <v>326</v>
      </c>
      <c r="J1341" s="125" t="s">
        <v>346</v>
      </c>
      <c r="K1341" s="125" t="s">
        <v>761</v>
      </c>
      <c r="L1341" s="138" t="s">
        <v>507</v>
      </c>
      <c r="M1341" s="138" t="s">
        <v>508</v>
      </c>
    </row>
    <row r="1342" spans="1:13" s="114" customFormat="1" ht="25.5">
      <c r="A1342" s="136">
        <v>1340</v>
      </c>
      <c r="B1342" s="129" t="s">
        <v>4147</v>
      </c>
      <c r="C1342" s="125" t="s">
        <v>4148</v>
      </c>
      <c r="D1342" s="137" t="s">
        <v>4127</v>
      </c>
      <c r="E1342" s="84" t="s">
        <v>4149</v>
      </c>
      <c r="F1342" s="113"/>
      <c r="G1342" s="131"/>
      <c r="H1342" s="186" t="s">
        <v>1531</v>
      </c>
      <c r="I1342" s="125" t="s">
        <v>326</v>
      </c>
      <c r="J1342" s="125" t="s">
        <v>346</v>
      </c>
      <c r="K1342" s="125" t="s">
        <v>761</v>
      </c>
      <c r="L1342" s="138" t="s">
        <v>507</v>
      </c>
      <c r="M1342" s="138" t="s">
        <v>508</v>
      </c>
    </row>
    <row r="1343" spans="1:13" s="114" customFormat="1" ht="25.5">
      <c r="A1343" s="136">
        <v>1341</v>
      </c>
      <c r="B1343" s="129" t="s">
        <v>4150</v>
      </c>
      <c r="C1343" s="125" t="s">
        <v>4151</v>
      </c>
      <c r="D1343" s="137" t="s">
        <v>4127</v>
      </c>
      <c r="E1343" s="84" t="s">
        <v>4152</v>
      </c>
      <c r="F1343" s="113"/>
      <c r="G1343" s="131"/>
      <c r="H1343" s="186" t="s">
        <v>1531</v>
      </c>
      <c r="I1343" s="125" t="s">
        <v>326</v>
      </c>
      <c r="J1343" s="125" t="s">
        <v>346</v>
      </c>
      <c r="K1343" s="125" t="s">
        <v>761</v>
      </c>
      <c r="L1343" s="138" t="s">
        <v>507</v>
      </c>
      <c r="M1343" s="138" t="s">
        <v>508</v>
      </c>
    </row>
    <row r="1344" spans="1:13" s="114" customFormat="1" ht="25.5">
      <c r="A1344" s="136">
        <v>1342</v>
      </c>
      <c r="B1344" s="129" t="s">
        <v>4153</v>
      </c>
      <c r="C1344" s="125" t="s">
        <v>4154</v>
      </c>
      <c r="D1344" s="137" t="s">
        <v>4127</v>
      </c>
      <c r="E1344" s="84" t="s">
        <v>4155</v>
      </c>
      <c r="F1344" s="113"/>
      <c r="G1344" s="131"/>
      <c r="H1344" s="186" t="s">
        <v>1531</v>
      </c>
      <c r="I1344" s="125" t="s">
        <v>326</v>
      </c>
      <c r="J1344" s="125" t="s">
        <v>346</v>
      </c>
      <c r="K1344" s="125" t="s">
        <v>761</v>
      </c>
      <c r="L1344" s="138" t="s">
        <v>507</v>
      </c>
      <c r="M1344" s="138" t="s">
        <v>508</v>
      </c>
    </row>
    <row r="1345" spans="1:13" s="114" customFormat="1" ht="25.5">
      <c r="A1345" s="136">
        <v>1343</v>
      </c>
      <c r="B1345" s="129" t="s">
        <v>4156</v>
      </c>
      <c r="C1345" s="125" t="s">
        <v>4157</v>
      </c>
      <c r="D1345" s="137" t="s">
        <v>4127</v>
      </c>
      <c r="E1345" s="84" t="s">
        <v>4158</v>
      </c>
      <c r="F1345" s="113"/>
      <c r="G1345" s="131"/>
      <c r="H1345" s="186" t="s">
        <v>1531</v>
      </c>
      <c r="I1345" s="125" t="s">
        <v>326</v>
      </c>
      <c r="J1345" s="125" t="s">
        <v>346</v>
      </c>
      <c r="K1345" s="125" t="s">
        <v>761</v>
      </c>
      <c r="L1345" s="138" t="s">
        <v>507</v>
      </c>
      <c r="M1345" s="138" t="s">
        <v>508</v>
      </c>
    </row>
    <row r="1346" spans="1:13" s="114" customFormat="1" ht="51">
      <c r="A1346" s="136">
        <v>1344</v>
      </c>
      <c r="B1346" s="129" t="s">
        <v>4159</v>
      </c>
      <c r="C1346" s="125" t="s">
        <v>4160</v>
      </c>
      <c r="D1346" s="137" t="s">
        <v>4127</v>
      </c>
      <c r="E1346" s="84" t="s">
        <v>4161</v>
      </c>
      <c r="F1346" s="113"/>
      <c r="G1346" s="131"/>
      <c r="H1346" s="186" t="s">
        <v>608</v>
      </c>
      <c r="I1346" s="125" t="s">
        <v>326</v>
      </c>
      <c r="J1346" s="125" t="s">
        <v>331</v>
      </c>
      <c r="K1346" s="125" t="s">
        <v>530</v>
      </c>
      <c r="L1346" s="138" t="s">
        <v>507</v>
      </c>
      <c r="M1346" s="138" t="s">
        <v>508</v>
      </c>
    </row>
    <row r="1347" spans="1:13" s="114" customFormat="1" ht="38.25">
      <c r="A1347" s="136">
        <v>1345</v>
      </c>
      <c r="B1347" s="129" t="s">
        <v>4162</v>
      </c>
      <c r="C1347" s="125" t="s">
        <v>4163</v>
      </c>
      <c r="D1347" s="137" t="s">
        <v>4127</v>
      </c>
      <c r="E1347" s="84" t="s">
        <v>4164</v>
      </c>
      <c r="F1347" s="113"/>
      <c r="G1347" s="131"/>
      <c r="H1347" s="186" t="s">
        <v>1531</v>
      </c>
      <c r="I1347" s="125" t="s">
        <v>326</v>
      </c>
      <c r="J1347" s="125" t="s">
        <v>346</v>
      </c>
      <c r="K1347" s="125" t="s">
        <v>761</v>
      </c>
      <c r="L1347" s="138" t="s">
        <v>507</v>
      </c>
      <c r="M1347" s="138" t="s">
        <v>508</v>
      </c>
    </row>
    <row r="1348" spans="1:13" s="114" customFormat="1" ht="38.25">
      <c r="A1348" s="136">
        <v>1346</v>
      </c>
      <c r="B1348" s="129" t="s">
        <v>4165</v>
      </c>
      <c r="C1348" s="125" t="s">
        <v>4166</v>
      </c>
      <c r="D1348" s="137" t="s">
        <v>4127</v>
      </c>
      <c r="E1348" s="84" t="s">
        <v>4167</v>
      </c>
      <c r="F1348" s="113"/>
      <c r="G1348" s="131"/>
      <c r="H1348" s="186" t="s">
        <v>513</v>
      </c>
      <c r="I1348" s="125" t="s">
        <v>326</v>
      </c>
      <c r="J1348" s="125" t="s">
        <v>331</v>
      </c>
      <c r="K1348" s="125" t="s">
        <v>512</v>
      </c>
      <c r="L1348" s="138" t="s">
        <v>507</v>
      </c>
      <c r="M1348" s="138" t="s">
        <v>508</v>
      </c>
    </row>
    <row r="1349" spans="1:13" s="114" customFormat="1" ht="25.5">
      <c r="A1349" s="136">
        <v>1347</v>
      </c>
      <c r="B1349" s="129" t="s">
        <v>4168</v>
      </c>
      <c r="C1349" s="125" t="s">
        <v>4169</v>
      </c>
      <c r="D1349" s="137" t="s">
        <v>4127</v>
      </c>
      <c r="E1349" s="84" t="s">
        <v>4170</v>
      </c>
      <c r="F1349" s="113"/>
      <c r="G1349" s="131"/>
      <c r="H1349" s="186" t="s">
        <v>1531</v>
      </c>
      <c r="I1349" s="125" t="s">
        <v>326</v>
      </c>
      <c r="J1349" s="125" t="s">
        <v>346</v>
      </c>
      <c r="K1349" s="125" t="s">
        <v>761</v>
      </c>
      <c r="L1349" s="138" t="s">
        <v>507</v>
      </c>
      <c r="M1349" s="138" t="s">
        <v>508</v>
      </c>
    </row>
    <row r="1350" spans="1:13" s="114" customFormat="1" ht="51">
      <c r="A1350" s="136">
        <v>1348</v>
      </c>
      <c r="B1350" s="129" t="s">
        <v>4171</v>
      </c>
      <c r="C1350" s="125">
        <v>8.1999999999999993</v>
      </c>
      <c r="D1350" s="137" t="s">
        <v>4172</v>
      </c>
      <c r="E1350" s="84" t="s">
        <v>4173</v>
      </c>
      <c r="F1350" s="113"/>
      <c r="G1350" s="131"/>
      <c r="H1350" s="186" t="s">
        <v>684</v>
      </c>
      <c r="I1350" s="129" t="s">
        <v>326</v>
      </c>
      <c r="J1350" s="125" t="s">
        <v>331</v>
      </c>
      <c r="K1350" s="125" t="s">
        <v>530</v>
      </c>
      <c r="L1350" s="138" t="s">
        <v>507</v>
      </c>
      <c r="M1350" s="138" t="s">
        <v>508</v>
      </c>
    </row>
    <row r="1351" spans="1:13" s="114" customFormat="1" ht="38.25">
      <c r="A1351" s="136">
        <v>1349</v>
      </c>
      <c r="B1351" s="129" t="s">
        <v>4174</v>
      </c>
      <c r="C1351" s="125">
        <v>8.3000000000000007</v>
      </c>
      <c r="D1351" s="137" t="s">
        <v>4172</v>
      </c>
      <c r="E1351" s="84" t="s">
        <v>4175</v>
      </c>
      <c r="F1351" s="113"/>
      <c r="G1351" s="131"/>
      <c r="H1351" s="186" t="s">
        <v>896</v>
      </c>
      <c r="I1351" s="129" t="s">
        <v>326</v>
      </c>
      <c r="J1351" s="125" t="s">
        <v>341</v>
      </c>
      <c r="K1351" s="125" t="s">
        <v>580</v>
      </c>
      <c r="L1351" s="138" t="s">
        <v>507</v>
      </c>
      <c r="M1351" s="138" t="s">
        <v>508</v>
      </c>
    </row>
    <row r="1352" spans="1:13" s="114" customFormat="1" ht="38.25">
      <c r="A1352" s="136">
        <v>1350</v>
      </c>
      <c r="B1352" s="129" t="s">
        <v>4176</v>
      </c>
      <c r="C1352" s="125">
        <v>8.3000000000000007</v>
      </c>
      <c r="D1352" s="137" t="s">
        <v>4172</v>
      </c>
      <c r="E1352" s="84" t="s">
        <v>4177</v>
      </c>
      <c r="F1352" s="113"/>
      <c r="G1352" s="131"/>
      <c r="H1352" s="186" t="s">
        <v>1983</v>
      </c>
      <c r="I1352" s="129" t="s">
        <v>326</v>
      </c>
      <c r="J1352" s="125" t="s">
        <v>341</v>
      </c>
      <c r="K1352" s="125" t="s">
        <v>570</v>
      </c>
      <c r="L1352" s="138" t="s">
        <v>507</v>
      </c>
      <c r="M1352" s="138" t="s">
        <v>508</v>
      </c>
    </row>
    <row r="1353" spans="1:13" s="114" customFormat="1" ht="38.25">
      <c r="A1353" s="136">
        <v>1351</v>
      </c>
      <c r="B1353" s="129" t="s">
        <v>4178</v>
      </c>
      <c r="C1353" s="125">
        <v>8.3000000000000007</v>
      </c>
      <c r="D1353" s="137" t="s">
        <v>4172</v>
      </c>
      <c r="E1353" s="84" t="s">
        <v>4179</v>
      </c>
      <c r="F1353" s="113"/>
      <c r="G1353" s="131"/>
      <c r="H1353" s="186" t="s">
        <v>1221</v>
      </c>
      <c r="I1353" s="129" t="s">
        <v>326</v>
      </c>
      <c r="J1353" s="125" t="s">
        <v>331</v>
      </c>
      <c r="K1353" s="125" t="s">
        <v>1178</v>
      </c>
      <c r="L1353" s="138" t="s">
        <v>507</v>
      </c>
      <c r="M1353" s="138" t="s">
        <v>508</v>
      </c>
    </row>
    <row r="1354" spans="1:13" s="114" customFormat="1" ht="38.25">
      <c r="A1354" s="136">
        <v>1352</v>
      </c>
      <c r="B1354" s="129" t="s">
        <v>4180</v>
      </c>
      <c r="C1354" s="125">
        <v>8.3000000000000007</v>
      </c>
      <c r="D1354" s="137" t="s">
        <v>4172</v>
      </c>
      <c r="E1354" s="84" t="s">
        <v>4181</v>
      </c>
      <c r="F1354" s="113"/>
      <c r="G1354" s="131"/>
      <c r="H1354" s="186" t="s">
        <v>653</v>
      </c>
      <c r="I1354" s="129" t="s">
        <v>326</v>
      </c>
      <c r="J1354" s="125" t="s">
        <v>331</v>
      </c>
      <c r="K1354" s="125" t="s">
        <v>506</v>
      </c>
      <c r="L1354" s="138" t="s">
        <v>507</v>
      </c>
      <c r="M1354" s="138" t="s">
        <v>508</v>
      </c>
    </row>
    <row r="1355" spans="1:13" s="114" customFormat="1" ht="38.25">
      <c r="A1355" s="136">
        <v>1353</v>
      </c>
      <c r="B1355" s="129" t="s">
        <v>4182</v>
      </c>
      <c r="C1355" s="125">
        <v>8.3000000000000007</v>
      </c>
      <c r="D1355" s="137" t="s">
        <v>4172</v>
      </c>
      <c r="E1355" s="84" t="s">
        <v>4183</v>
      </c>
      <c r="F1355" s="113"/>
      <c r="G1355" s="131"/>
      <c r="H1355" s="186" t="s">
        <v>653</v>
      </c>
      <c r="I1355" s="129" t="s">
        <v>326</v>
      </c>
      <c r="J1355" s="125" t="s">
        <v>331</v>
      </c>
      <c r="K1355" s="125" t="s">
        <v>506</v>
      </c>
      <c r="L1355" s="138" t="s">
        <v>507</v>
      </c>
      <c r="M1355" s="138" t="s">
        <v>508</v>
      </c>
    </row>
    <row r="1356" spans="1:13" s="114" customFormat="1" ht="38.25">
      <c r="A1356" s="136">
        <v>1354</v>
      </c>
      <c r="B1356" s="129" t="s">
        <v>4184</v>
      </c>
      <c r="C1356" s="125">
        <v>8.3000000000000007</v>
      </c>
      <c r="D1356" s="137" t="s">
        <v>4172</v>
      </c>
      <c r="E1356" s="84" t="s">
        <v>4185</v>
      </c>
      <c r="F1356" s="113"/>
      <c r="G1356" s="131"/>
      <c r="H1356" s="186" t="s">
        <v>4186</v>
      </c>
      <c r="I1356" s="129" t="s">
        <v>326</v>
      </c>
      <c r="J1356" s="125" t="s">
        <v>331</v>
      </c>
      <c r="K1356" s="125" t="s">
        <v>1178</v>
      </c>
      <c r="L1356" s="138" t="s">
        <v>507</v>
      </c>
      <c r="M1356" s="138" t="s">
        <v>508</v>
      </c>
    </row>
    <row r="1357" spans="1:13" s="114" customFormat="1" ht="38.25">
      <c r="A1357" s="136">
        <v>1355</v>
      </c>
      <c r="B1357" s="129" t="s">
        <v>4187</v>
      </c>
      <c r="C1357" s="125">
        <v>8.3000000000000007</v>
      </c>
      <c r="D1357" s="137" t="s">
        <v>4172</v>
      </c>
      <c r="E1357" s="84" t="s">
        <v>4188</v>
      </c>
      <c r="F1357" s="113"/>
      <c r="G1357" s="131"/>
      <c r="H1357" s="186" t="s">
        <v>653</v>
      </c>
      <c r="I1357" s="129" t="s">
        <v>326</v>
      </c>
      <c r="J1357" s="125" t="s">
        <v>331</v>
      </c>
      <c r="K1357" s="125" t="s">
        <v>506</v>
      </c>
      <c r="L1357" s="138" t="s">
        <v>507</v>
      </c>
      <c r="M1357" s="136" t="s">
        <v>508</v>
      </c>
    </row>
    <row r="1358" spans="1:13" s="114" customFormat="1" ht="38.25">
      <c r="A1358" s="136">
        <v>1356</v>
      </c>
      <c r="B1358" s="129" t="s">
        <v>4189</v>
      </c>
      <c r="C1358" s="125">
        <v>8.4</v>
      </c>
      <c r="D1358" s="137" t="s">
        <v>4172</v>
      </c>
      <c r="E1358" s="84" t="s">
        <v>4190</v>
      </c>
      <c r="F1358" s="113"/>
      <c r="G1358" s="131"/>
      <c r="H1358" s="186" t="s">
        <v>535</v>
      </c>
      <c r="I1358" s="129" t="s">
        <v>326</v>
      </c>
      <c r="J1358" s="125" t="s">
        <v>331</v>
      </c>
      <c r="K1358" s="125" t="s">
        <v>512</v>
      </c>
      <c r="L1358" s="138" t="s">
        <v>507</v>
      </c>
      <c r="M1358" s="136" t="s">
        <v>508</v>
      </c>
    </row>
    <row r="1359" spans="1:13" s="114" customFormat="1" ht="38.25">
      <c r="A1359" s="136">
        <v>1357</v>
      </c>
      <c r="B1359" s="129" t="s">
        <v>4191</v>
      </c>
      <c r="C1359" s="125">
        <v>8.5</v>
      </c>
      <c r="D1359" s="137" t="s">
        <v>4172</v>
      </c>
      <c r="E1359" s="84" t="s">
        <v>4192</v>
      </c>
      <c r="F1359" s="113"/>
      <c r="G1359" s="131"/>
      <c r="H1359" s="186" t="s">
        <v>501</v>
      </c>
      <c r="I1359" s="129" t="s">
        <v>326</v>
      </c>
      <c r="J1359" s="125" t="s">
        <v>331</v>
      </c>
      <c r="K1359" s="125" t="s">
        <v>506</v>
      </c>
      <c r="L1359" s="138" t="s">
        <v>507</v>
      </c>
      <c r="M1359" s="136" t="s">
        <v>508</v>
      </c>
    </row>
    <row r="1360" spans="1:13" s="114" customFormat="1" ht="38.25">
      <c r="A1360" s="136">
        <v>1358</v>
      </c>
      <c r="B1360" s="129" t="s">
        <v>4193</v>
      </c>
      <c r="C1360" s="125">
        <v>8.6</v>
      </c>
      <c r="D1360" s="137" t="s">
        <v>4172</v>
      </c>
      <c r="E1360" s="84" t="s">
        <v>4194</v>
      </c>
      <c r="F1360" s="113"/>
      <c r="G1360" s="131"/>
      <c r="H1360" s="186" t="s">
        <v>509</v>
      </c>
      <c r="I1360" s="129" t="s">
        <v>326</v>
      </c>
      <c r="J1360" s="125" t="s">
        <v>331</v>
      </c>
      <c r="K1360" s="125" t="s">
        <v>512</v>
      </c>
      <c r="L1360" s="138" t="s">
        <v>507</v>
      </c>
      <c r="M1360" s="136" t="s">
        <v>508</v>
      </c>
    </row>
    <row r="1361" spans="1:13" s="114" customFormat="1" ht="38.25">
      <c r="A1361" s="136">
        <v>1359</v>
      </c>
      <c r="B1361" s="129" t="s">
        <v>4195</v>
      </c>
      <c r="C1361" s="125">
        <v>8.6999999999999993</v>
      </c>
      <c r="D1361" s="137" t="s">
        <v>4172</v>
      </c>
      <c r="E1361" s="84" t="s">
        <v>4196</v>
      </c>
      <c r="F1361" s="113"/>
      <c r="G1361" s="131"/>
      <c r="H1361" s="186" t="s">
        <v>509</v>
      </c>
      <c r="I1361" s="129" t="s">
        <v>326</v>
      </c>
      <c r="J1361" s="125" t="s">
        <v>331</v>
      </c>
      <c r="K1361" s="125" t="s">
        <v>512</v>
      </c>
      <c r="L1361" s="125" t="s">
        <v>507</v>
      </c>
      <c r="M1361" s="136" t="s">
        <v>508</v>
      </c>
    </row>
    <row r="1362" spans="1:13" s="114" customFormat="1" ht="51">
      <c r="A1362" s="136">
        <v>1360</v>
      </c>
      <c r="B1362" s="129" t="s">
        <v>4197</v>
      </c>
      <c r="C1362" s="125">
        <v>8.8000000000000007</v>
      </c>
      <c r="D1362" s="137" t="s">
        <v>4172</v>
      </c>
      <c r="E1362" s="84" t="s">
        <v>4198</v>
      </c>
      <c r="F1362" s="113"/>
      <c r="G1362" s="131"/>
      <c r="H1362" s="186" t="s">
        <v>1299</v>
      </c>
      <c r="I1362" s="129" t="s">
        <v>326</v>
      </c>
      <c r="J1362" s="125" t="s">
        <v>331</v>
      </c>
      <c r="K1362" s="125" t="s">
        <v>530</v>
      </c>
      <c r="L1362" s="138" t="s">
        <v>507</v>
      </c>
      <c r="M1362" s="136" t="s">
        <v>508</v>
      </c>
    </row>
    <row r="1363" spans="1:13" s="114" customFormat="1" ht="51">
      <c r="A1363" s="136">
        <v>1361</v>
      </c>
      <c r="B1363" s="129" t="s">
        <v>4199</v>
      </c>
      <c r="C1363" s="125">
        <v>8.8000000000000007</v>
      </c>
      <c r="D1363" s="137" t="s">
        <v>4172</v>
      </c>
      <c r="E1363" s="84" t="s">
        <v>4200</v>
      </c>
      <c r="F1363" s="113"/>
      <c r="G1363" s="131"/>
      <c r="H1363" s="186" t="s">
        <v>684</v>
      </c>
      <c r="I1363" s="129" t="s">
        <v>326</v>
      </c>
      <c r="J1363" s="125" t="s">
        <v>331</v>
      </c>
      <c r="K1363" s="125" t="s">
        <v>530</v>
      </c>
      <c r="L1363" s="138" t="s">
        <v>507</v>
      </c>
      <c r="M1363" s="136" t="s">
        <v>508</v>
      </c>
    </row>
    <row r="1364" spans="1:13" s="114" customFormat="1" ht="51">
      <c r="A1364" s="136">
        <v>1362</v>
      </c>
      <c r="B1364" s="129" t="s">
        <v>4201</v>
      </c>
      <c r="C1364" s="125">
        <v>8.9</v>
      </c>
      <c r="D1364" s="137" t="s">
        <v>4172</v>
      </c>
      <c r="E1364" s="84" t="s">
        <v>4202</v>
      </c>
      <c r="F1364" s="113"/>
      <c r="G1364" s="131"/>
      <c r="H1364" s="186" t="s">
        <v>707</v>
      </c>
      <c r="I1364" s="129" t="s">
        <v>326</v>
      </c>
      <c r="J1364" s="125" t="s">
        <v>331</v>
      </c>
      <c r="K1364" s="125" t="s">
        <v>530</v>
      </c>
      <c r="L1364" s="138" t="s">
        <v>507</v>
      </c>
      <c r="M1364" s="136" t="s">
        <v>508</v>
      </c>
    </row>
    <row r="1365" spans="1:13" s="114" customFormat="1" ht="25.5">
      <c r="A1365" s="136">
        <v>1363</v>
      </c>
      <c r="B1365" s="129" t="s">
        <v>4203</v>
      </c>
      <c r="C1365" s="125">
        <v>9.1</v>
      </c>
      <c r="D1365" s="139" t="s">
        <v>4204</v>
      </c>
      <c r="E1365" s="84" t="s">
        <v>4205</v>
      </c>
      <c r="F1365" s="113"/>
      <c r="G1365" s="131"/>
      <c r="H1365" s="186" t="s">
        <v>1024</v>
      </c>
      <c r="I1365" s="129" t="s">
        <v>326</v>
      </c>
      <c r="J1365" s="125" t="s">
        <v>341</v>
      </c>
      <c r="K1365" s="125" t="s">
        <v>580</v>
      </c>
      <c r="L1365" s="138" t="s">
        <v>507</v>
      </c>
      <c r="M1365" s="136" t="s">
        <v>508</v>
      </c>
    </row>
    <row r="1366" spans="1:13" s="114" customFormat="1" ht="25.5">
      <c r="A1366" s="136">
        <v>1364</v>
      </c>
      <c r="B1366" s="129" t="s">
        <v>4206</v>
      </c>
      <c r="C1366" s="125">
        <v>10.1</v>
      </c>
      <c r="D1366" s="137" t="s">
        <v>4207</v>
      </c>
      <c r="E1366" s="84" t="s">
        <v>4208</v>
      </c>
      <c r="F1366" s="113"/>
      <c r="G1366" s="131"/>
      <c r="H1366" s="186" t="s">
        <v>931</v>
      </c>
      <c r="I1366" s="129" t="s">
        <v>326</v>
      </c>
      <c r="J1366" s="125" t="s">
        <v>341</v>
      </c>
      <c r="K1366" s="125" t="s">
        <v>570</v>
      </c>
      <c r="L1366" s="138" t="s">
        <v>507</v>
      </c>
      <c r="M1366" s="136" t="s">
        <v>508</v>
      </c>
    </row>
    <row r="1367" spans="1:13" s="114" customFormat="1" ht="38.25">
      <c r="A1367" s="136">
        <v>1365</v>
      </c>
      <c r="B1367" s="129" t="s">
        <v>4209</v>
      </c>
      <c r="C1367" s="125">
        <v>10.4</v>
      </c>
      <c r="D1367" s="137" t="s">
        <v>4207</v>
      </c>
      <c r="E1367" s="84" t="s">
        <v>4210</v>
      </c>
      <c r="F1367" s="113"/>
      <c r="G1367" s="131"/>
      <c r="H1367" s="186" t="s">
        <v>1650</v>
      </c>
      <c r="I1367" s="129" t="s">
        <v>326</v>
      </c>
      <c r="J1367" s="125" t="s">
        <v>341</v>
      </c>
      <c r="K1367" s="125" t="s">
        <v>580</v>
      </c>
      <c r="L1367" s="138" t="s">
        <v>507</v>
      </c>
      <c r="M1367" s="136" t="s">
        <v>508</v>
      </c>
    </row>
    <row r="1368" spans="1:13" s="114" customFormat="1" ht="38.25">
      <c r="A1368" s="136">
        <v>1366</v>
      </c>
      <c r="B1368" s="129" t="s">
        <v>4211</v>
      </c>
      <c r="C1368" s="125">
        <v>11.1</v>
      </c>
      <c r="D1368" s="137" t="s">
        <v>4212</v>
      </c>
      <c r="E1368" s="84" t="s">
        <v>4213</v>
      </c>
      <c r="F1368" s="113"/>
      <c r="G1368" s="131"/>
      <c r="H1368" s="186" t="s">
        <v>1836</v>
      </c>
      <c r="I1368" s="129" t="s">
        <v>326</v>
      </c>
      <c r="J1368" s="125" t="s">
        <v>349</v>
      </c>
      <c r="K1368" s="125" t="s">
        <v>1336</v>
      </c>
      <c r="L1368" s="138" t="s">
        <v>507</v>
      </c>
      <c r="M1368" s="136" t="s">
        <v>508</v>
      </c>
    </row>
    <row r="1369" spans="1:13" s="114" customFormat="1" ht="51">
      <c r="A1369" s="136">
        <v>1367</v>
      </c>
      <c r="B1369" s="129" t="s">
        <v>4214</v>
      </c>
      <c r="C1369" s="125">
        <v>11.2</v>
      </c>
      <c r="D1369" s="137" t="s">
        <v>4212</v>
      </c>
      <c r="E1369" s="84" t="s">
        <v>4215</v>
      </c>
      <c r="F1369" s="113"/>
      <c r="G1369" s="131"/>
      <c r="H1369" s="186" t="s">
        <v>1024</v>
      </c>
      <c r="I1369" s="129" t="s">
        <v>326</v>
      </c>
      <c r="J1369" s="125" t="s">
        <v>341</v>
      </c>
      <c r="K1369" s="125" t="s">
        <v>580</v>
      </c>
      <c r="L1369" s="138" t="s">
        <v>507</v>
      </c>
      <c r="M1369" s="136" t="s">
        <v>508</v>
      </c>
    </row>
    <row r="1370" spans="1:13" s="114" customFormat="1" ht="51">
      <c r="A1370" s="136">
        <v>1368</v>
      </c>
      <c r="B1370" s="129" t="s">
        <v>4216</v>
      </c>
      <c r="C1370" s="125">
        <v>11.3</v>
      </c>
      <c r="D1370" s="137" t="s">
        <v>4212</v>
      </c>
      <c r="E1370" s="84" t="s">
        <v>4217</v>
      </c>
      <c r="F1370" s="113"/>
      <c r="G1370" s="131"/>
      <c r="H1370" s="186" t="s">
        <v>523</v>
      </c>
      <c r="I1370" s="129" t="s">
        <v>326</v>
      </c>
      <c r="J1370" s="125" t="s">
        <v>352</v>
      </c>
      <c r="K1370" s="125" t="s">
        <v>526</v>
      </c>
      <c r="L1370" s="138" t="s">
        <v>507</v>
      </c>
      <c r="M1370" s="136" t="s">
        <v>508</v>
      </c>
    </row>
    <row r="1371" spans="1:13" s="114" customFormat="1" ht="25.5">
      <c r="A1371" s="136">
        <v>1369</v>
      </c>
      <c r="B1371" s="129" t="s">
        <v>4218</v>
      </c>
      <c r="C1371" s="125">
        <v>11.4</v>
      </c>
      <c r="D1371" s="137" t="s">
        <v>4212</v>
      </c>
      <c r="E1371" s="84" t="s">
        <v>4219</v>
      </c>
      <c r="F1371" s="113"/>
      <c r="G1371" s="131"/>
      <c r="H1371" s="186" t="s">
        <v>817</v>
      </c>
      <c r="I1371" s="129" t="s">
        <v>326</v>
      </c>
      <c r="J1371" s="125" t="s">
        <v>352</v>
      </c>
      <c r="K1371" s="125" t="s">
        <v>526</v>
      </c>
      <c r="L1371" s="138" t="s">
        <v>507</v>
      </c>
      <c r="M1371" s="136" t="s">
        <v>508</v>
      </c>
    </row>
    <row r="1372" spans="1:13" s="114" customFormat="1" ht="25.5">
      <c r="A1372" s="136">
        <v>1370</v>
      </c>
      <c r="B1372" s="129" t="s">
        <v>4220</v>
      </c>
      <c r="C1372" s="125">
        <v>11.5</v>
      </c>
      <c r="D1372" s="137" t="s">
        <v>4212</v>
      </c>
      <c r="E1372" s="84" t="s">
        <v>4221</v>
      </c>
      <c r="F1372" s="113"/>
      <c r="G1372" s="131"/>
      <c r="H1372" s="186" t="s">
        <v>1525</v>
      </c>
      <c r="I1372" s="129" t="s">
        <v>326</v>
      </c>
      <c r="J1372" s="125" t="s">
        <v>341</v>
      </c>
      <c r="K1372" s="125" t="s">
        <v>1526</v>
      </c>
      <c r="L1372" s="138" t="s">
        <v>507</v>
      </c>
      <c r="M1372" s="136" t="s">
        <v>508</v>
      </c>
    </row>
    <row r="1373" spans="1:13" s="114" customFormat="1" ht="38.25">
      <c r="A1373" s="136">
        <v>1371</v>
      </c>
      <c r="B1373" s="129" t="s">
        <v>4222</v>
      </c>
      <c r="C1373" s="129">
        <v>11.6</v>
      </c>
      <c r="D1373" s="137" t="s">
        <v>4212</v>
      </c>
      <c r="E1373" s="84" t="s">
        <v>4223</v>
      </c>
      <c r="F1373" s="113"/>
      <c r="G1373" s="131"/>
      <c r="H1373" s="186" t="s">
        <v>1024</v>
      </c>
      <c r="I1373" s="129" t="s">
        <v>326</v>
      </c>
      <c r="J1373" s="125" t="s">
        <v>341</v>
      </c>
      <c r="K1373" s="125" t="s">
        <v>580</v>
      </c>
      <c r="L1373" s="138" t="s">
        <v>507</v>
      </c>
      <c r="M1373" s="136" t="s">
        <v>508</v>
      </c>
    </row>
    <row r="1374" spans="1:13" s="114" customFormat="1" ht="25.5">
      <c r="A1374" s="136">
        <v>1372</v>
      </c>
      <c r="B1374" s="129" t="s">
        <v>2632</v>
      </c>
      <c r="C1374" s="129">
        <v>14.1</v>
      </c>
      <c r="D1374" s="137" t="s">
        <v>4224</v>
      </c>
      <c r="E1374" s="84" t="s">
        <v>4225</v>
      </c>
      <c r="F1374" s="113"/>
      <c r="G1374" s="131"/>
      <c r="H1374" s="186" t="s">
        <v>4226</v>
      </c>
      <c r="I1374" s="107" t="s">
        <v>326</v>
      </c>
      <c r="J1374" s="136" t="s">
        <v>346</v>
      </c>
      <c r="K1374" s="136" t="s">
        <v>1465</v>
      </c>
      <c r="L1374" s="138" t="s">
        <v>314</v>
      </c>
      <c r="M1374" s="136" t="s">
        <v>508</v>
      </c>
    </row>
    <row r="1375" spans="1:13" s="114" customFormat="1" ht="63.75">
      <c r="A1375" s="136">
        <v>1373</v>
      </c>
      <c r="B1375" s="129" t="s">
        <v>4227</v>
      </c>
      <c r="C1375" s="129">
        <v>15.1</v>
      </c>
      <c r="D1375" s="137" t="s">
        <v>4228</v>
      </c>
      <c r="E1375" s="84" t="s">
        <v>4229</v>
      </c>
      <c r="F1375" s="113"/>
      <c r="G1375" s="131"/>
      <c r="H1375" s="186" t="s">
        <v>560</v>
      </c>
      <c r="I1375" s="129" t="s">
        <v>326</v>
      </c>
      <c r="J1375" s="125" t="s">
        <v>352</v>
      </c>
      <c r="K1375" s="125" t="s">
        <v>561</v>
      </c>
      <c r="L1375" s="138" t="s">
        <v>507</v>
      </c>
      <c r="M1375" s="136" t="s">
        <v>508</v>
      </c>
    </row>
    <row r="1376" spans="1:13" s="114" customFormat="1" ht="25.5">
      <c r="A1376" s="136">
        <v>1374</v>
      </c>
      <c r="B1376" s="129" t="s">
        <v>4230</v>
      </c>
      <c r="C1376" s="146">
        <v>2.2999999999999998</v>
      </c>
      <c r="D1376" s="147" t="s">
        <v>4231</v>
      </c>
      <c r="E1376" s="84" t="s">
        <v>4232</v>
      </c>
      <c r="F1376" s="113"/>
      <c r="G1376" s="131"/>
      <c r="H1376" s="186" t="s">
        <v>1531</v>
      </c>
      <c r="I1376" s="125" t="s">
        <v>326</v>
      </c>
      <c r="J1376" s="125" t="s">
        <v>346</v>
      </c>
      <c r="K1376" s="125" t="s">
        <v>761</v>
      </c>
      <c r="L1376" s="138" t="s">
        <v>507</v>
      </c>
      <c r="M1376" s="136" t="s">
        <v>508</v>
      </c>
    </row>
    <row r="1377" spans="1:13" s="114" customFormat="1" ht="25.5">
      <c r="A1377" s="136">
        <v>1375</v>
      </c>
      <c r="B1377" s="129" t="s">
        <v>4233</v>
      </c>
      <c r="C1377" s="154">
        <v>3.1</v>
      </c>
      <c r="D1377" s="147" t="s">
        <v>4234</v>
      </c>
      <c r="E1377" s="84" t="s">
        <v>4235</v>
      </c>
      <c r="F1377" s="113"/>
      <c r="G1377" s="131"/>
      <c r="H1377" s="186" t="s">
        <v>1531</v>
      </c>
      <c r="I1377" s="125" t="s">
        <v>326</v>
      </c>
      <c r="J1377" s="125" t="s">
        <v>346</v>
      </c>
      <c r="K1377" s="125" t="s">
        <v>761</v>
      </c>
      <c r="L1377" s="138" t="s">
        <v>507</v>
      </c>
      <c r="M1377" s="136" t="s">
        <v>508</v>
      </c>
    </row>
    <row r="1378" spans="1:13" s="114" customFormat="1" ht="38.25">
      <c r="A1378" s="136">
        <v>1376</v>
      </c>
      <c r="B1378" s="129" t="s">
        <v>4236</v>
      </c>
      <c r="C1378" s="154">
        <v>3.6</v>
      </c>
      <c r="D1378" s="147" t="s">
        <v>4237</v>
      </c>
      <c r="E1378" s="84" t="s">
        <v>4238</v>
      </c>
      <c r="F1378" s="113"/>
      <c r="G1378" s="131"/>
      <c r="H1378" s="186" t="s">
        <v>1051</v>
      </c>
      <c r="I1378" s="125" t="s">
        <v>326</v>
      </c>
      <c r="J1378" s="125" t="s">
        <v>352</v>
      </c>
      <c r="K1378" s="125" t="s">
        <v>1044</v>
      </c>
      <c r="L1378" s="138" t="s">
        <v>507</v>
      </c>
      <c r="M1378" s="136" t="s">
        <v>508</v>
      </c>
    </row>
    <row r="1379" spans="1:13" s="114" customFormat="1" ht="51">
      <c r="A1379" s="136">
        <v>1377</v>
      </c>
      <c r="B1379" s="129" t="s">
        <v>4239</v>
      </c>
      <c r="C1379" s="154">
        <v>3.6</v>
      </c>
      <c r="D1379" s="147" t="s">
        <v>4240</v>
      </c>
      <c r="E1379" s="84" t="s">
        <v>4241</v>
      </c>
      <c r="F1379" s="113"/>
      <c r="G1379" s="131"/>
      <c r="H1379" s="186" t="s">
        <v>707</v>
      </c>
      <c r="I1379" s="125" t="s">
        <v>326</v>
      </c>
      <c r="J1379" s="125" t="s">
        <v>331</v>
      </c>
      <c r="K1379" s="125" t="s">
        <v>530</v>
      </c>
      <c r="L1379" s="138" t="s">
        <v>507</v>
      </c>
      <c r="M1379" s="136" t="s">
        <v>508</v>
      </c>
    </row>
    <row r="1380" spans="1:13" s="114" customFormat="1" ht="25.5">
      <c r="A1380" s="136">
        <v>1378</v>
      </c>
      <c r="B1380" s="129" t="s">
        <v>4242</v>
      </c>
      <c r="C1380" s="154">
        <v>3.6</v>
      </c>
      <c r="D1380" s="147" t="s">
        <v>4240</v>
      </c>
      <c r="E1380" s="84" t="s">
        <v>4243</v>
      </c>
      <c r="F1380" s="113"/>
      <c r="G1380" s="131"/>
      <c r="H1380" s="186" t="s">
        <v>1586</v>
      </c>
      <c r="I1380" s="125" t="s">
        <v>326</v>
      </c>
      <c r="J1380" s="125" t="s">
        <v>331</v>
      </c>
      <c r="K1380" s="125" t="s">
        <v>1191</v>
      </c>
      <c r="L1380" s="138" t="s">
        <v>314</v>
      </c>
      <c r="M1380" s="136" t="s">
        <v>508</v>
      </c>
    </row>
    <row r="1381" spans="1:13" s="114" customFormat="1" ht="51">
      <c r="A1381" s="136">
        <v>1379</v>
      </c>
      <c r="B1381" s="129" t="s">
        <v>4244</v>
      </c>
      <c r="C1381" s="154">
        <v>3.6</v>
      </c>
      <c r="D1381" s="147" t="s">
        <v>4240</v>
      </c>
      <c r="E1381" s="84" t="s">
        <v>4245</v>
      </c>
      <c r="F1381" s="113"/>
      <c r="G1381" s="131"/>
      <c r="H1381" s="186" t="s">
        <v>2575</v>
      </c>
      <c r="I1381" s="125" t="s">
        <v>326</v>
      </c>
      <c r="J1381" s="125" t="s">
        <v>352</v>
      </c>
      <c r="K1381" s="125" t="s">
        <v>1044</v>
      </c>
      <c r="L1381" s="138" t="s">
        <v>507</v>
      </c>
      <c r="M1381" s="136" t="s">
        <v>508</v>
      </c>
    </row>
    <row r="1382" spans="1:13" s="114" customFormat="1" ht="51">
      <c r="A1382" s="136">
        <v>1380</v>
      </c>
      <c r="B1382" s="129" t="s">
        <v>4246</v>
      </c>
      <c r="C1382" s="154">
        <v>3.6</v>
      </c>
      <c r="D1382" s="147" t="s">
        <v>4240</v>
      </c>
      <c r="E1382" s="84" t="s">
        <v>4247</v>
      </c>
      <c r="F1382" s="113"/>
      <c r="G1382" s="131"/>
      <c r="H1382" s="186" t="s">
        <v>1586</v>
      </c>
      <c r="I1382" s="125" t="s">
        <v>326</v>
      </c>
      <c r="J1382" s="125" t="s">
        <v>331</v>
      </c>
      <c r="K1382" s="125" t="s">
        <v>1191</v>
      </c>
      <c r="L1382" s="138" t="s">
        <v>314</v>
      </c>
      <c r="M1382" s="136" t="s">
        <v>953</v>
      </c>
    </row>
    <row r="1383" spans="1:13" s="114" customFormat="1" ht="25.5">
      <c r="A1383" s="136">
        <v>1381</v>
      </c>
      <c r="B1383" s="129" t="s">
        <v>4248</v>
      </c>
      <c r="C1383" s="154">
        <v>3.6</v>
      </c>
      <c r="D1383" s="147" t="s">
        <v>4240</v>
      </c>
      <c r="E1383" s="84" t="s">
        <v>4249</v>
      </c>
      <c r="F1383" s="113"/>
      <c r="G1383" s="131"/>
      <c r="H1383" s="186" t="s">
        <v>1836</v>
      </c>
      <c r="I1383" s="125" t="s">
        <v>326</v>
      </c>
      <c r="J1383" s="125" t="s">
        <v>349</v>
      </c>
      <c r="K1383" s="125" t="s">
        <v>1336</v>
      </c>
      <c r="L1383" s="138" t="s">
        <v>507</v>
      </c>
      <c r="M1383" s="136" t="s">
        <v>508</v>
      </c>
    </row>
    <row r="1384" spans="1:13" s="114" customFormat="1" ht="25.5">
      <c r="A1384" s="136">
        <v>1382</v>
      </c>
      <c r="B1384" s="129" t="s">
        <v>4250</v>
      </c>
      <c r="C1384" s="154">
        <v>3.6</v>
      </c>
      <c r="D1384" s="147" t="s">
        <v>4240</v>
      </c>
      <c r="E1384" s="84" t="s">
        <v>4251</v>
      </c>
      <c r="F1384" s="113"/>
      <c r="G1384" s="131"/>
      <c r="H1384" s="186" t="s">
        <v>3311</v>
      </c>
      <c r="I1384" s="125" t="s">
        <v>326</v>
      </c>
      <c r="J1384" s="125" t="s">
        <v>346</v>
      </c>
      <c r="K1384" s="125" t="s">
        <v>761</v>
      </c>
      <c r="L1384" s="138" t="s">
        <v>507</v>
      </c>
      <c r="M1384" s="136" t="s">
        <v>508</v>
      </c>
    </row>
    <row r="1385" spans="1:13" s="114" customFormat="1" ht="38.25">
      <c r="A1385" s="136">
        <v>1383</v>
      </c>
      <c r="B1385" s="129" t="s">
        <v>4252</v>
      </c>
      <c r="C1385" s="154">
        <v>7</v>
      </c>
      <c r="D1385" s="147" t="s">
        <v>4253</v>
      </c>
      <c r="E1385" s="84" t="s">
        <v>4254</v>
      </c>
      <c r="F1385" s="113"/>
      <c r="G1385" s="131"/>
      <c r="H1385" s="186" t="s">
        <v>509</v>
      </c>
      <c r="I1385" s="125" t="s">
        <v>326</v>
      </c>
      <c r="J1385" s="125" t="s">
        <v>331</v>
      </c>
      <c r="K1385" s="125" t="s">
        <v>512</v>
      </c>
      <c r="L1385" s="107" t="s">
        <v>507</v>
      </c>
      <c r="M1385" s="136" t="s">
        <v>508</v>
      </c>
    </row>
    <row r="1386" spans="1:13" s="114" customFormat="1" ht="38.25">
      <c r="A1386" s="136">
        <v>1384</v>
      </c>
      <c r="B1386" s="129" t="s">
        <v>4255</v>
      </c>
      <c r="C1386" s="154">
        <v>7</v>
      </c>
      <c r="D1386" s="147" t="s">
        <v>4253</v>
      </c>
      <c r="E1386" s="84" t="s">
        <v>4256</v>
      </c>
      <c r="F1386" s="113"/>
      <c r="G1386" s="131"/>
      <c r="H1386" s="186" t="s">
        <v>1617</v>
      </c>
      <c r="I1386" s="125" t="s">
        <v>326</v>
      </c>
      <c r="J1386" s="146" t="s">
        <v>352</v>
      </c>
      <c r="K1386" s="146" t="s">
        <v>561</v>
      </c>
      <c r="L1386" s="138" t="s">
        <v>507</v>
      </c>
      <c r="M1386" s="136" t="s">
        <v>508</v>
      </c>
    </row>
    <row r="1387" spans="1:13" s="114" customFormat="1" ht="25.5">
      <c r="A1387" s="136">
        <v>1385</v>
      </c>
      <c r="B1387" s="129" t="s">
        <v>4257</v>
      </c>
      <c r="C1387" s="146">
        <v>5.0999999999999996</v>
      </c>
      <c r="D1387" s="147" t="s">
        <v>3650</v>
      </c>
      <c r="E1387" s="84" t="s">
        <v>4258</v>
      </c>
      <c r="F1387" s="113"/>
      <c r="G1387" s="131"/>
      <c r="H1387" s="186" t="s">
        <v>974</v>
      </c>
      <c r="I1387" s="125" t="s">
        <v>326</v>
      </c>
      <c r="J1387" s="125" t="s">
        <v>352</v>
      </c>
      <c r="K1387" s="125" t="s">
        <v>597</v>
      </c>
      <c r="L1387" s="138" t="s">
        <v>314</v>
      </c>
      <c r="M1387" s="136" t="s">
        <v>508</v>
      </c>
    </row>
    <row r="1388" spans="1:13" s="114" customFormat="1" ht="25.5">
      <c r="A1388" s="136">
        <v>1386</v>
      </c>
      <c r="B1388" s="129" t="s">
        <v>4259</v>
      </c>
      <c r="C1388" s="146">
        <v>5.0999999999999996</v>
      </c>
      <c r="D1388" s="147" t="s">
        <v>3650</v>
      </c>
      <c r="E1388" s="84" t="s">
        <v>4260</v>
      </c>
      <c r="F1388" s="113"/>
      <c r="G1388" s="131"/>
      <c r="H1388" s="186" t="s">
        <v>600</v>
      </c>
      <c r="I1388" s="125" t="s">
        <v>326</v>
      </c>
      <c r="J1388" s="125" t="s">
        <v>341</v>
      </c>
      <c r="K1388" s="125" t="s">
        <v>601</v>
      </c>
      <c r="L1388" s="138" t="s">
        <v>507</v>
      </c>
      <c r="M1388" s="136" t="s">
        <v>508</v>
      </c>
    </row>
    <row r="1389" spans="1:13" s="114" customFormat="1" ht="12.75">
      <c r="A1389" s="136">
        <v>1387</v>
      </c>
      <c r="B1389" s="129" t="s">
        <v>4261</v>
      </c>
      <c r="C1389" s="146">
        <v>5.0999999999999996</v>
      </c>
      <c r="D1389" s="147" t="s">
        <v>4262</v>
      </c>
      <c r="E1389" s="84" t="s">
        <v>4263</v>
      </c>
      <c r="F1389" s="113"/>
      <c r="G1389" s="131"/>
      <c r="H1389" s="186" t="s">
        <v>600</v>
      </c>
      <c r="I1389" s="125" t="s">
        <v>326</v>
      </c>
      <c r="J1389" s="125" t="s">
        <v>341</v>
      </c>
      <c r="K1389" s="125" t="s">
        <v>601</v>
      </c>
      <c r="L1389" s="138" t="s">
        <v>507</v>
      </c>
      <c r="M1389" s="136" t="s">
        <v>508</v>
      </c>
    </row>
    <row r="1390" spans="1:13" s="114" customFormat="1" ht="51">
      <c r="A1390" s="136">
        <v>1388</v>
      </c>
      <c r="B1390" s="129" t="s">
        <v>4264</v>
      </c>
      <c r="C1390" s="146">
        <v>5.0999999999999996</v>
      </c>
      <c r="D1390" s="147" t="s">
        <v>4262</v>
      </c>
      <c r="E1390" s="84" t="s">
        <v>4265</v>
      </c>
      <c r="F1390" s="113"/>
      <c r="G1390" s="131"/>
      <c r="H1390" s="186" t="s">
        <v>971</v>
      </c>
      <c r="I1390" s="125" t="s">
        <v>326</v>
      </c>
      <c r="J1390" s="125" t="s">
        <v>352</v>
      </c>
      <c r="K1390" s="125" t="s">
        <v>597</v>
      </c>
      <c r="L1390" s="138" t="s">
        <v>314</v>
      </c>
      <c r="M1390" s="136" t="s">
        <v>953</v>
      </c>
    </row>
    <row r="1391" spans="1:13" s="114" customFormat="1" ht="25.5">
      <c r="A1391" s="136">
        <v>1389</v>
      </c>
      <c r="B1391" s="129" t="s">
        <v>4266</v>
      </c>
      <c r="C1391" s="146">
        <v>5.0999999999999996</v>
      </c>
      <c r="D1391" s="147" t="s">
        <v>4267</v>
      </c>
      <c r="E1391" s="84" t="s">
        <v>4268</v>
      </c>
      <c r="F1391" s="113"/>
      <c r="G1391" s="131"/>
      <c r="H1391" s="186" t="s">
        <v>974</v>
      </c>
      <c r="I1391" s="125" t="s">
        <v>326</v>
      </c>
      <c r="J1391" s="125" t="s">
        <v>352</v>
      </c>
      <c r="K1391" s="125" t="s">
        <v>597</v>
      </c>
      <c r="L1391" s="138" t="s">
        <v>314</v>
      </c>
      <c r="M1391" s="136" t="s">
        <v>508</v>
      </c>
    </row>
    <row r="1392" spans="1:13" s="114" customFormat="1" ht="25.5">
      <c r="A1392" s="136">
        <v>1390</v>
      </c>
      <c r="B1392" s="129" t="s">
        <v>4269</v>
      </c>
      <c r="C1392" s="146">
        <v>5.0999999999999996</v>
      </c>
      <c r="D1392" s="147" t="s">
        <v>4267</v>
      </c>
      <c r="E1392" s="84" t="s">
        <v>4270</v>
      </c>
      <c r="F1392" s="113"/>
      <c r="G1392" s="131"/>
      <c r="H1392" s="186" t="s">
        <v>817</v>
      </c>
      <c r="I1392" s="125" t="s">
        <v>326</v>
      </c>
      <c r="J1392" s="125" t="s">
        <v>352</v>
      </c>
      <c r="K1392" s="125" t="s">
        <v>526</v>
      </c>
      <c r="L1392" s="138" t="s">
        <v>507</v>
      </c>
      <c r="M1392" s="136" t="s">
        <v>508</v>
      </c>
    </row>
    <row r="1393" spans="1:13" s="114" customFormat="1" ht="38.25">
      <c r="A1393" s="136">
        <v>1391</v>
      </c>
      <c r="B1393" s="129" t="s">
        <v>4271</v>
      </c>
      <c r="C1393" s="146">
        <v>5.0999999999999996</v>
      </c>
      <c r="D1393" s="147" t="s">
        <v>3658</v>
      </c>
      <c r="E1393" s="84" t="s">
        <v>4272</v>
      </c>
      <c r="F1393" s="113"/>
      <c r="G1393" s="131"/>
      <c r="H1393" s="186" t="s">
        <v>2356</v>
      </c>
      <c r="I1393" s="125" t="s">
        <v>326</v>
      </c>
      <c r="J1393" s="125" t="s">
        <v>331</v>
      </c>
      <c r="K1393" s="125" t="s">
        <v>512</v>
      </c>
      <c r="L1393" s="138" t="s">
        <v>507</v>
      </c>
      <c r="M1393" s="136" t="s">
        <v>508</v>
      </c>
    </row>
    <row r="1394" spans="1:13" s="114" customFormat="1" ht="25.5">
      <c r="A1394" s="136">
        <v>1392</v>
      </c>
      <c r="B1394" s="129" t="s">
        <v>4273</v>
      </c>
      <c r="C1394" s="146">
        <v>5.0999999999999996</v>
      </c>
      <c r="D1394" s="147" t="s">
        <v>4274</v>
      </c>
      <c r="E1394" s="84" t="s">
        <v>4275</v>
      </c>
      <c r="F1394" s="113"/>
      <c r="G1394" s="131"/>
      <c r="H1394" s="186" t="s">
        <v>1836</v>
      </c>
      <c r="I1394" s="125" t="s">
        <v>326</v>
      </c>
      <c r="J1394" s="125" t="s">
        <v>349</v>
      </c>
      <c r="K1394" s="125" t="s">
        <v>1336</v>
      </c>
      <c r="L1394" s="138" t="s">
        <v>507</v>
      </c>
      <c r="M1394" s="136" t="s">
        <v>508</v>
      </c>
    </row>
    <row r="1395" spans="1:13" s="114" customFormat="1" ht="25.5">
      <c r="A1395" s="136">
        <v>1393</v>
      </c>
      <c r="B1395" s="129" t="s">
        <v>4276</v>
      </c>
      <c r="C1395" s="146">
        <v>5.0999999999999996</v>
      </c>
      <c r="D1395" s="147" t="s">
        <v>4274</v>
      </c>
      <c r="E1395" s="84" t="s">
        <v>4277</v>
      </c>
      <c r="F1395" s="113"/>
      <c r="G1395" s="131"/>
      <c r="H1395" s="186" t="s">
        <v>1836</v>
      </c>
      <c r="I1395" s="125" t="s">
        <v>326</v>
      </c>
      <c r="J1395" s="125" t="s">
        <v>349</v>
      </c>
      <c r="K1395" s="125" t="s">
        <v>1336</v>
      </c>
      <c r="L1395" s="138" t="s">
        <v>507</v>
      </c>
      <c r="M1395" s="136" t="s">
        <v>508</v>
      </c>
    </row>
    <row r="1396" spans="1:13" s="114" customFormat="1" ht="25.5">
      <c r="A1396" s="136">
        <v>1394</v>
      </c>
      <c r="B1396" s="129" t="s">
        <v>4278</v>
      </c>
      <c r="C1396" s="146">
        <v>5.0999999999999996</v>
      </c>
      <c r="D1396" s="147" t="s">
        <v>4279</v>
      </c>
      <c r="E1396" s="84" t="s">
        <v>4280</v>
      </c>
      <c r="F1396" s="113"/>
      <c r="G1396" s="131"/>
      <c r="H1396" s="186" t="s">
        <v>1436</v>
      </c>
      <c r="I1396" s="125" t="s">
        <v>326</v>
      </c>
      <c r="J1396" s="125" t="s">
        <v>331</v>
      </c>
      <c r="K1396" s="125" t="s">
        <v>1357</v>
      </c>
      <c r="L1396" s="138" t="s">
        <v>507</v>
      </c>
      <c r="M1396" s="136" t="s">
        <v>508</v>
      </c>
    </row>
    <row r="1397" spans="1:13" s="114" customFormat="1" ht="25.5">
      <c r="A1397" s="136">
        <v>1395</v>
      </c>
      <c r="B1397" s="129" t="s">
        <v>4281</v>
      </c>
      <c r="C1397" s="146">
        <v>5.0999999999999996</v>
      </c>
      <c r="D1397" s="147" t="s">
        <v>4282</v>
      </c>
      <c r="E1397" s="84" t="s">
        <v>4283</v>
      </c>
      <c r="F1397" s="113"/>
      <c r="G1397" s="131"/>
      <c r="H1397" s="186" t="s">
        <v>1568</v>
      </c>
      <c r="I1397" s="125" t="s">
        <v>326</v>
      </c>
      <c r="J1397" s="125" t="s">
        <v>346</v>
      </c>
      <c r="K1397" s="125" t="s">
        <v>761</v>
      </c>
      <c r="L1397" s="138" t="s">
        <v>507</v>
      </c>
      <c r="M1397" s="136" t="s">
        <v>508</v>
      </c>
    </row>
    <row r="1398" spans="1:13" s="114" customFormat="1" ht="38.25">
      <c r="A1398" s="136">
        <v>1396</v>
      </c>
      <c r="B1398" s="129" t="s">
        <v>4284</v>
      </c>
      <c r="C1398" s="146">
        <v>5.3</v>
      </c>
      <c r="D1398" s="147" t="s">
        <v>4285</v>
      </c>
      <c r="E1398" s="84" t="s">
        <v>4286</v>
      </c>
      <c r="F1398" s="113"/>
      <c r="G1398" s="131"/>
      <c r="H1398" s="186" t="s">
        <v>1308</v>
      </c>
      <c r="I1398" s="125" t="s">
        <v>326</v>
      </c>
      <c r="J1398" s="125" t="s">
        <v>346</v>
      </c>
      <c r="K1398" s="125" t="s">
        <v>1309</v>
      </c>
      <c r="L1398" s="138" t="s">
        <v>507</v>
      </c>
      <c r="M1398" s="136" t="s">
        <v>508</v>
      </c>
    </row>
    <row r="1399" spans="1:13" s="114" customFormat="1" ht="25.5">
      <c r="A1399" s="136">
        <v>1397</v>
      </c>
      <c r="B1399" s="129" t="s">
        <v>4287</v>
      </c>
      <c r="C1399" s="154" t="s">
        <v>2320</v>
      </c>
      <c r="D1399" s="155" t="s">
        <v>4288</v>
      </c>
      <c r="E1399" s="84" t="s">
        <v>4289</v>
      </c>
      <c r="F1399" s="113"/>
      <c r="G1399" s="131"/>
      <c r="H1399" s="186" t="s">
        <v>1836</v>
      </c>
      <c r="I1399" s="125" t="s">
        <v>326</v>
      </c>
      <c r="J1399" s="125" t="s">
        <v>349</v>
      </c>
      <c r="K1399" s="125" t="s">
        <v>1336</v>
      </c>
      <c r="L1399" s="138" t="s">
        <v>507</v>
      </c>
      <c r="M1399" s="136" t="s">
        <v>508</v>
      </c>
    </row>
    <row r="1400" spans="1:13" s="114" customFormat="1" ht="38.25">
      <c r="A1400" s="136">
        <v>1398</v>
      </c>
      <c r="B1400" s="129" t="s">
        <v>4290</v>
      </c>
      <c r="C1400" s="154" t="s">
        <v>2362</v>
      </c>
      <c r="D1400" s="155" t="s">
        <v>4291</v>
      </c>
      <c r="E1400" s="84" t="s">
        <v>4292</v>
      </c>
      <c r="F1400" s="113"/>
      <c r="G1400" s="131"/>
      <c r="H1400" s="186" t="s">
        <v>1343</v>
      </c>
      <c r="I1400" s="125" t="s">
        <v>326</v>
      </c>
      <c r="J1400" s="125" t="s">
        <v>349</v>
      </c>
      <c r="K1400" s="125" t="s">
        <v>1346</v>
      </c>
      <c r="L1400" s="138" t="s">
        <v>507</v>
      </c>
      <c r="M1400" s="136" t="s">
        <v>508</v>
      </c>
    </row>
    <row r="1401" spans="1:13" s="114" customFormat="1" ht="38.25">
      <c r="A1401" s="136">
        <v>1399</v>
      </c>
      <c r="B1401" s="129" t="s">
        <v>4293</v>
      </c>
      <c r="C1401" s="154" t="s">
        <v>2362</v>
      </c>
      <c r="D1401" s="155" t="s">
        <v>4291</v>
      </c>
      <c r="E1401" s="84" t="s">
        <v>4294</v>
      </c>
      <c r="F1401" s="113"/>
      <c r="G1401" s="131"/>
      <c r="H1401" s="186" t="s">
        <v>1836</v>
      </c>
      <c r="I1401" s="125" t="s">
        <v>326</v>
      </c>
      <c r="J1401" s="125" t="s">
        <v>349</v>
      </c>
      <c r="K1401" s="125" t="s">
        <v>1336</v>
      </c>
      <c r="L1401" s="138" t="s">
        <v>507</v>
      </c>
      <c r="M1401" s="136" t="s">
        <v>508</v>
      </c>
    </row>
    <row r="1402" spans="1:13" s="114" customFormat="1" ht="25.5">
      <c r="A1402" s="136">
        <v>1400</v>
      </c>
      <c r="B1402" s="129" t="s">
        <v>4295</v>
      </c>
      <c r="C1402" s="146" t="s">
        <v>4296</v>
      </c>
      <c r="D1402" s="147" t="s">
        <v>4297</v>
      </c>
      <c r="E1402" s="84" t="s">
        <v>4298</v>
      </c>
      <c r="F1402" s="113"/>
      <c r="G1402" s="131"/>
      <c r="H1402" s="186" t="s">
        <v>1671</v>
      </c>
      <c r="I1402" s="125" t="s">
        <v>326</v>
      </c>
      <c r="J1402" s="136" t="s">
        <v>341</v>
      </c>
      <c r="K1402" s="125" t="s">
        <v>580</v>
      </c>
      <c r="L1402" s="138" t="s">
        <v>507</v>
      </c>
      <c r="M1402" s="136" t="s">
        <v>508</v>
      </c>
    </row>
    <row r="1403" spans="1:13" s="114" customFormat="1" ht="25.5">
      <c r="A1403" s="136">
        <v>1401</v>
      </c>
      <c r="B1403" s="129" t="s">
        <v>4299</v>
      </c>
      <c r="C1403" s="146" t="s">
        <v>4296</v>
      </c>
      <c r="D1403" s="147" t="s">
        <v>4297</v>
      </c>
      <c r="E1403" s="84" t="s">
        <v>4300</v>
      </c>
      <c r="F1403" s="118"/>
      <c r="G1403" s="131"/>
      <c r="H1403" s="186" t="s">
        <v>1671</v>
      </c>
      <c r="I1403" s="125" t="s">
        <v>326</v>
      </c>
      <c r="J1403" s="125" t="s">
        <v>341</v>
      </c>
      <c r="K1403" s="125" t="s">
        <v>580</v>
      </c>
      <c r="L1403" s="138" t="s">
        <v>507</v>
      </c>
      <c r="M1403" s="136" t="s">
        <v>508</v>
      </c>
    </row>
    <row r="1404" spans="1:13" s="114" customFormat="1" ht="25.5">
      <c r="A1404" s="136">
        <v>1402</v>
      </c>
      <c r="B1404" s="129" t="s">
        <v>4301</v>
      </c>
      <c r="C1404" s="146" t="s">
        <v>4302</v>
      </c>
      <c r="D1404" s="147" t="s">
        <v>4303</v>
      </c>
      <c r="E1404" s="84" t="s">
        <v>4304</v>
      </c>
      <c r="F1404" s="118"/>
      <c r="G1404" s="131"/>
      <c r="H1404" s="186" t="s">
        <v>2582</v>
      </c>
      <c r="I1404" s="125" t="s">
        <v>326</v>
      </c>
      <c r="J1404" s="146" t="s">
        <v>341</v>
      </c>
      <c r="K1404" s="146" t="s">
        <v>570</v>
      </c>
      <c r="L1404" s="138" t="s">
        <v>507</v>
      </c>
      <c r="M1404" s="136" t="s">
        <v>508</v>
      </c>
    </row>
    <row r="1405" spans="1:13" s="114" customFormat="1" ht="51">
      <c r="A1405" s="136">
        <v>1403</v>
      </c>
      <c r="B1405" s="129" t="s">
        <v>4305</v>
      </c>
      <c r="C1405" s="146">
        <v>4.12</v>
      </c>
      <c r="D1405" s="147" t="s">
        <v>4306</v>
      </c>
      <c r="E1405" s="84" t="s">
        <v>4307</v>
      </c>
      <c r="F1405" s="113"/>
      <c r="G1405" s="131"/>
      <c r="H1405" s="186" t="s">
        <v>1356</v>
      </c>
      <c r="I1405" s="125" t="s">
        <v>326</v>
      </c>
      <c r="J1405" s="125" t="s">
        <v>331</v>
      </c>
      <c r="K1405" s="125" t="s">
        <v>1357</v>
      </c>
      <c r="L1405" s="138" t="s">
        <v>314</v>
      </c>
      <c r="M1405" s="136" t="s">
        <v>953</v>
      </c>
    </row>
    <row r="1406" spans="1:13" s="114" customFormat="1" ht="38.25">
      <c r="A1406" s="136">
        <v>1404</v>
      </c>
      <c r="B1406" s="129" t="s">
        <v>4308</v>
      </c>
      <c r="C1406" s="146">
        <v>4.13</v>
      </c>
      <c r="D1406" s="147" t="s">
        <v>4309</v>
      </c>
      <c r="E1406" s="84" t="s">
        <v>4310</v>
      </c>
      <c r="F1406" s="113"/>
      <c r="G1406" s="131"/>
      <c r="H1406" s="186" t="s">
        <v>1330</v>
      </c>
      <c r="I1406" s="125" t="s">
        <v>326</v>
      </c>
      <c r="J1406" s="125" t="s">
        <v>352</v>
      </c>
      <c r="K1406" s="125" t="s">
        <v>781</v>
      </c>
      <c r="L1406" s="138" t="s">
        <v>507</v>
      </c>
      <c r="M1406" s="136" t="s">
        <v>508</v>
      </c>
    </row>
    <row r="1407" spans="1:13" s="114" customFormat="1" ht="38.25">
      <c r="A1407" s="136">
        <v>1405</v>
      </c>
      <c r="B1407" s="129" t="s">
        <v>4311</v>
      </c>
      <c r="C1407" s="146">
        <v>4.1399999999999997</v>
      </c>
      <c r="D1407" s="147" t="s">
        <v>4312</v>
      </c>
      <c r="E1407" s="84" t="s">
        <v>4313</v>
      </c>
      <c r="F1407" s="113"/>
      <c r="G1407" s="131"/>
      <c r="H1407" s="186" t="s">
        <v>3550</v>
      </c>
      <c r="I1407" s="125" t="s">
        <v>326</v>
      </c>
      <c r="J1407" s="125" t="s">
        <v>331</v>
      </c>
      <c r="K1407" s="125" t="s">
        <v>512</v>
      </c>
      <c r="L1407" s="138" t="s">
        <v>507</v>
      </c>
      <c r="M1407" s="136" t="s">
        <v>508</v>
      </c>
    </row>
    <row r="1408" spans="1:13" s="114" customFormat="1" ht="38.25">
      <c r="A1408" s="136">
        <v>1406</v>
      </c>
      <c r="B1408" s="129" t="s">
        <v>4314</v>
      </c>
      <c r="C1408" s="146">
        <v>4.1500000000000004</v>
      </c>
      <c r="D1408" s="147" t="s">
        <v>4315</v>
      </c>
      <c r="E1408" s="84" t="s">
        <v>4316</v>
      </c>
      <c r="F1408" s="113"/>
      <c r="G1408" s="131"/>
      <c r="H1408" s="186" t="s">
        <v>817</v>
      </c>
      <c r="I1408" s="125" t="s">
        <v>326</v>
      </c>
      <c r="J1408" s="125" t="s">
        <v>352</v>
      </c>
      <c r="K1408" s="125" t="s">
        <v>526</v>
      </c>
      <c r="L1408" s="138" t="s">
        <v>507</v>
      </c>
      <c r="M1408" s="136" t="s">
        <v>508</v>
      </c>
    </row>
    <row r="1409" spans="1:13" s="114" customFormat="1" ht="25.5">
      <c r="A1409" s="136">
        <v>1407</v>
      </c>
      <c r="B1409" s="129" t="s">
        <v>4317</v>
      </c>
      <c r="C1409" s="146">
        <v>4.16</v>
      </c>
      <c r="D1409" s="147" t="s">
        <v>4318</v>
      </c>
      <c r="E1409" s="84" t="s">
        <v>4319</v>
      </c>
      <c r="F1409" s="113"/>
      <c r="G1409" s="131"/>
      <c r="H1409" s="186" t="s">
        <v>1671</v>
      </c>
      <c r="I1409" s="125" t="s">
        <v>326</v>
      </c>
      <c r="J1409" s="125" t="s">
        <v>341</v>
      </c>
      <c r="K1409" s="125" t="s">
        <v>580</v>
      </c>
      <c r="L1409" s="138" t="s">
        <v>507</v>
      </c>
      <c r="M1409" s="136" t="s">
        <v>508</v>
      </c>
    </row>
    <row r="1410" spans="1:13" s="114" customFormat="1" ht="25.5">
      <c r="A1410" s="136">
        <v>1408</v>
      </c>
      <c r="B1410" s="129" t="s">
        <v>4320</v>
      </c>
      <c r="C1410" s="146">
        <v>4.17</v>
      </c>
      <c r="D1410" s="147" t="s">
        <v>4321</v>
      </c>
      <c r="E1410" s="84" t="s">
        <v>4322</v>
      </c>
      <c r="F1410" s="113"/>
      <c r="G1410" s="131"/>
      <c r="H1410" s="186" t="s">
        <v>1175</v>
      </c>
      <c r="I1410" s="125" t="s">
        <v>326</v>
      </c>
      <c r="J1410" s="125" t="s">
        <v>331</v>
      </c>
      <c r="K1410" s="125" t="s">
        <v>1178</v>
      </c>
      <c r="L1410" s="138" t="s">
        <v>507</v>
      </c>
      <c r="M1410" s="136" t="s">
        <v>508</v>
      </c>
    </row>
    <row r="1411" spans="1:13" s="114" customFormat="1" ht="38.25">
      <c r="A1411" s="136">
        <v>1409</v>
      </c>
      <c r="B1411" s="129" t="s">
        <v>4323</v>
      </c>
      <c r="C1411" s="146">
        <v>4.18</v>
      </c>
      <c r="D1411" s="147" t="s">
        <v>4324</v>
      </c>
      <c r="E1411" s="84" t="s">
        <v>4325</v>
      </c>
      <c r="F1411" s="113"/>
      <c r="G1411" s="131"/>
      <c r="H1411" s="186" t="s">
        <v>2582</v>
      </c>
      <c r="I1411" s="125" t="s">
        <v>326</v>
      </c>
      <c r="J1411" s="125" t="s">
        <v>341</v>
      </c>
      <c r="K1411" s="125" t="s">
        <v>570</v>
      </c>
      <c r="L1411" s="138" t="s">
        <v>507</v>
      </c>
      <c r="M1411" s="136" t="s">
        <v>508</v>
      </c>
    </row>
    <row r="1412" spans="1:13" s="114" customFormat="1" ht="38.25">
      <c r="A1412" s="136">
        <v>1410</v>
      </c>
      <c r="B1412" s="129" t="s">
        <v>4326</v>
      </c>
      <c r="C1412" s="129">
        <v>13</v>
      </c>
      <c r="D1412" s="137" t="s">
        <v>4327</v>
      </c>
      <c r="E1412" s="84" t="s">
        <v>4328</v>
      </c>
      <c r="F1412" s="113"/>
      <c r="G1412" s="131"/>
      <c r="H1412" s="186" t="s">
        <v>1308</v>
      </c>
      <c r="I1412" s="125" t="s">
        <v>326</v>
      </c>
      <c r="J1412" s="125" t="s">
        <v>346</v>
      </c>
      <c r="K1412" s="125" t="s">
        <v>1309</v>
      </c>
      <c r="L1412" s="138" t="s">
        <v>507</v>
      </c>
      <c r="M1412" s="136" t="s">
        <v>508</v>
      </c>
    </row>
    <row r="1413" spans="1:13" s="114" customFormat="1" ht="38.25">
      <c r="A1413" s="136">
        <v>1411</v>
      </c>
      <c r="B1413" s="129" t="s">
        <v>4329</v>
      </c>
      <c r="C1413" s="129">
        <v>14.1</v>
      </c>
      <c r="D1413" s="137" t="s">
        <v>4330</v>
      </c>
      <c r="E1413" s="84" t="s">
        <v>4331</v>
      </c>
      <c r="F1413" s="113"/>
      <c r="G1413" s="131"/>
      <c r="H1413" s="186" t="s">
        <v>974</v>
      </c>
      <c r="I1413" s="125" t="s">
        <v>326</v>
      </c>
      <c r="J1413" s="125" t="s">
        <v>352</v>
      </c>
      <c r="K1413" s="125" t="s">
        <v>597</v>
      </c>
      <c r="L1413" s="138" t="s">
        <v>314</v>
      </c>
      <c r="M1413" s="136" t="s">
        <v>508</v>
      </c>
    </row>
    <row r="1414" spans="1:13" s="114" customFormat="1" ht="25.5">
      <c r="A1414" s="136">
        <v>1412</v>
      </c>
      <c r="B1414" s="129" t="s">
        <v>4332</v>
      </c>
      <c r="C1414" s="129">
        <v>14.5</v>
      </c>
      <c r="D1414" s="137" t="s">
        <v>4330</v>
      </c>
      <c r="E1414" s="84" t="s">
        <v>4333</v>
      </c>
      <c r="F1414" s="113"/>
      <c r="G1414" s="131"/>
      <c r="H1414" s="186" t="s">
        <v>3311</v>
      </c>
      <c r="I1414" s="125" t="s">
        <v>326</v>
      </c>
      <c r="J1414" s="125" t="s">
        <v>346</v>
      </c>
      <c r="K1414" s="125" t="s">
        <v>761</v>
      </c>
      <c r="L1414" s="138" t="s">
        <v>507</v>
      </c>
      <c r="M1414" s="136" t="s">
        <v>508</v>
      </c>
    </row>
    <row r="1415" spans="1:13" s="114" customFormat="1" ht="25.5">
      <c r="A1415" s="136">
        <v>1413</v>
      </c>
      <c r="B1415" s="129" t="s">
        <v>4334</v>
      </c>
      <c r="C1415" s="129">
        <v>14.7</v>
      </c>
      <c r="D1415" s="137" t="s">
        <v>4330</v>
      </c>
      <c r="E1415" s="84" t="s">
        <v>4335</v>
      </c>
      <c r="F1415" s="113"/>
      <c r="G1415" s="131"/>
      <c r="H1415" s="186" t="s">
        <v>1525</v>
      </c>
      <c r="I1415" s="125" t="s">
        <v>326</v>
      </c>
      <c r="J1415" s="125" t="s">
        <v>341</v>
      </c>
      <c r="K1415" s="125" t="s">
        <v>1526</v>
      </c>
      <c r="L1415" s="138" t="s">
        <v>507</v>
      </c>
      <c r="M1415" s="136" t="s">
        <v>508</v>
      </c>
    </row>
    <row r="1416" spans="1:13" s="114" customFormat="1" ht="63.75">
      <c r="A1416" s="136">
        <v>1414</v>
      </c>
      <c r="B1416" s="129" t="s">
        <v>4336</v>
      </c>
      <c r="C1416" s="129">
        <v>17.100000000000001</v>
      </c>
      <c r="D1416" s="137" t="s">
        <v>4337</v>
      </c>
      <c r="E1416" s="84" t="s">
        <v>4338</v>
      </c>
      <c r="F1416" s="113"/>
      <c r="G1416" s="131"/>
      <c r="H1416" s="186" t="s">
        <v>1531</v>
      </c>
      <c r="I1416" s="125" t="s">
        <v>326</v>
      </c>
      <c r="J1416" s="125" t="s">
        <v>346</v>
      </c>
      <c r="K1416" s="125" t="s">
        <v>761</v>
      </c>
      <c r="L1416" s="138" t="s">
        <v>507</v>
      </c>
      <c r="M1416" s="136" t="s">
        <v>508</v>
      </c>
    </row>
    <row r="1417" spans="1:13" s="114" customFormat="1" ht="63.75">
      <c r="A1417" s="136">
        <v>1415</v>
      </c>
      <c r="B1417" s="129" t="s">
        <v>4339</v>
      </c>
      <c r="C1417" s="129">
        <v>17.399999999999999</v>
      </c>
      <c r="D1417" s="137" t="s">
        <v>4337</v>
      </c>
      <c r="E1417" s="84" t="s">
        <v>4340</v>
      </c>
      <c r="F1417" s="113"/>
      <c r="G1417" s="131"/>
      <c r="H1417" s="186" t="s">
        <v>1051</v>
      </c>
      <c r="I1417" s="125" t="s">
        <v>326</v>
      </c>
      <c r="J1417" s="125" t="s">
        <v>352</v>
      </c>
      <c r="K1417" s="125" t="s">
        <v>1044</v>
      </c>
      <c r="L1417" s="138" t="s">
        <v>507</v>
      </c>
      <c r="M1417" s="136" t="s">
        <v>508</v>
      </c>
    </row>
    <row r="1418" spans="1:13" s="114" customFormat="1" ht="38.25">
      <c r="A1418" s="136">
        <v>1416</v>
      </c>
      <c r="B1418" s="129" t="s">
        <v>4341</v>
      </c>
      <c r="C1418" s="129">
        <v>18.8</v>
      </c>
      <c r="D1418" s="137" t="s">
        <v>4342</v>
      </c>
      <c r="E1418" s="84" t="s">
        <v>4343</v>
      </c>
      <c r="F1418" s="113"/>
      <c r="G1418" s="131"/>
      <c r="H1418" s="186" t="s">
        <v>543</v>
      </c>
      <c r="I1418" s="125" t="s">
        <v>326</v>
      </c>
      <c r="J1418" s="125" t="s">
        <v>331</v>
      </c>
      <c r="K1418" s="125" t="s">
        <v>512</v>
      </c>
      <c r="L1418" s="138" t="s">
        <v>507</v>
      </c>
      <c r="M1418" s="136" t="s">
        <v>508</v>
      </c>
    </row>
    <row r="1419" spans="1:13" s="114" customFormat="1" ht="38.25">
      <c r="A1419" s="136">
        <v>1417</v>
      </c>
      <c r="B1419" s="129" t="s">
        <v>4344</v>
      </c>
      <c r="C1419" s="125">
        <v>5.0999999999999996</v>
      </c>
      <c r="D1419" s="137" t="s">
        <v>4345</v>
      </c>
      <c r="E1419" s="84" t="s">
        <v>4346</v>
      </c>
      <c r="F1419" s="113"/>
      <c r="G1419" s="131"/>
      <c r="H1419" s="186" t="s">
        <v>3550</v>
      </c>
      <c r="I1419" s="125" t="s">
        <v>319</v>
      </c>
      <c r="J1419" s="125" t="s">
        <v>331</v>
      </c>
      <c r="K1419" s="125" t="s">
        <v>512</v>
      </c>
      <c r="L1419" s="138" t="s">
        <v>507</v>
      </c>
      <c r="M1419" s="136" t="s">
        <v>508</v>
      </c>
    </row>
    <row r="1420" spans="1:13" s="114" customFormat="1" ht="51">
      <c r="A1420" s="136">
        <v>1418</v>
      </c>
      <c r="B1420" s="129" t="s">
        <v>4347</v>
      </c>
      <c r="C1420" s="125">
        <v>5.0999999999999996</v>
      </c>
      <c r="D1420" s="137" t="s">
        <v>4345</v>
      </c>
      <c r="E1420" s="84" t="s">
        <v>4348</v>
      </c>
      <c r="F1420" s="113"/>
      <c r="G1420" s="131"/>
      <c r="H1420" s="186" t="s">
        <v>690</v>
      </c>
      <c r="I1420" s="125" t="s">
        <v>319</v>
      </c>
      <c r="J1420" s="125" t="s">
        <v>331</v>
      </c>
      <c r="K1420" s="125" t="s">
        <v>530</v>
      </c>
      <c r="L1420" s="138" t="s">
        <v>507</v>
      </c>
      <c r="M1420" s="136" t="s">
        <v>508</v>
      </c>
    </row>
    <row r="1421" spans="1:13" s="114" customFormat="1" ht="12.75">
      <c r="A1421" s="136">
        <v>1419</v>
      </c>
      <c r="B1421" s="129" t="s">
        <v>4349</v>
      </c>
      <c r="C1421" s="125">
        <v>5.0999999999999996</v>
      </c>
      <c r="D1421" s="137" t="s">
        <v>4345</v>
      </c>
      <c r="E1421" s="84" t="s">
        <v>4350</v>
      </c>
      <c r="F1421" s="113"/>
      <c r="G1421" s="131"/>
      <c r="H1421" s="186" t="s">
        <v>2582</v>
      </c>
      <c r="I1421" s="125" t="s">
        <v>319</v>
      </c>
      <c r="J1421" s="125" t="s">
        <v>341</v>
      </c>
      <c r="K1421" s="125" t="s">
        <v>570</v>
      </c>
      <c r="L1421" s="138" t="s">
        <v>507</v>
      </c>
      <c r="M1421" s="136" t="s">
        <v>508</v>
      </c>
    </row>
    <row r="1422" spans="1:13" s="114" customFormat="1" ht="38.25">
      <c r="A1422" s="136">
        <v>1420</v>
      </c>
      <c r="B1422" s="129" t="s">
        <v>4351</v>
      </c>
      <c r="C1422" s="125">
        <v>5.0999999999999996</v>
      </c>
      <c r="D1422" s="137" t="s">
        <v>4345</v>
      </c>
      <c r="E1422" s="84" t="s">
        <v>4352</v>
      </c>
      <c r="F1422" s="113"/>
      <c r="G1422" s="131"/>
      <c r="H1422" s="186" t="s">
        <v>535</v>
      </c>
      <c r="I1422" s="125" t="s">
        <v>319</v>
      </c>
      <c r="J1422" s="125" t="s">
        <v>331</v>
      </c>
      <c r="K1422" s="125" t="s">
        <v>512</v>
      </c>
      <c r="L1422" s="138" t="s">
        <v>507</v>
      </c>
      <c r="M1422" s="136" t="s">
        <v>508</v>
      </c>
    </row>
    <row r="1423" spans="1:13" s="114" customFormat="1" ht="51">
      <c r="A1423" s="136">
        <v>1421</v>
      </c>
      <c r="B1423" s="129" t="s">
        <v>4353</v>
      </c>
      <c r="C1423" s="125">
        <v>5.0999999999999996</v>
      </c>
      <c r="D1423" s="137" t="s">
        <v>4345</v>
      </c>
      <c r="E1423" s="84" t="s">
        <v>4354</v>
      </c>
      <c r="F1423" s="113"/>
      <c r="G1423" s="131"/>
      <c r="H1423" s="186" t="s">
        <v>689</v>
      </c>
      <c r="I1423" s="125" t="s">
        <v>319</v>
      </c>
      <c r="J1423" s="125" t="s">
        <v>331</v>
      </c>
      <c r="K1423" s="125" t="s">
        <v>530</v>
      </c>
      <c r="L1423" s="138" t="s">
        <v>507</v>
      </c>
      <c r="M1423" s="136" t="s">
        <v>508</v>
      </c>
    </row>
    <row r="1424" spans="1:13" s="114" customFormat="1" ht="51">
      <c r="A1424" s="136">
        <v>1422</v>
      </c>
      <c r="B1424" s="129" t="s">
        <v>4355</v>
      </c>
      <c r="C1424" s="125">
        <v>5.0999999999999996</v>
      </c>
      <c r="D1424" s="137" t="s">
        <v>4345</v>
      </c>
      <c r="E1424" s="84" t="s">
        <v>4356</v>
      </c>
      <c r="F1424" s="113"/>
      <c r="G1424" s="131"/>
      <c r="H1424" s="186" t="s">
        <v>689</v>
      </c>
      <c r="I1424" s="125" t="s">
        <v>319</v>
      </c>
      <c r="J1424" s="125" t="s">
        <v>331</v>
      </c>
      <c r="K1424" s="125" t="s">
        <v>530</v>
      </c>
      <c r="L1424" s="138" t="s">
        <v>507</v>
      </c>
      <c r="M1424" s="136" t="s">
        <v>508</v>
      </c>
    </row>
    <row r="1425" spans="1:13" s="114" customFormat="1" ht="25.5">
      <c r="A1425" s="136">
        <v>1423</v>
      </c>
      <c r="B1425" s="129" t="s">
        <v>4357</v>
      </c>
      <c r="C1425" s="125">
        <v>5.2</v>
      </c>
      <c r="D1425" s="137" t="s">
        <v>4358</v>
      </c>
      <c r="E1425" s="84" t="s">
        <v>4359</v>
      </c>
      <c r="F1425" s="113"/>
      <c r="G1425" s="131"/>
      <c r="H1425" s="186" t="s">
        <v>889</v>
      </c>
      <c r="I1425" s="125" t="s">
        <v>319</v>
      </c>
      <c r="J1425" s="125" t="s">
        <v>352</v>
      </c>
      <c r="K1425" s="125" t="s">
        <v>526</v>
      </c>
      <c r="L1425" s="138" t="s">
        <v>507</v>
      </c>
      <c r="M1425" s="136" t="s">
        <v>508</v>
      </c>
    </row>
    <row r="1426" spans="1:13" s="114" customFormat="1" ht="25.5">
      <c r="A1426" s="136">
        <v>1424</v>
      </c>
      <c r="B1426" s="129" t="s">
        <v>4360</v>
      </c>
      <c r="C1426" s="125">
        <v>5.2</v>
      </c>
      <c r="D1426" s="137" t="s">
        <v>4358</v>
      </c>
      <c r="E1426" s="84" t="s">
        <v>4361</v>
      </c>
      <c r="F1426" s="113"/>
      <c r="G1426" s="131"/>
      <c r="H1426" s="186" t="s">
        <v>817</v>
      </c>
      <c r="I1426" s="125" t="s">
        <v>319</v>
      </c>
      <c r="J1426" s="125" t="s">
        <v>352</v>
      </c>
      <c r="K1426" s="125" t="s">
        <v>526</v>
      </c>
      <c r="L1426" s="138" t="s">
        <v>507</v>
      </c>
      <c r="M1426" s="136" t="s">
        <v>508</v>
      </c>
    </row>
    <row r="1427" spans="1:13" s="114" customFormat="1" ht="25.5">
      <c r="A1427" s="136">
        <v>1425</v>
      </c>
      <c r="B1427" s="129" t="s">
        <v>4362</v>
      </c>
      <c r="C1427" s="125">
        <v>5.2</v>
      </c>
      <c r="D1427" s="137" t="s">
        <v>4358</v>
      </c>
      <c r="E1427" s="84" t="s">
        <v>4363</v>
      </c>
      <c r="F1427" s="113"/>
      <c r="G1427" s="131"/>
      <c r="H1427" s="186" t="s">
        <v>2314</v>
      </c>
      <c r="I1427" s="125" t="s">
        <v>319</v>
      </c>
      <c r="J1427" s="125" t="s">
        <v>341</v>
      </c>
      <c r="K1427" s="125" t="s">
        <v>580</v>
      </c>
      <c r="L1427" s="138" t="s">
        <v>507</v>
      </c>
      <c r="M1427" s="136" t="s">
        <v>508</v>
      </c>
    </row>
    <row r="1428" spans="1:13" s="114" customFormat="1" ht="38.25">
      <c r="A1428" s="136">
        <v>1426</v>
      </c>
      <c r="B1428" s="129" t="s">
        <v>4364</v>
      </c>
      <c r="C1428" s="125">
        <v>5.2</v>
      </c>
      <c r="D1428" s="137" t="s">
        <v>4358</v>
      </c>
      <c r="E1428" s="84" t="s">
        <v>4365</v>
      </c>
      <c r="F1428" s="113"/>
      <c r="G1428" s="131"/>
      <c r="H1428" s="186" t="s">
        <v>884</v>
      </c>
      <c r="I1428" s="125" t="s">
        <v>319</v>
      </c>
      <c r="J1428" s="125" t="s">
        <v>331</v>
      </c>
      <c r="K1428" s="125" t="s">
        <v>512</v>
      </c>
      <c r="L1428" s="138" t="s">
        <v>507</v>
      </c>
      <c r="M1428" s="136" t="s">
        <v>508</v>
      </c>
    </row>
    <row r="1429" spans="1:13" s="114" customFormat="1" ht="25.5">
      <c r="A1429" s="136">
        <v>1427</v>
      </c>
      <c r="B1429" s="129" t="s">
        <v>4366</v>
      </c>
      <c r="C1429" s="125">
        <v>5.2</v>
      </c>
      <c r="D1429" s="137" t="s">
        <v>4358</v>
      </c>
      <c r="E1429" s="84" t="s">
        <v>4367</v>
      </c>
      <c r="F1429" s="113"/>
      <c r="G1429" s="131"/>
      <c r="H1429" s="186" t="s">
        <v>2314</v>
      </c>
      <c r="I1429" s="125" t="s">
        <v>319</v>
      </c>
      <c r="J1429" s="125" t="s">
        <v>341</v>
      </c>
      <c r="K1429" s="125" t="s">
        <v>580</v>
      </c>
      <c r="L1429" s="138" t="s">
        <v>507</v>
      </c>
      <c r="M1429" s="136" t="s">
        <v>508</v>
      </c>
    </row>
    <row r="1430" spans="1:13" s="114" customFormat="1" ht="38.25">
      <c r="A1430" s="136">
        <v>1428</v>
      </c>
      <c r="B1430" s="129" t="s">
        <v>4368</v>
      </c>
      <c r="C1430" s="125">
        <v>5.3</v>
      </c>
      <c r="D1430" s="137" t="s">
        <v>4369</v>
      </c>
      <c r="E1430" s="84" t="s">
        <v>4370</v>
      </c>
      <c r="F1430" s="113"/>
      <c r="G1430" s="131"/>
      <c r="H1430" s="186" t="s">
        <v>509</v>
      </c>
      <c r="I1430" s="125" t="s">
        <v>319</v>
      </c>
      <c r="J1430" s="125" t="s">
        <v>331</v>
      </c>
      <c r="K1430" s="125" t="s">
        <v>512</v>
      </c>
      <c r="L1430" s="138" t="s">
        <v>507</v>
      </c>
      <c r="M1430" s="136" t="s">
        <v>508</v>
      </c>
    </row>
    <row r="1431" spans="1:13" s="114" customFormat="1" ht="38.25">
      <c r="A1431" s="136">
        <v>1429</v>
      </c>
      <c r="B1431" s="129" t="s">
        <v>4371</v>
      </c>
      <c r="C1431" s="125">
        <v>5.3</v>
      </c>
      <c r="D1431" s="137" t="s">
        <v>4369</v>
      </c>
      <c r="E1431" s="84" t="s">
        <v>4372</v>
      </c>
      <c r="F1431" s="113"/>
      <c r="G1431" s="131"/>
      <c r="H1431" s="186" t="s">
        <v>543</v>
      </c>
      <c r="I1431" s="125" t="s">
        <v>319</v>
      </c>
      <c r="J1431" s="125" t="s">
        <v>331</v>
      </c>
      <c r="K1431" s="125" t="s">
        <v>512</v>
      </c>
      <c r="L1431" s="138" t="s">
        <v>507</v>
      </c>
      <c r="M1431" s="136" t="s">
        <v>508</v>
      </c>
    </row>
    <row r="1432" spans="1:13" s="114" customFormat="1" ht="38.25">
      <c r="A1432" s="136">
        <v>1430</v>
      </c>
      <c r="B1432" s="129" t="s">
        <v>4373</v>
      </c>
      <c r="C1432" s="125">
        <v>5.4</v>
      </c>
      <c r="D1432" s="137" t="s">
        <v>4374</v>
      </c>
      <c r="E1432" s="84" t="s">
        <v>4375</v>
      </c>
      <c r="F1432" s="113"/>
      <c r="G1432" s="131"/>
      <c r="H1432" s="186" t="s">
        <v>535</v>
      </c>
      <c r="I1432" s="125" t="s">
        <v>319</v>
      </c>
      <c r="J1432" s="125" t="s">
        <v>331</v>
      </c>
      <c r="K1432" s="125" t="s">
        <v>512</v>
      </c>
      <c r="L1432" s="107" t="s">
        <v>507</v>
      </c>
      <c r="M1432" s="136" t="s">
        <v>508</v>
      </c>
    </row>
    <row r="1433" spans="1:13" s="114" customFormat="1" ht="25.5">
      <c r="A1433" s="136">
        <v>1431</v>
      </c>
      <c r="B1433" s="129" t="s">
        <v>4376</v>
      </c>
      <c r="C1433" s="125">
        <v>5.5</v>
      </c>
      <c r="D1433" s="137" t="s">
        <v>4377</v>
      </c>
      <c r="E1433" s="84" t="s">
        <v>4378</v>
      </c>
      <c r="F1433" s="113"/>
      <c r="G1433" s="131"/>
      <c r="H1433" s="186" t="s">
        <v>1836</v>
      </c>
      <c r="I1433" s="125" t="s">
        <v>319</v>
      </c>
      <c r="J1433" s="125" t="s">
        <v>349</v>
      </c>
      <c r="K1433" s="125" t="s">
        <v>1336</v>
      </c>
      <c r="L1433" s="138" t="s">
        <v>507</v>
      </c>
      <c r="M1433" s="136" t="s">
        <v>508</v>
      </c>
    </row>
    <row r="1434" spans="1:13" s="114" customFormat="1" ht="25.5">
      <c r="A1434" s="136">
        <v>1432</v>
      </c>
      <c r="B1434" s="129" t="s">
        <v>4379</v>
      </c>
      <c r="C1434" s="125">
        <v>5.6</v>
      </c>
      <c r="D1434" s="137" t="s">
        <v>4380</v>
      </c>
      <c r="E1434" s="84" t="s">
        <v>4381</v>
      </c>
      <c r="F1434" s="113"/>
      <c r="G1434" s="131"/>
      <c r="H1434" s="186" t="s">
        <v>2055</v>
      </c>
      <c r="I1434" s="125" t="s">
        <v>319</v>
      </c>
      <c r="J1434" s="125" t="s">
        <v>341</v>
      </c>
      <c r="K1434" s="125" t="s">
        <v>580</v>
      </c>
      <c r="L1434" s="138" t="s">
        <v>507</v>
      </c>
      <c r="M1434" s="136" t="s">
        <v>508</v>
      </c>
    </row>
    <row r="1435" spans="1:13" s="114" customFormat="1" ht="38.25">
      <c r="A1435" s="136">
        <v>1433</v>
      </c>
      <c r="B1435" s="129" t="s">
        <v>4382</v>
      </c>
      <c r="C1435" s="125">
        <v>5.7</v>
      </c>
      <c r="D1435" s="137" t="s">
        <v>4383</v>
      </c>
      <c r="E1435" s="84" t="s">
        <v>4384</v>
      </c>
      <c r="F1435" s="113"/>
      <c r="G1435" s="131"/>
      <c r="H1435" s="186" t="s">
        <v>1617</v>
      </c>
      <c r="I1435" s="125" t="s">
        <v>319</v>
      </c>
      <c r="J1435" s="125" t="s">
        <v>352</v>
      </c>
      <c r="K1435" s="125" t="s">
        <v>561</v>
      </c>
      <c r="L1435" s="138" t="s">
        <v>507</v>
      </c>
      <c r="M1435" s="136" t="s">
        <v>508</v>
      </c>
    </row>
    <row r="1436" spans="1:13" s="114" customFormat="1" ht="38.25">
      <c r="A1436" s="136">
        <v>1434</v>
      </c>
      <c r="B1436" s="129" t="s">
        <v>4385</v>
      </c>
      <c r="C1436" s="125">
        <v>5.8</v>
      </c>
      <c r="D1436" s="137" t="s">
        <v>4386</v>
      </c>
      <c r="E1436" s="84" t="s">
        <v>4387</v>
      </c>
      <c r="F1436" s="157"/>
      <c r="G1436" s="131"/>
      <c r="H1436" s="186" t="s">
        <v>2356</v>
      </c>
      <c r="I1436" s="125" t="s">
        <v>319</v>
      </c>
      <c r="J1436" s="125" t="s">
        <v>331</v>
      </c>
      <c r="K1436" s="125" t="s">
        <v>512</v>
      </c>
      <c r="L1436" s="138" t="s">
        <v>507</v>
      </c>
      <c r="M1436" s="136" t="s">
        <v>508</v>
      </c>
    </row>
    <row r="1437" spans="1:13" s="114" customFormat="1" ht="38.25">
      <c r="A1437" s="136">
        <v>1435</v>
      </c>
      <c r="B1437" s="129" t="s">
        <v>4388</v>
      </c>
      <c r="C1437" s="125">
        <v>5.8</v>
      </c>
      <c r="D1437" s="137" t="s">
        <v>4386</v>
      </c>
      <c r="E1437" s="84" t="s">
        <v>4389</v>
      </c>
      <c r="F1437" s="157"/>
      <c r="G1437" s="131"/>
      <c r="H1437" s="186" t="s">
        <v>2356</v>
      </c>
      <c r="I1437" s="125" t="s">
        <v>319</v>
      </c>
      <c r="J1437" s="125" t="s">
        <v>331</v>
      </c>
      <c r="K1437" s="125" t="s">
        <v>512</v>
      </c>
      <c r="L1437" s="138" t="s">
        <v>507</v>
      </c>
      <c r="M1437" s="136" t="s">
        <v>508</v>
      </c>
    </row>
    <row r="1438" spans="1:13" s="114" customFormat="1" ht="38.25">
      <c r="A1438" s="136">
        <v>1436</v>
      </c>
      <c r="B1438" s="129" t="s">
        <v>4390</v>
      </c>
      <c r="C1438" s="125">
        <v>5.8</v>
      </c>
      <c r="D1438" s="137" t="s">
        <v>4386</v>
      </c>
      <c r="E1438" s="84" t="s">
        <v>4391</v>
      </c>
      <c r="F1438" s="157"/>
      <c r="G1438" s="131"/>
      <c r="H1438" s="186" t="s">
        <v>2356</v>
      </c>
      <c r="I1438" s="125" t="s">
        <v>319</v>
      </c>
      <c r="J1438" s="125" t="s">
        <v>331</v>
      </c>
      <c r="K1438" s="125" t="s">
        <v>512</v>
      </c>
      <c r="L1438" s="138" t="s">
        <v>507</v>
      </c>
      <c r="M1438" s="136" t="s">
        <v>508</v>
      </c>
    </row>
    <row r="1439" spans="1:13" s="114" customFormat="1" ht="38.25">
      <c r="A1439" s="136">
        <v>1437</v>
      </c>
      <c r="B1439" s="129" t="s">
        <v>4392</v>
      </c>
      <c r="C1439" s="125">
        <v>5.8</v>
      </c>
      <c r="D1439" s="137" t="s">
        <v>4386</v>
      </c>
      <c r="E1439" s="84" t="s">
        <v>4393</v>
      </c>
      <c r="F1439" s="157"/>
      <c r="G1439" s="131"/>
      <c r="H1439" s="186" t="s">
        <v>2356</v>
      </c>
      <c r="I1439" s="125" t="s">
        <v>319</v>
      </c>
      <c r="J1439" s="125" t="s">
        <v>331</v>
      </c>
      <c r="K1439" s="125" t="s">
        <v>512</v>
      </c>
      <c r="L1439" s="138" t="s">
        <v>507</v>
      </c>
      <c r="M1439" s="136" t="s">
        <v>508</v>
      </c>
    </row>
    <row r="1440" spans="1:13" s="114" customFormat="1" ht="25.5">
      <c r="A1440" s="136">
        <v>1438</v>
      </c>
      <c r="B1440" s="129" t="s">
        <v>4394</v>
      </c>
      <c r="C1440" s="125">
        <v>5.9</v>
      </c>
      <c r="D1440" s="139" t="s">
        <v>4395</v>
      </c>
      <c r="E1440" s="84" t="s">
        <v>4396</v>
      </c>
      <c r="F1440" s="113"/>
      <c r="G1440" s="131"/>
      <c r="H1440" s="186" t="s">
        <v>1671</v>
      </c>
      <c r="I1440" s="125" t="s">
        <v>319</v>
      </c>
      <c r="J1440" s="125" t="s">
        <v>341</v>
      </c>
      <c r="K1440" s="125" t="s">
        <v>580</v>
      </c>
      <c r="L1440" s="138" t="s">
        <v>507</v>
      </c>
      <c r="M1440" s="136" t="s">
        <v>508</v>
      </c>
    </row>
    <row r="1441" spans="1:13" s="114" customFormat="1" ht="51">
      <c r="A1441" s="136">
        <v>1439</v>
      </c>
      <c r="B1441" s="129" t="s">
        <v>4397</v>
      </c>
      <c r="C1441" s="158">
        <v>5.0999999999999996</v>
      </c>
      <c r="D1441" s="137" t="s">
        <v>4398</v>
      </c>
      <c r="E1441" s="84" t="s">
        <v>4399</v>
      </c>
      <c r="F1441" s="113"/>
      <c r="G1441" s="131"/>
      <c r="H1441" s="186" t="s">
        <v>2632</v>
      </c>
      <c r="I1441" s="125" t="s">
        <v>326</v>
      </c>
      <c r="J1441" s="125" t="s">
        <v>346</v>
      </c>
      <c r="K1441" s="125" t="s">
        <v>1465</v>
      </c>
      <c r="L1441" s="138" t="s">
        <v>314</v>
      </c>
      <c r="M1441" s="136" t="s">
        <v>953</v>
      </c>
    </row>
    <row r="1442" spans="1:13" s="114" customFormat="1" ht="38.25">
      <c r="A1442" s="136">
        <v>1440</v>
      </c>
      <c r="B1442" s="129" t="s">
        <v>4400</v>
      </c>
      <c r="C1442" s="125">
        <v>5.1100000000000003</v>
      </c>
      <c r="D1442" s="137" t="s">
        <v>4401</v>
      </c>
      <c r="E1442" s="84" t="s">
        <v>4402</v>
      </c>
      <c r="F1442" s="113"/>
      <c r="G1442" s="131"/>
      <c r="H1442" s="186" t="s">
        <v>501</v>
      </c>
      <c r="I1442" s="125" t="s">
        <v>319</v>
      </c>
      <c r="J1442" s="125" t="s">
        <v>331</v>
      </c>
      <c r="K1442" s="125" t="s">
        <v>506</v>
      </c>
      <c r="L1442" s="138" t="s">
        <v>507</v>
      </c>
      <c r="M1442" s="136" t="s">
        <v>508</v>
      </c>
    </row>
    <row r="1443" spans="1:13" s="114" customFormat="1" ht="51">
      <c r="A1443" s="136">
        <v>1441</v>
      </c>
      <c r="B1443" s="129" t="s">
        <v>4403</v>
      </c>
      <c r="C1443" s="125">
        <v>5.1100000000000003</v>
      </c>
      <c r="D1443" s="137" t="s">
        <v>4401</v>
      </c>
      <c r="E1443" s="84" t="s">
        <v>4404</v>
      </c>
      <c r="F1443" s="113"/>
      <c r="G1443" s="131"/>
      <c r="H1443" s="186" t="s">
        <v>608</v>
      </c>
      <c r="I1443" s="125" t="s">
        <v>319</v>
      </c>
      <c r="J1443" s="125" t="s">
        <v>331</v>
      </c>
      <c r="K1443" s="125" t="s">
        <v>530</v>
      </c>
      <c r="L1443" s="138" t="s">
        <v>507</v>
      </c>
      <c r="M1443" s="136" t="s">
        <v>508</v>
      </c>
    </row>
    <row r="1444" spans="1:13" s="114" customFormat="1" ht="51">
      <c r="A1444" s="136">
        <v>1442</v>
      </c>
      <c r="B1444" s="129" t="s">
        <v>4405</v>
      </c>
      <c r="C1444" s="125">
        <v>5.1100000000000003</v>
      </c>
      <c r="D1444" s="137" t="s">
        <v>4401</v>
      </c>
      <c r="E1444" s="84" t="s">
        <v>4406</v>
      </c>
      <c r="F1444" s="113"/>
      <c r="G1444" s="131"/>
      <c r="H1444" s="186" t="s">
        <v>608</v>
      </c>
      <c r="I1444" s="125" t="s">
        <v>319</v>
      </c>
      <c r="J1444" s="125" t="s">
        <v>331</v>
      </c>
      <c r="K1444" s="125" t="s">
        <v>530</v>
      </c>
      <c r="L1444" s="138" t="s">
        <v>507</v>
      </c>
      <c r="M1444" s="136" t="s">
        <v>508</v>
      </c>
    </row>
    <row r="1445" spans="1:13" s="114" customFormat="1" ht="25.5">
      <c r="A1445" s="136">
        <v>1443</v>
      </c>
      <c r="B1445" s="129" t="s">
        <v>4407</v>
      </c>
      <c r="C1445" s="125">
        <v>5.1100000000000003</v>
      </c>
      <c r="D1445" s="137" t="s">
        <v>4401</v>
      </c>
      <c r="E1445" s="84" t="s">
        <v>4408</v>
      </c>
      <c r="F1445" s="113"/>
      <c r="G1445" s="131"/>
      <c r="H1445" s="186" t="s">
        <v>1579</v>
      </c>
      <c r="I1445" s="125" t="s">
        <v>327</v>
      </c>
      <c r="J1445" s="125" t="s">
        <v>337</v>
      </c>
      <c r="K1445" s="125" t="s">
        <v>1440</v>
      </c>
      <c r="L1445" s="138" t="s">
        <v>507</v>
      </c>
      <c r="M1445" s="136" t="s">
        <v>508</v>
      </c>
    </row>
    <row r="1446" spans="1:13" s="114" customFormat="1" ht="38.25">
      <c r="A1446" s="136">
        <v>1444</v>
      </c>
      <c r="B1446" s="129" t="s">
        <v>4409</v>
      </c>
      <c r="C1446" s="125">
        <v>5.12</v>
      </c>
      <c r="D1446" s="137" t="s">
        <v>4410</v>
      </c>
      <c r="E1446" s="84" t="s">
        <v>4411</v>
      </c>
      <c r="F1446" s="113"/>
      <c r="G1446" s="131"/>
      <c r="H1446" s="186" t="s">
        <v>509</v>
      </c>
      <c r="I1446" s="125" t="s">
        <v>319</v>
      </c>
      <c r="J1446" s="125" t="s">
        <v>331</v>
      </c>
      <c r="K1446" s="125" t="s">
        <v>512</v>
      </c>
      <c r="L1446" s="138" t="s">
        <v>507</v>
      </c>
      <c r="M1446" s="136" t="s">
        <v>508</v>
      </c>
    </row>
    <row r="1447" spans="1:13" s="114" customFormat="1" ht="38.25">
      <c r="A1447" s="136">
        <v>1445</v>
      </c>
      <c r="B1447" s="129" t="s">
        <v>4412</v>
      </c>
      <c r="C1447" s="125">
        <v>5.12</v>
      </c>
      <c r="D1447" s="137" t="s">
        <v>4410</v>
      </c>
      <c r="E1447" s="84" t="s">
        <v>4413</v>
      </c>
      <c r="F1447" s="113"/>
      <c r="G1447" s="131"/>
      <c r="H1447" s="186" t="s">
        <v>501</v>
      </c>
      <c r="I1447" s="125" t="s">
        <v>319</v>
      </c>
      <c r="J1447" s="125" t="s">
        <v>331</v>
      </c>
      <c r="K1447" s="125" t="s">
        <v>506</v>
      </c>
      <c r="L1447" s="138" t="s">
        <v>507</v>
      </c>
      <c r="M1447" s="136" t="s">
        <v>508</v>
      </c>
    </row>
    <row r="1448" spans="1:13" s="114" customFormat="1" ht="25.5">
      <c r="A1448" s="136">
        <v>1446</v>
      </c>
      <c r="B1448" s="129" t="s">
        <v>4414</v>
      </c>
      <c r="C1448" s="129">
        <v>5.13</v>
      </c>
      <c r="D1448" s="140" t="s">
        <v>4415</v>
      </c>
      <c r="E1448" s="84" t="s">
        <v>4416</v>
      </c>
      <c r="F1448" s="113"/>
      <c r="G1448" s="131"/>
      <c r="H1448" s="186" t="s">
        <v>2582</v>
      </c>
      <c r="I1448" s="125" t="s">
        <v>319</v>
      </c>
      <c r="J1448" s="125" t="s">
        <v>341</v>
      </c>
      <c r="K1448" s="125" t="s">
        <v>570</v>
      </c>
      <c r="L1448" s="138" t="s">
        <v>507</v>
      </c>
      <c r="M1448" s="136" t="s">
        <v>508</v>
      </c>
    </row>
    <row r="1449" spans="1:13" s="114" customFormat="1" ht="38.25">
      <c r="A1449" s="136">
        <v>1447</v>
      </c>
      <c r="B1449" s="129" t="s">
        <v>4417</v>
      </c>
      <c r="C1449" s="129">
        <v>5.14</v>
      </c>
      <c r="D1449" s="137" t="s">
        <v>4418</v>
      </c>
      <c r="E1449" s="84" t="s">
        <v>4419</v>
      </c>
      <c r="F1449" s="113"/>
      <c r="G1449" s="131"/>
      <c r="H1449" s="186" t="s">
        <v>1525</v>
      </c>
      <c r="I1449" s="125" t="s">
        <v>326</v>
      </c>
      <c r="J1449" s="125" t="s">
        <v>341</v>
      </c>
      <c r="K1449" s="125" t="s">
        <v>1526</v>
      </c>
      <c r="L1449" s="138" t="s">
        <v>507</v>
      </c>
      <c r="M1449" s="136" t="s">
        <v>508</v>
      </c>
    </row>
    <row r="1450" spans="1:13" s="114" customFormat="1" ht="25.5">
      <c r="A1450" s="136">
        <v>1448</v>
      </c>
      <c r="B1450" s="129" t="s">
        <v>4420</v>
      </c>
      <c r="C1450" s="129">
        <v>5.15</v>
      </c>
      <c r="D1450" s="137" t="s">
        <v>4421</v>
      </c>
      <c r="E1450" s="84" t="s">
        <v>4422</v>
      </c>
      <c r="F1450" s="113"/>
      <c r="G1450" s="131"/>
      <c r="H1450" s="186" t="s">
        <v>2575</v>
      </c>
      <c r="I1450" s="125" t="s">
        <v>319</v>
      </c>
      <c r="J1450" s="125" t="s">
        <v>352</v>
      </c>
      <c r="K1450" s="125" t="s">
        <v>1044</v>
      </c>
      <c r="L1450" s="138" t="s">
        <v>507</v>
      </c>
      <c r="M1450" s="136" t="s">
        <v>508</v>
      </c>
    </row>
    <row r="1451" spans="1:13" s="114" customFormat="1" ht="25.5">
      <c r="A1451" s="136">
        <v>1449</v>
      </c>
      <c r="B1451" s="129" t="s">
        <v>4423</v>
      </c>
      <c r="C1451" s="129">
        <v>5.17</v>
      </c>
      <c r="D1451" s="137" t="s">
        <v>4424</v>
      </c>
      <c r="E1451" s="84" t="s">
        <v>3621</v>
      </c>
      <c r="F1451" s="113"/>
      <c r="G1451" s="131"/>
      <c r="H1451" s="186" t="s">
        <v>2582</v>
      </c>
      <c r="I1451" s="125" t="s">
        <v>319</v>
      </c>
      <c r="J1451" s="125" t="s">
        <v>341</v>
      </c>
      <c r="K1451" s="125" t="s">
        <v>570</v>
      </c>
      <c r="L1451" s="138" t="s">
        <v>507</v>
      </c>
      <c r="M1451" s="136" t="s">
        <v>508</v>
      </c>
    </row>
    <row r="1452" spans="1:13" s="114" customFormat="1" ht="25.5">
      <c r="A1452" s="136">
        <v>1450</v>
      </c>
      <c r="B1452" s="129" t="s">
        <v>4425</v>
      </c>
      <c r="C1452" s="129">
        <v>5.17</v>
      </c>
      <c r="D1452" s="137" t="s">
        <v>4424</v>
      </c>
      <c r="E1452" s="84" t="s">
        <v>4426</v>
      </c>
      <c r="F1452" s="113"/>
      <c r="G1452" s="131"/>
      <c r="H1452" s="186" t="s">
        <v>2582</v>
      </c>
      <c r="I1452" s="125" t="s">
        <v>319</v>
      </c>
      <c r="J1452" s="125" t="s">
        <v>341</v>
      </c>
      <c r="K1452" s="125" t="s">
        <v>570</v>
      </c>
      <c r="L1452" s="138" t="s">
        <v>507</v>
      </c>
      <c r="M1452" s="136" t="s">
        <v>508</v>
      </c>
    </row>
    <row r="1453" spans="1:13" s="114" customFormat="1" ht="25.5">
      <c r="A1453" s="136">
        <v>1451</v>
      </c>
      <c r="B1453" s="129" t="s">
        <v>4427</v>
      </c>
      <c r="C1453" s="129">
        <v>5.17</v>
      </c>
      <c r="D1453" s="137" t="s">
        <v>4424</v>
      </c>
      <c r="E1453" s="84" t="s">
        <v>4428</v>
      </c>
      <c r="F1453" s="113"/>
      <c r="G1453" s="131"/>
      <c r="H1453" s="186" t="s">
        <v>1330</v>
      </c>
      <c r="I1453" s="125" t="s">
        <v>319</v>
      </c>
      <c r="J1453" s="125" t="s">
        <v>352</v>
      </c>
      <c r="K1453" s="125" t="s">
        <v>781</v>
      </c>
      <c r="L1453" s="138" t="s">
        <v>507</v>
      </c>
      <c r="M1453" s="136" t="s">
        <v>508</v>
      </c>
    </row>
    <row r="1454" spans="1:13" s="114" customFormat="1" ht="25.5">
      <c r="A1454" s="136">
        <v>1452</v>
      </c>
      <c r="B1454" s="129" t="s">
        <v>4429</v>
      </c>
      <c r="C1454" s="129">
        <v>5.18</v>
      </c>
      <c r="D1454" s="137" t="s">
        <v>4430</v>
      </c>
      <c r="E1454" s="84" t="s">
        <v>4431</v>
      </c>
      <c r="F1454" s="113"/>
      <c r="G1454" s="131"/>
      <c r="H1454" s="186" t="s">
        <v>2582</v>
      </c>
      <c r="I1454" s="125" t="s">
        <v>319</v>
      </c>
      <c r="J1454" s="125" t="s">
        <v>341</v>
      </c>
      <c r="K1454" s="125" t="s">
        <v>570</v>
      </c>
      <c r="L1454" s="138" t="s">
        <v>507</v>
      </c>
      <c r="M1454" s="136" t="s">
        <v>508</v>
      </c>
    </row>
    <row r="1455" spans="1:13" s="114" customFormat="1" ht="12.75">
      <c r="A1455" s="136">
        <v>1453</v>
      </c>
      <c r="B1455" s="129" t="s">
        <v>4432</v>
      </c>
      <c r="C1455" s="129">
        <v>5.19</v>
      </c>
      <c r="D1455" s="140" t="s">
        <v>4433</v>
      </c>
      <c r="E1455" s="84" t="s">
        <v>4434</v>
      </c>
      <c r="F1455" s="113"/>
      <c r="G1455" s="131"/>
      <c r="H1455" s="186" t="s">
        <v>2582</v>
      </c>
      <c r="I1455" s="125" t="s">
        <v>319</v>
      </c>
      <c r="J1455" s="125" t="s">
        <v>341</v>
      </c>
      <c r="K1455" s="125" t="s">
        <v>570</v>
      </c>
      <c r="L1455" s="138" t="s">
        <v>507</v>
      </c>
      <c r="M1455" s="136" t="s">
        <v>508</v>
      </c>
    </row>
    <row r="1456" spans="1:13" s="114" customFormat="1" ht="38.25">
      <c r="A1456" s="136">
        <v>1454</v>
      </c>
      <c r="B1456" s="129" t="s">
        <v>4435</v>
      </c>
      <c r="C1456" s="129" t="s">
        <v>4436</v>
      </c>
      <c r="D1456" s="137" t="s">
        <v>4437</v>
      </c>
      <c r="E1456" s="84" t="s">
        <v>4438</v>
      </c>
      <c r="F1456" s="118"/>
      <c r="G1456" s="131"/>
      <c r="H1456" s="186" t="s">
        <v>1735</v>
      </c>
      <c r="I1456" s="125" t="s">
        <v>319</v>
      </c>
      <c r="J1456" s="125" t="s">
        <v>341</v>
      </c>
      <c r="K1456" s="125" t="s">
        <v>1736</v>
      </c>
      <c r="L1456" s="138" t="s">
        <v>507</v>
      </c>
      <c r="M1456" s="136" t="s">
        <v>508</v>
      </c>
    </row>
    <row r="1457" spans="1:13" s="114" customFormat="1" ht="38.25">
      <c r="A1457" s="136">
        <v>1455</v>
      </c>
      <c r="B1457" s="129" t="s">
        <v>4439</v>
      </c>
      <c r="C1457" s="129" t="s">
        <v>4440</v>
      </c>
      <c r="D1457" s="137" t="s">
        <v>4441</v>
      </c>
      <c r="E1457" s="84" t="s">
        <v>4442</v>
      </c>
      <c r="F1457" s="113"/>
      <c r="G1457" s="131"/>
      <c r="H1457" s="186" t="s">
        <v>3550</v>
      </c>
      <c r="I1457" s="125" t="s">
        <v>319</v>
      </c>
      <c r="J1457" s="125" t="s">
        <v>331</v>
      </c>
      <c r="K1457" s="125" t="s">
        <v>512</v>
      </c>
      <c r="L1457" s="138" t="s">
        <v>507</v>
      </c>
      <c r="M1457" s="136" t="s">
        <v>508</v>
      </c>
    </row>
    <row r="1458" spans="1:13" s="114" customFormat="1" ht="38.25">
      <c r="A1458" s="136">
        <v>1456</v>
      </c>
      <c r="B1458" s="129" t="s">
        <v>4443</v>
      </c>
      <c r="C1458" s="129">
        <v>5.3</v>
      </c>
      <c r="D1458" s="137" t="s">
        <v>4444</v>
      </c>
      <c r="E1458" s="84" t="s">
        <v>4445</v>
      </c>
      <c r="F1458" s="113"/>
      <c r="G1458" s="131"/>
      <c r="H1458" s="186" t="s">
        <v>543</v>
      </c>
      <c r="I1458" s="125" t="s">
        <v>326</v>
      </c>
      <c r="J1458" s="125" t="s">
        <v>331</v>
      </c>
      <c r="K1458" s="125" t="s">
        <v>512</v>
      </c>
      <c r="L1458" s="138" t="s">
        <v>507</v>
      </c>
      <c r="M1458" s="136" t="s">
        <v>508</v>
      </c>
    </row>
    <row r="1459" spans="1:13" s="114" customFormat="1" ht="38.25">
      <c r="A1459" s="136">
        <v>1457</v>
      </c>
      <c r="B1459" s="129" t="s">
        <v>4446</v>
      </c>
      <c r="C1459" s="129">
        <v>5.3</v>
      </c>
      <c r="D1459" s="137" t="s">
        <v>4444</v>
      </c>
      <c r="E1459" s="84" t="s">
        <v>4447</v>
      </c>
      <c r="F1459" s="113"/>
      <c r="G1459" s="131"/>
      <c r="H1459" s="186" t="s">
        <v>543</v>
      </c>
      <c r="I1459" s="125" t="s">
        <v>326</v>
      </c>
      <c r="J1459" s="125" t="s">
        <v>331</v>
      </c>
      <c r="K1459" s="125" t="s">
        <v>512</v>
      </c>
      <c r="L1459" s="138" t="s">
        <v>507</v>
      </c>
      <c r="M1459" s="136" t="s">
        <v>508</v>
      </c>
    </row>
    <row r="1460" spans="1:13" s="114" customFormat="1" ht="25.5">
      <c r="A1460" s="136">
        <v>1458</v>
      </c>
      <c r="B1460" s="129" t="s">
        <v>4448</v>
      </c>
      <c r="C1460" s="129">
        <v>5.3</v>
      </c>
      <c r="D1460" s="137" t="s">
        <v>4444</v>
      </c>
      <c r="E1460" s="84" t="s">
        <v>4449</v>
      </c>
      <c r="F1460" s="113"/>
      <c r="G1460" s="131"/>
      <c r="H1460" s="186" t="s">
        <v>974</v>
      </c>
      <c r="I1460" s="125" t="s">
        <v>326</v>
      </c>
      <c r="J1460" s="125" t="s">
        <v>352</v>
      </c>
      <c r="K1460" s="125" t="s">
        <v>597</v>
      </c>
      <c r="L1460" s="138" t="s">
        <v>507</v>
      </c>
      <c r="M1460" s="136" t="s">
        <v>508</v>
      </c>
    </row>
    <row r="1461" spans="1:13" s="114" customFormat="1" ht="25.5">
      <c r="A1461" s="136">
        <v>1459</v>
      </c>
      <c r="B1461" s="129" t="s">
        <v>4450</v>
      </c>
      <c r="C1461" s="129">
        <v>5.3</v>
      </c>
      <c r="D1461" s="137" t="s">
        <v>4444</v>
      </c>
      <c r="E1461" s="84" t="s">
        <v>4451</v>
      </c>
      <c r="F1461" s="113"/>
      <c r="G1461" s="131"/>
      <c r="H1461" s="186" t="s">
        <v>600</v>
      </c>
      <c r="I1461" s="125" t="s">
        <v>326</v>
      </c>
      <c r="J1461" s="125" t="s">
        <v>341</v>
      </c>
      <c r="K1461" s="125" t="s">
        <v>601</v>
      </c>
      <c r="L1461" s="138" t="s">
        <v>507</v>
      </c>
      <c r="M1461" s="136" t="s">
        <v>508</v>
      </c>
    </row>
    <row r="1462" spans="1:13" s="114" customFormat="1" ht="51">
      <c r="A1462" s="136">
        <v>1460</v>
      </c>
      <c r="B1462" s="129" t="s">
        <v>4452</v>
      </c>
      <c r="C1462" s="129">
        <v>5.3</v>
      </c>
      <c r="D1462" s="137" t="s">
        <v>4444</v>
      </c>
      <c r="E1462" s="84" t="s">
        <v>4453</v>
      </c>
      <c r="F1462" s="113"/>
      <c r="G1462" s="131"/>
      <c r="H1462" s="186" t="s">
        <v>971</v>
      </c>
      <c r="I1462" s="125" t="s">
        <v>326</v>
      </c>
      <c r="J1462" s="125" t="s">
        <v>352</v>
      </c>
      <c r="K1462" s="125" t="s">
        <v>597</v>
      </c>
      <c r="L1462" s="138" t="s">
        <v>314</v>
      </c>
      <c r="M1462" s="136" t="s">
        <v>953</v>
      </c>
    </row>
    <row r="1463" spans="1:13" s="114" customFormat="1" ht="38.25">
      <c r="A1463" s="136">
        <v>1461</v>
      </c>
      <c r="B1463" s="129" t="s">
        <v>4454</v>
      </c>
      <c r="C1463" s="129">
        <v>5.3</v>
      </c>
      <c r="D1463" s="137" t="s">
        <v>4444</v>
      </c>
      <c r="E1463" s="84" t="s">
        <v>4455</v>
      </c>
      <c r="F1463" s="113"/>
      <c r="G1463" s="131"/>
      <c r="H1463" s="186" t="s">
        <v>1089</v>
      </c>
      <c r="I1463" s="125" t="s">
        <v>327</v>
      </c>
      <c r="J1463" s="125" t="s">
        <v>342</v>
      </c>
      <c r="K1463" s="125" t="s">
        <v>1090</v>
      </c>
      <c r="L1463" s="138" t="s">
        <v>507</v>
      </c>
      <c r="M1463" s="136" t="s">
        <v>508</v>
      </c>
    </row>
    <row r="1464" spans="1:13" s="114" customFormat="1" ht="25.5">
      <c r="A1464" s="136">
        <v>1462</v>
      </c>
      <c r="B1464" s="129" t="s">
        <v>4456</v>
      </c>
      <c r="C1464" s="129">
        <v>5.3</v>
      </c>
      <c r="D1464" s="137" t="s">
        <v>4444</v>
      </c>
      <c r="E1464" s="84" t="s">
        <v>4457</v>
      </c>
      <c r="F1464" s="113"/>
      <c r="G1464" s="131"/>
      <c r="H1464" s="186" t="s">
        <v>1568</v>
      </c>
      <c r="I1464" s="125" t="s">
        <v>326</v>
      </c>
      <c r="J1464" s="125" t="s">
        <v>346</v>
      </c>
      <c r="K1464" s="125" t="s">
        <v>761</v>
      </c>
      <c r="L1464" s="138" t="s">
        <v>507</v>
      </c>
      <c r="M1464" s="136" t="s">
        <v>508</v>
      </c>
    </row>
    <row r="1465" spans="1:13" s="114" customFormat="1" ht="51">
      <c r="A1465" s="136">
        <v>1463</v>
      </c>
      <c r="B1465" s="129" t="s">
        <v>4458</v>
      </c>
      <c r="C1465" s="129" t="s">
        <v>4459</v>
      </c>
      <c r="D1465" s="137" t="s">
        <v>4460</v>
      </c>
      <c r="E1465" s="84" t="s">
        <v>4461</v>
      </c>
      <c r="F1465" s="113"/>
      <c r="G1465" s="131"/>
      <c r="H1465" s="186" t="s">
        <v>707</v>
      </c>
      <c r="I1465" s="125" t="s">
        <v>326</v>
      </c>
      <c r="J1465" s="125" t="s">
        <v>331</v>
      </c>
      <c r="K1465" s="125" t="s">
        <v>530</v>
      </c>
      <c r="L1465" s="138" t="s">
        <v>507</v>
      </c>
      <c r="M1465" s="136" t="s">
        <v>508</v>
      </c>
    </row>
    <row r="1466" spans="1:13" s="114" customFormat="1" ht="38.25">
      <c r="A1466" s="136">
        <v>1464</v>
      </c>
      <c r="B1466" s="129" t="s">
        <v>4462</v>
      </c>
      <c r="C1466" s="129" t="s">
        <v>4459</v>
      </c>
      <c r="D1466" s="137" t="s">
        <v>4460</v>
      </c>
      <c r="E1466" s="84" t="s">
        <v>4463</v>
      </c>
      <c r="F1466" s="113"/>
      <c r="G1466" s="131"/>
      <c r="H1466" s="186" t="s">
        <v>509</v>
      </c>
      <c r="I1466" s="125" t="s">
        <v>326</v>
      </c>
      <c r="J1466" s="125" t="s">
        <v>331</v>
      </c>
      <c r="K1466" s="125" t="s">
        <v>512</v>
      </c>
      <c r="L1466" s="107" t="s">
        <v>507</v>
      </c>
      <c r="M1466" s="136" t="s">
        <v>508</v>
      </c>
    </row>
    <row r="1467" spans="1:13" s="114" customFormat="1" ht="25.5">
      <c r="A1467" s="136">
        <v>1465</v>
      </c>
      <c r="B1467" s="129" t="s">
        <v>4464</v>
      </c>
      <c r="C1467" s="129" t="s">
        <v>4459</v>
      </c>
      <c r="D1467" s="137" t="s">
        <v>4460</v>
      </c>
      <c r="E1467" s="84" t="s">
        <v>4465</v>
      </c>
      <c r="F1467" s="113"/>
      <c r="G1467" s="131"/>
      <c r="H1467" s="186" t="s">
        <v>1041</v>
      </c>
      <c r="I1467" s="125" t="s">
        <v>326</v>
      </c>
      <c r="J1467" s="125" t="s">
        <v>352</v>
      </c>
      <c r="K1467" s="125" t="s">
        <v>1044</v>
      </c>
      <c r="L1467" s="138" t="s">
        <v>507</v>
      </c>
      <c r="M1467" s="136" t="s">
        <v>508</v>
      </c>
    </row>
    <row r="1468" spans="1:13" s="114" customFormat="1" ht="38.25">
      <c r="A1468" s="136">
        <v>1466</v>
      </c>
      <c r="B1468" s="129" t="s">
        <v>4466</v>
      </c>
      <c r="C1468" s="136" t="s">
        <v>4070</v>
      </c>
      <c r="D1468" s="139" t="s">
        <v>4467</v>
      </c>
      <c r="E1468" s="84" t="s">
        <v>4468</v>
      </c>
      <c r="F1468" s="113"/>
      <c r="G1468" s="131"/>
      <c r="H1468" s="186" t="s">
        <v>543</v>
      </c>
      <c r="I1468" s="125" t="s">
        <v>326</v>
      </c>
      <c r="J1468" s="125" t="s">
        <v>331</v>
      </c>
      <c r="K1468" s="125" t="s">
        <v>512</v>
      </c>
      <c r="L1468" s="138" t="s">
        <v>507</v>
      </c>
      <c r="M1468" s="136" t="s">
        <v>508</v>
      </c>
    </row>
    <row r="1469" spans="1:13" s="114" customFormat="1" ht="38.25">
      <c r="A1469" s="136">
        <v>1467</v>
      </c>
      <c r="B1469" s="129" t="s">
        <v>4469</v>
      </c>
      <c r="C1469" s="129" t="s">
        <v>708</v>
      </c>
      <c r="D1469" s="137" t="s">
        <v>709</v>
      </c>
      <c r="E1469" s="84" t="s">
        <v>4470</v>
      </c>
      <c r="F1469" s="113"/>
      <c r="G1469" s="131"/>
      <c r="H1469" s="186" t="s">
        <v>566</v>
      </c>
      <c r="I1469" s="125" t="s">
        <v>326</v>
      </c>
      <c r="J1469" s="125" t="s">
        <v>331</v>
      </c>
      <c r="K1469" s="125" t="s">
        <v>512</v>
      </c>
      <c r="L1469" s="138" t="s">
        <v>507</v>
      </c>
      <c r="M1469" s="136" t="s">
        <v>508</v>
      </c>
    </row>
    <row r="1470" spans="1:13" s="114" customFormat="1" ht="25.5">
      <c r="A1470" s="136">
        <v>1468</v>
      </c>
      <c r="B1470" s="129" t="s">
        <v>4471</v>
      </c>
      <c r="C1470" s="159" t="s">
        <v>2291</v>
      </c>
      <c r="D1470" s="159" t="s">
        <v>4472</v>
      </c>
      <c r="E1470" s="84" t="s">
        <v>4473</v>
      </c>
      <c r="F1470" s="113"/>
      <c r="G1470" s="131"/>
      <c r="H1470" s="186" t="s">
        <v>4474</v>
      </c>
      <c r="I1470" s="125" t="s">
        <v>327</v>
      </c>
      <c r="J1470" s="125" t="s">
        <v>337</v>
      </c>
      <c r="K1470" s="125" t="s">
        <v>1071</v>
      </c>
      <c r="L1470" s="125" t="s">
        <v>315</v>
      </c>
      <c r="M1470" s="125" t="s">
        <v>508</v>
      </c>
    </row>
    <row r="1471" spans="1:13" s="114" customFormat="1" ht="25.5">
      <c r="A1471" s="136">
        <v>1469</v>
      </c>
      <c r="B1471" s="129" t="s">
        <v>4475</v>
      </c>
      <c r="C1471" s="159" t="s">
        <v>2291</v>
      </c>
      <c r="D1471" s="159" t="s">
        <v>4472</v>
      </c>
      <c r="E1471" s="84" t="s">
        <v>4476</v>
      </c>
      <c r="F1471" s="113"/>
      <c r="G1471" s="131"/>
      <c r="H1471" s="186" t="s">
        <v>4474</v>
      </c>
      <c r="I1471" s="125" t="s">
        <v>327</v>
      </c>
      <c r="J1471" s="125" t="s">
        <v>337</v>
      </c>
      <c r="K1471" s="125" t="s">
        <v>1071</v>
      </c>
      <c r="L1471" s="125" t="s">
        <v>315</v>
      </c>
      <c r="M1471" s="125" t="s">
        <v>508</v>
      </c>
    </row>
    <row r="1472" spans="1:13" s="114" customFormat="1" ht="25.5">
      <c r="A1472" s="136">
        <v>1470</v>
      </c>
      <c r="B1472" s="129" t="s">
        <v>4477</v>
      </c>
      <c r="C1472" s="159" t="s">
        <v>2291</v>
      </c>
      <c r="D1472" s="159" t="s">
        <v>4472</v>
      </c>
      <c r="E1472" s="84" t="s">
        <v>4478</v>
      </c>
      <c r="F1472" s="113"/>
      <c r="G1472" s="131"/>
      <c r="H1472" s="186" t="s">
        <v>760</v>
      </c>
      <c r="I1472" s="125" t="s">
        <v>326</v>
      </c>
      <c r="J1472" s="125" t="s">
        <v>346</v>
      </c>
      <c r="K1472" s="125" t="s">
        <v>761</v>
      </c>
      <c r="L1472" s="125" t="s">
        <v>315</v>
      </c>
      <c r="M1472" s="125" t="s">
        <v>508</v>
      </c>
    </row>
    <row r="1473" spans="1:13" s="114" customFormat="1" ht="38.25">
      <c r="A1473" s="136">
        <v>1471</v>
      </c>
      <c r="B1473" s="129" t="s">
        <v>4479</v>
      </c>
      <c r="C1473" s="159" t="s">
        <v>2291</v>
      </c>
      <c r="D1473" s="159" t="s">
        <v>4472</v>
      </c>
      <c r="E1473" s="84" t="s">
        <v>4480</v>
      </c>
      <c r="F1473" s="113"/>
      <c r="G1473" s="131"/>
      <c r="H1473" s="186" t="s">
        <v>766</v>
      </c>
      <c r="I1473" s="125" t="s">
        <v>326</v>
      </c>
      <c r="J1473" s="125" t="s">
        <v>331</v>
      </c>
      <c r="K1473" s="125" t="s">
        <v>512</v>
      </c>
      <c r="L1473" s="125" t="s">
        <v>315</v>
      </c>
      <c r="M1473" s="125" t="s">
        <v>508</v>
      </c>
    </row>
    <row r="1474" spans="1:13" s="114" customFormat="1" ht="38.25">
      <c r="A1474" s="136">
        <v>1472</v>
      </c>
      <c r="B1474" s="129" t="s">
        <v>4481</v>
      </c>
      <c r="C1474" s="159" t="s">
        <v>2291</v>
      </c>
      <c r="D1474" s="159" t="s">
        <v>4472</v>
      </c>
      <c r="E1474" s="84" t="s">
        <v>4482</v>
      </c>
      <c r="F1474" s="113"/>
      <c r="G1474" s="131"/>
      <c r="H1474" s="186" t="s">
        <v>766</v>
      </c>
      <c r="I1474" s="125" t="s">
        <v>326</v>
      </c>
      <c r="J1474" s="125" t="s">
        <v>331</v>
      </c>
      <c r="K1474" s="125" t="s">
        <v>512</v>
      </c>
      <c r="L1474" s="125" t="s">
        <v>315</v>
      </c>
      <c r="M1474" s="125" t="s">
        <v>508</v>
      </c>
    </row>
    <row r="1475" spans="1:13" s="114" customFormat="1" ht="38.25">
      <c r="A1475" s="136">
        <v>1473</v>
      </c>
      <c r="B1475" s="129" t="s">
        <v>4483</v>
      </c>
      <c r="C1475" s="159" t="s">
        <v>2291</v>
      </c>
      <c r="D1475" s="159" t="s">
        <v>4472</v>
      </c>
      <c r="E1475" s="84" t="s">
        <v>4484</v>
      </c>
      <c r="F1475" s="113"/>
      <c r="G1475" s="131"/>
      <c r="H1475" s="186" t="s">
        <v>766</v>
      </c>
      <c r="I1475" s="125" t="s">
        <v>326</v>
      </c>
      <c r="J1475" s="125" t="s">
        <v>331</v>
      </c>
      <c r="K1475" s="125" t="s">
        <v>512</v>
      </c>
      <c r="L1475" s="125" t="s">
        <v>315</v>
      </c>
      <c r="M1475" s="125" t="s">
        <v>508</v>
      </c>
    </row>
    <row r="1476" spans="1:13" s="114" customFormat="1" ht="38.25">
      <c r="A1476" s="136">
        <v>1474</v>
      </c>
      <c r="B1476" s="129" t="s">
        <v>4485</v>
      </c>
      <c r="C1476" s="159" t="s">
        <v>2291</v>
      </c>
      <c r="D1476" s="159" t="s">
        <v>4472</v>
      </c>
      <c r="E1476" s="84" t="s">
        <v>4486</v>
      </c>
      <c r="F1476" s="113"/>
      <c r="G1476" s="131"/>
      <c r="H1476" s="186" t="s">
        <v>766</v>
      </c>
      <c r="I1476" s="125" t="s">
        <v>326</v>
      </c>
      <c r="J1476" s="125" t="s">
        <v>331</v>
      </c>
      <c r="K1476" s="125" t="s">
        <v>512</v>
      </c>
      <c r="L1476" s="125" t="s">
        <v>315</v>
      </c>
      <c r="M1476" s="125" t="s">
        <v>508</v>
      </c>
    </row>
    <row r="1477" spans="1:13" s="114" customFormat="1" ht="25.5">
      <c r="A1477" s="136">
        <v>1475</v>
      </c>
      <c r="B1477" s="129" t="s">
        <v>4487</v>
      </c>
      <c r="C1477" s="159" t="s">
        <v>2291</v>
      </c>
      <c r="D1477" s="159" t="s">
        <v>4472</v>
      </c>
      <c r="E1477" s="84" t="s">
        <v>4488</v>
      </c>
      <c r="F1477" s="113"/>
      <c r="G1477" s="131"/>
      <c r="H1477" s="186" t="s">
        <v>4489</v>
      </c>
      <c r="I1477" s="125" t="s">
        <v>326</v>
      </c>
      <c r="J1477" s="125" t="s">
        <v>352</v>
      </c>
      <c r="K1477" s="125" t="s">
        <v>597</v>
      </c>
      <c r="L1477" s="125" t="s">
        <v>315</v>
      </c>
      <c r="M1477" s="125" t="s">
        <v>508</v>
      </c>
    </row>
    <row r="1478" spans="1:13" s="114" customFormat="1" ht="25.5">
      <c r="A1478" s="136">
        <v>1476</v>
      </c>
      <c r="B1478" s="129" t="s">
        <v>4490</v>
      </c>
      <c r="C1478" s="159" t="s">
        <v>2291</v>
      </c>
      <c r="D1478" s="159" t="s">
        <v>4472</v>
      </c>
      <c r="E1478" s="84" t="s">
        <v>4491</v>
      </c>
      <c r="F1478" s="113"/>
      <c r="G1478" s="131"/>
      <c r="H1478" s="186" t="s">
        <v>4492</v>
      </c>
      <c r="I1478" s="125" t="s">
        <v>326</v>
      </c>
      <c r="J1478" s="125" t="s">
        <v>341</v>
      </c>
      <c r="K1478" s="125" t="s">
        <v>1736</v>
      </c>
      <c r="L1478" s="125" t="s">
        <v>315</v>
      </c>
      <c r="M1478" s="125" t="s">
        <v>508</v>
      </c>
    </row>
    <row r="1479" spans="1:13" s="114" customFormat="1" ht="25.5">
      <c r="A1479" s="136">
        <v>1477</v>
      </c>
      <c r="B1479" s="129" t="s">
        <v>4493</v>
      </c>
      <c r="C1479" s="159" t="s">
        <v>2291</v>
      </c>
      <c r="D1479" s="159" t="s">
        <v>4472</v>
      </c>
      <c r="E1479" s="84" t="s">
        <v>4494</v>
      </c>
      <c r="F1479" s="113"/>
      <c r="G1479" s="131"/>
      <c r="H1479" s="186" t="s">
        <v>4490</v>
      </c>
      <c r="I1479" s="125" t="s">
        <v>326</v>
      </c>
      <c r="J1479" s="125" t="s">
        <v>341</v>
      </c>
      <c r="K1479" s="125" t="s">
        <v>1736</v>
      </c>
      <c r="L1479" s="125" t="s">
        <v>315</v>
      </c>
      <c r="M1479" s="125" t="s">
        <v>508</v>
      </c>
    </row>
    <row r="1480" spans="1:13" s="114" customFormat="1" ht="25.5">
      <c r="A1480" s="136">
        <v>1478</v>
      </c>
      <c r="B1480" s="129" t="s">
        <v>658</v>
      </c>
      <c r="C1480" s="159" t="s">
        <v>2291</v>
      </c>
      <c r="D1480" s="159" t="s">
        <v>4472</v>
      </c>
      <c r="E1480" s="84" t="s">
        <v>4495</v>
      </c>
      <c r="F1480" s="113"/>
      <c r="G1480" s="131"/>
      <c r="H1480" s="186" t="s">
        <v>4496</v>
      </c>
      <c r="I1480" s="125" t="s">
        <v>326</v>
      </c>
      <c r="J1480" s="125" t="s">
        <v>346</v>
      </c>
      <c r="K1480" s="125" t="s">
        <v>659</v>
      </c>
      <c r="L1480" s="125" t="s">
        <v>315</v>
      </c>
      <c r="M1480" s="125" t="s">
        <v>508</v>
      </c>
    </row>
    <row r="1481" spans="1:13" s="114" customFormat="1" ht="38.25">
      <c r="A1481" s="136">
        <v>1479</v>
      </c>
      <c r="B1481" s="129" t="s">
        <v>4497</v>
      </c>
      <c r="C1481" s="159" t="s">
        <v>2291</v>
      </c>
      <c r="D1481" s="159" t="s">
        <v>4472</v>
      </c>
      <c r="E1481" s="84" t="s">
        <v>4498</v>
      </c>
      <c r="F1481" s="113"/>
      <c r="G1481" s="131"/>
      <c r="H1481" s="186" t="s">
        <v>658</v>
      </c>
      <c r="I1481" s="125" t="s">
        <v>326</v>
      </c>
      <c r="J1481" s="125" t="s">
        <v>346</v>
      </c>
      <c r="K1481" s="125" t="s">
        <v>659</v>
      </c>
      <c r="L1481" s="125" t="s">
        <v>315</v>
      </c>
      <c r="M1481" s="125" t="s">
        <v>508</v>
      </c>
    </row>
    <row r="1482" spans="1:13" s="114" customFormat="1" ht="25.5">
      <c r="A1482" s="136">
        <v>1480</v>
      </c>
      <c r="B1482" s="129" t="s">
        <v>4499</v>
      </c>
      <c r="C1482" s="159" t="s">
        <v>2291</v>
      </c>
      <c r="D1482" s="159" t="s">
        <v>4472</v>
      </c>
      <c r="E1482" s="84" t="s">
        <v>4500</v>
      </c>
      <c r="F1482" s="113"/>
      <c r="G1482" s="131"/>
      <c r="H1482" s="186" t="s">
        <v>658</v>
      </c>
      <c r="I1482" s="125" t="s">
        <v>326</v>
      </c>
      <c r="J1482" s="125" t="s">
        <v>346</v>
      </c>
      <c r="K1482" s="125" t="s">
        <v>659</v>
      </c>
      <c r="L1482" s="125" t="s">
        <v>315</v>
      </c>
      <c r="M1482" s="125" t="s">
        <v>508</v>
      </c>
    </row>
    <row r="1483" spans="1:13" s="114" customFormat="1" ht="38.25">
      <c r="A1483" s="136">
        <v>1481</v>
      </c>
      <c r="B1483" s="129" t="s">
        <v>4501</v>
      </c>
      <c r="C1483" s="159" t="s">
        <v>2291</v>
      </c>
      <c r="D1483" s="159" t="s">
        <v>4472</v>
      </c>
      <c r="E1483" s="84" t="s">
        <v>4502</v>
      </c>
      <c r="F1483" s="113"/>
      <c r="G1483" s="131"/>
      <c r="H1483" s="186" t="s">
        <v>766</v>
      </c>
      <c r="I1483" s="125" t="s">
        <v>326</v>
      </c>
      <c r="J1483" s="125" t="s">
        <v>331</v>
      </c>
      <c r="K1483" s="125" t="s">
        <v>512</v>
      </c>
      <c r="L1483" s="125" t="s">
        <v>315</v>
      </c>
      <c r="M1483" s="125" t="s">
        <v>508</v>
      </c>
    </row>
    <row r="1484" spans="1:13" s="114" customFormat="1" ht="25.5">
      <c r="A1484" s="136">
        <v>1482</v>
      </c>
      <c r="B1484" s="129" t="s">
        <v>4503</v>
      </c>
      <c r="C1484" s="159" t="s">
        <v>2291</v>
      </c>
      <c r="D1484" s="159" t="s">
        <v>4472</v>
      </c>
      <c r="E1484" s="84" t="s">
        <v>4504</v>
      </c>
      <c r="F1484" s="113"/>
      <c r="G1484" s="131"/>
      <c r="H1484" s="186" t="s">
        <v>4505</v>
      </c>
      <c r="I1484" s="125" t="s">
        <v>326</v>
      </c>
      <c r="J1484" s="125" t="s">
        <v>331</v>
      </c>
      <c r="K1484" s="125" t="s">
        <v>1178</v>
      </c>
      <c r="L1484" s="125" t="s">
        <v>315</v>
      </c>
      <c r="M1484" s="125" t="s">
        <v>508</v>
      </c>
    </row>
    <row r="1485" spans="1:13" s="114" customFormat="1" ht="51">
      <c r="A1485" s="136">
        <v>1483</v>
      </c>
      <c r="B1485" s="129" t="s">
        <v>4506</v>
      </c>
      <c r="C1485" s="159" t="s">
        <v>2291</v>
      </c>
      <c r="D1485" s="159" t="s">
        <v>4472</v>
      </c>
      <c r="E1485" s="84" t="s">
        <v>4507</v>
      </c>
      <c r="F1485" s="113"/>
      <c r="G1485" s="131"/>
      <c r="H1485" s="186" t="s">
        <v>2708</v>
      </c>
      <c r="I1485" s="125" t="s">
        <v>326</v>
      </c>
      <c r="J1485" s="125" t="s">
        <v>331</v>
      </c>
      <c r="K1485" s="125" t="s">
        <v>530</v>
      </c>
      <c r="L1485" s="125" t="s">
        <v>315</v>
      </c>
      <c r="M1485" s="125" t="s">
        <v>508</v>
      </c>
    </row>
    <row r="1486" spans="1:13" s="114" customFormat="1" ht="51">
      <c r="A1486" s="136">
        <v>1484</v>
      </c>
      <c r="B1486" s="129" t="s">
        <v>4508</v>
      </c>
      <c r="C1486" s="159" t="s">
        <v>2291</v>
      </c>
      <c r="D1486" s="159" t="s">
        <v>4472</v>
      </c>
      <c r="E1486" s="84" t="s">
        <v>4509</v>
      </c>
      <c r="F1486" s="113"/>
      <c r="G1486" s="131"/>
      <c r="H1486" s="186" t="s">
        <v>4510</v>
      </c>
      <c r="I1486" s="125" t="s">
        <v>326</v>
      </c>
      <c r="J1486" s="125" t="s">
        <v>331</v>
      </c>
      <c r="K1486" s="125" t="s">
        <v>530</v>
      </c>
      <c r="L1486" s="125" t="s">
        <v>315</v>
      </c>
      <c r="M1486" s="125" t="s">
        <v>508</v>
      </c>
    </row>
    <row r="1487" spans="1:13" s="114" customFormat="1" ht="25.5">
      <c r="A1487" s="136">
        <v>1485</v>
      </c>
      <c r="B1487" s="129" t="s">
        <v>4511</v>
      </c>
      <c r="C1487" s="159" t="s">
        <v>2291</v>
      </c>
      <c r="D1487" s="159" t="s">
        <v>4472</v>
      </c>
      <c r="E1487" s="84" t="s">
        <v>4512</v>
      </c>
      <c r="F1487" s="113"/>
      <c r="G1487" s="131"/>
      <c r="H1487" s="186" t="s">
        <v>4503</v>
      </c>
      <c r="I1487" s="125" t="s">
        <v>326</v>
      </c>
      <c r="J1487" s="125" t="s">
        <v>331</v>
      </c>
      <c r="K1487" s="125" t="s">
        <v>1178</v>
      </c>
      <c r="L1487" s="125" t="s">
        <v>315</v>
      </c>
      <c r="M1487" s="125" t="s">
        <v>508</v>
      </c>
    </row>
    <row r="1488" spans="1:13" s="114" customFormat="1" ht="51">
      <c r="A1488" s="136">
        <v>1486</v>
      </c>
      <c r="B1488" s="129" t="s">
        <v>4513</v>
      </c>
      <c r="C1488" s="159" t="s">
        <v>2291</v>
      </c>
      <c r="D1488" s="159" t="s">
        <v>4472</v>
      </c>
      <c r="E1488" s="84" t="s">
        <v>4514</v>
      </c>
      <c r="F1488" s="113"/>
      <c r="G1488" s="131"/>
      <c r="H1488" s="186" t="s">
        <v>4510</v>
      </c>
      <c r="I1488" s="125" t="s">
        <v>326</v>
      </c>
      <c r="J1488" s="125" t="s">
        <v>331</v>
      </c>
      <c r="K1488" s="125" t="s">
        <v>530</v>
      </c>
      <c r="L1488" s="125" t="s">
        <v>315</v>
      </c>
      <c r="M1488" s="125" t="s">
        <v>508</v>
      </c>
    </row>
    <row r="1489" spans="1:13" s="114" customFormat="1" ht="51">
      <c r="A1489" s="136">
        <v>1487</v>
      </c>
      <c r="B1489" s="129" t="s">
        <v>4510</v>
      </c>
      <c r="C1489" s="159" t="s">
        <v>2291</v>
      </c>
      <c r="D1489" s="159" t="s">
        <v>4472</v>
      </c>
      <c r="E1489" s="84" t="s">
        <v>4515</v>
      </c>
      <c r="F1489" s="113"/>
      <c r="G1489" s="131"/>
      <c r="H1489" s="186" t="s">
        <v>4516</v>
      </c>
      <c r="I1489" s="125" t="s">
        <v>326</v>
      </c>
      <c r="J1489" s="125" t="s">
        <v>331</v>
      </c>
      <c r="K1489" s="125" t="s">
        <v>530</v>
      </c>
      <c r="L1489" s="125" t="s">
        <v>315</v>
      </c>
      <c r="M1489" s="125" t="s">
        <v>508</v>
      </c>
    </row>
    <row r="1490" spans="1:13" s="114" customFormat="1" ht="38.25">
      <c r="A1490" s="136">
        <v>1488</v>
      </c>
      <c r="B1490" s="129" t="s">
        <v>4517</v>
      </c>
      <c r="C1490" s="159" t="s">
        <v>2291</v>
      </c>
      <c r="D1490" s="159" t="s">
        <v>4472</v>
      </c>
      <c r="E1490" s="84" t="s">
        <v>4518</v>
      </c>
      <c r="F1490" s="113"/>
      <c r="G1490" s="131"/>
      <c r="H1490" s="186" t="s">
        <v>766</v>
      </c>
      <c r="I1490" s="125" t="s">
        <v>326</v>
      </c>
      <c r="J1490" s="125" t="s">
        <v>331</v>
      </c>
      <c r="K1490" s="125" t="s">
        <v>512</v>
      </c>
      <c r="L1490" s="125" t="s">
        <v>315</v>
      </c>
      <c r="M1490" s="125" t="s">
        <v>508</v>
      </c>
    </row>
    <row r="1491" spans="1:13" s="114" customFormat="1" ht="25.5">
      <c r="A1491" s="136">
        <v>1489</v>
      </c>
      <c r="B1491" s="129" t="s">
        <v>4519</v>
      </c>
      <c r="C1491" s="159" t="s">
        <v>2291</v>
      </c>
      <c r="D1491" s="159" t="s">
        <v>4472</v>
      </c>
      <c r="E1491" s="84" t="s">
        <v>4520</v>
      </c>
      <c r="F1491" s="113"/>
      <c r="G1491" s="131"/>
      <c r="H1491" s="186" t="s">
        <v>4521</v>
      </c>
      <c r="I1491" s="125" t="s">
        <v>326</v>
      </c>
      <c r="J1491" s="125" t="s">
        <v>341</v>
      </c>
      <c r="K1491" s="125" t="s">
        <v>580</v>
      </c>
      <c r="L1491" s="125" t="s">
        <v>315</v>
      </c>
      <c r="M1491" s="125" t="s">
        <v>508</v>
      </c>
    </row>
    <row r="1492" spans="1:13" s="114" customFormat="1" ht="38.25">
      <c r="A1492" s="136">
        <v>1490</v>
      </c>
      <c r="B1492" s="129" t="s">
        <v>4522</v>
      </c>
      <c r="C1492" s="159" t="s">
        <v>2291</v>
      </c>
      <c r="D1492" s="159" t="s">
        <v>4472</v>
      </c>
      <c r="E1492" s="84" t="s">
        <v>4523</v>
      </c>
      <c r="F1492" s="113"/>
      <c r="G1492" s="131"/>
      <c r="H1492" s="186" t="s">
        <v>4524</v>
      </c>
      <c r="I1492" s="125" t="s">
        <v>323</v>
      </c>
      <c r="J1492" s="125" t="s">
        <v>330</v>
      </c>
      <c r="K1492" s="125" t="s">
        <v>1061</v>
      </c>
      <c r="L1492" s="125" t="s">
        <v>315</v>
      </c>
      <c r="M1492" s="125" t="s">
        <v>508</v>
      </c>
    </row>
    <row r="1493" spans="1:13" s="114" customFormat="1" ht="25.5">
      <c r="A1493" s="136">
        <v>1491</v>
      </c>
      <c r="B1493" s="129" t="s">
        <v>4525</v>
      </c>
      <c r="C1493" s="159" t="s">
        <v>2291</v>
      </c>
      <c r="D1493" s="159" t="s">
        <v>4472</v>
      </c>
      <c r="E1493" s="84" t="s">
        <v>4526</v>
      </c>
      <c r="F1493" s="113"/>
      <c r="G1493" s="131"/>
      <c r="H1493" s="186" t="s">
        <v>4474</v>
      </c>
      <c r="I1493" s="125" t="s">
        <v>327</v>
      </c>
      <c r="J1493" s="125" t="s">
        <v>337</v>
      </c>
      <c r="K1493" s="125" t="s">
        <v>1071</v>
      </c>
      <c r="L1493" s="125" t="s">
        <v>315</v>
      </c>
      <c r="M1493" s="125" t="s">
        <v>508</v>
      </c>
    </row>
    <row r="1494" spans="1:13" s="114" customFormat="1" ht="25.5">
      <c r="A1494" s="136">
        <v>1492</v>
      </c>
      <c r="B1494" s="129" t="s">
        <v>4527</v>
      </c>
      <c r="C1494" s="159" t="s">
        <v>2291</v>
      </c>
      <c r="D1494" s="159" t="s">
        <v>4472</v>
      </c>
      <c r="E1494" s="84" t="s">
        <v>4528</v>
      </c>
      <c r="F1494" s="113"/>
      <c r="G1494" s="131"/>
      <c r="H1494" s="186" t="s">
        <v>4529</v>
      </c>
      <c r="I1494" s="125" t="s">
        <v>326</v>
      </c>
      <c r="J1494" s="125" t="s">
        <v>341</v>
      </c>
      <c r="K1494" s="125" t="s">
        <v>580</v>
      </c>
      <c r="L1494" s="125" t="s">
        <v>315</v>
      </c>
      <c r="M1494" s="125" t="s">
        <v>508</v>
      </c>
    </row>
    <row r="1495" spans="1:13" s="114" customFormat="1" ht="51">
      <c r="A1495" s="136">
        <v>1493</v>
      </c>
      <c r="B1495" s="129" t="s">
        <v>4530</v>
      </c>
      <c r="C1495" s="159" t="s">
        <v>2291</v>
      </c>
      <c r="D1495" s="159" t="s">
        <v>4472</v>
      </c>
      <c r="E1495" s="84" t="s">
        <v>4531</v>
      </c>
      <c r="F1495" s="113"/>
      <c r="G1495" s="131"/>
      <c r="H1495" s="186" t="s">
        <v>4532</v>
      </c>
      <c r="I1495" s="125" t="s">
        <v>326</v>
      </c>
      <c r="J1495" s="125" t="s">
        <v>331</v>
      </c>
      <c r="K1495" s="125" t="s">
        <v>530</v>
      </c>
      <c r="L1495" s="125" t="s">
        <v>315</v>
      </c>
      <c r="M1495" s="125" t="s">
        <v>508</v>
      </c>
    </row>
    <row r="1496" spans="1:13" s="114" customFormat="1" ht="51">
      <c r="A1496" s="136">
        <v>1494</v>
      </c>
      <c r="B1496" s="129" t="s">
        <v>4533</v>
      </c>
      <c r="C1496" s="159" t="s">
        <v>2291</v>
      </c>
      <c r="D1496" s="159" t="s">
        <v>4472</v>
      </c>
      <c r="E1496" s="84" t="s">
        <v>4534</v>
      </c>
      <c r="F1496" s="113"/>
      <c r="G1496" s="131"/>
      <c r="H1496" s="186" t="s">
        <v>4530</v>
      </c>
      <c r="I1496" s="125" t="s">
        <v>326</v>
      </c>
      <c r="J1496" s="125" t="s">
        <v>331</v>
      </c>
      <c r="K1496" s="125" t="s">
        <v>530</v>
      </c>
      <c r="L1496" s="125" t="s">
        <v>315</v>
      </c>
      <c r="M1496" s="125" t="s">
        <v>508</v>
      </c>
    </row>
    <row r="1497" spans="1:13" s="114" customFormat="1" ht="38.25">
      <c r="A1497" s="136">
        <v>1495</v>
      </c>
      <c r="B1497" s="129" t="s">
        <v>766</v>
      </c>
      <c r="C1497" s="159" t="s">
        <v>2291</v>
      </c>
      <c r="D1497" s="159" t="s">
        <v>4472</v>
      </c>
      <c r="E1497" s="84" t="s">
        <v>4535</v>
      </c>
      <c r="F1497" s="113"/>
      <c r="G1497" s="131"/>
      <c r="H1497" s="186" t="s">
        <v>4536</v>
      </c>
      <c r="I1497" s="125" t="s">
        <v>326</v>
      </c>
      <c r="J1497" s="125" t="s">
        <v>331</v>
      </c>
      <c r="K1497" s="125" t="s">
        <v>512</v>
      </c>
      <c r="L1497" s="125" t="s">
        <v>315</v>
      </c>
      <c r="M1497" s="125" t="s">
        <v>508</v>
      </c>
    </row>
    <row r="1498" spans="1:13" s="114" customFormat="1" ht="38.25">
      <c r="A1498" s="136">
        <v>1496</v>
      </c>
      <c r="B1498" s="129" t="s">
        <v>4537</v>
      </c>
      <c r="C1498" s="159" t="s">
        <v>2291</v>
      </c>
      <c r="D1498" s="159" t="s">
        <v>4472</v>
      </c>
      <c r="E1498" s="84" t="s">
        <v>4538</v>
      </c>
      <c r="F1498" s="113"/>
      <c r="G1498" s="131"/>
      <c r="H1498" s="186" t="s">
        <v>766</v>
      </c>
      <c r="I1498" s="125" t="s">
        <v>326</v>
      </c>
      <c r="J1498" s="125" t="s">
        <v>331</v>
      </c>
      <c r="K1498" s="125" t="s">
        <v>512</v>
      </c>
      <c r="L1498" s="125" t="s">
        <v>315</v>
      </c>
      <c r="M1498" s="125" t="s">
        <v>508</v>
      </c>
    </row>
    <row r="1499" spans="1:13" s="114" customFormat="1" ht="25.5">
      <c r="A1499" s="136">
        <v>1497</v>
      </c>
      <c r="B1499" s="129" t="s">
        <v>4539</v>
      </c>
      <c r="C1499" s="159" t="s">
        <v>2291</v>
      </c>
      <c r="D1499" s="159" t="s">
        <v>4472</v>
      </c>
      <c r="E1499" s="84" t="s">
        <v>4540</v>
      </c>
      <c r="F1499" s="113"/>
      <c r="G1499" s="131"/>
      <c r="H1499" s="186" t="s">
        <v>4522</v>
      </c>
      <c r="I1499" s="125" t="s">
        <v>323</v>
      </c>
      <c r="J1499" s="125" t="s">
        <v>330</v>
      </c>
      <c r="K1499" s="125" t="s">
        <v>1061</v>
      </c>
      <c r="L1499" s="125" t="s">
        <v>315</v>
      </c>
      <c r="M1499" s="125" t="s">
        <v>508</v>
      </c>
    </row>
    <row r="1500" spans="1:13" s="114" customFormat="1" ht="51">
      <c r="A1500" s="136">
        <v>1498</v>
      </c>
      <c r="B1500" s="129" t="s">
        <v>4541</v>
      </c>
      <c r="C1500" s="159" t="s">
        <v>2291</v>
      </c>
      <c r="D1500" s="159" t="s">
        <v>4472</v>
      </c>
      <c r="E1500" s="84" t="s">
        <v>4542</v>
      </c>
      <c r="F1500" s="113"/>
      <c r="G1500" s="131"/>
      <c r="H1500" s="186" t="s">
        <v>4530</v>
      </c>
      <c r="I1500" s="125" t="s">
        <v>326</v>
      </c>
      <c r="J1500" s="125" t="s">
        <v>331</v>
      </c>
      <c r="K1500" s="125" t="s">
        <v>530</v>
      </c>
      <c r="L1500" s="125" t="s">
        <v>315</v>
      </c>
      <c r="M1500" s="125" t="s">
        <v>508</v>
      </c>
    </row>
    <row r="1501" spans="1:13" s="114" customFormat="1" ht="38.25">
      <c r="A1501" s="136">
        <v>1499</v>
      </c>
      <c r="B1501" s="129" t="s">
        <v>773</v>
      </c>
      <c r="C1501" s="160" t="s">
        <v>4543</v>
      </c>
      <c r="D1501" s="159" t="s">
        <v>4544</v>
      </c>
      <c r="E1501" s="84" t="s">
        <v>4545</v>
      </c>
      <c r="F1501" s="113"/>
      <c r="G1501" s="131"/>
      <c r="H1501" s="186" t="s">
        <v>4546</v>
      </c>
      <c r="I1501" s="125" t="s">
        <v>326</v>
      </c>
      <c r="J1501" s="125" t="s">
        <v>341</v>
      </c>
      <c r="K1501" s="125" t="s">
        <v>580</v>
      </c>
      <c r="L1501" s="125" t="s">
        <v>315</v>
      </c>
      <c r="M1501" s="125" t="s">
        <v>508</v>
      </c>
    </row>
    <row r="1502" spans="1:13" s="114" customFormat="1" ht="25.5">
      <c r="A1502" s="136">
        <v>1500</v>
      </c>
      <c r="B1502" s="129" t="s">
        <v>4547</v>
      </c>
      <c r="C1502" s="160" t="s">
        <v>4543</v>
      </c>
      <c r="D1502" s="159" t="s">
        <v>4544</v>
      </c>
      <c r="E1502" s="84" t="s">
        <v>4548</v>
      </c>
      <c r="F1502" s="113"/>
      <c r="G1502" s="131"/>
      <c r="H1502" s="186" t="s">
        <v>773</v>
      </c>
      <c r="I1502" s="125" t="s">
        <v>326</v>
      </c>
      <c r="J1502" s="125" t="s">
        <v>341</v>
      </c>
      <c r="K1502" s="125" t="s">
        <v>580</v>
      </c>
      <c r="L1502" s="125" t="s">
        <v>315</v>
      </c>
      <c r="M1502" s="125" t="s">
        <v>508</v>
      </c>
    </row>
    <row r="1503" spans="1:13" s="114" customFormat="1" ht="25.5">
      <c r="A1503" s="136">
        <v>1501</v>
      </c>
      <c r="B1503" s="129" t="s">
        <v>4529</v>
      </c>
      <c r="C1503" s="160" t="s">
        <v>4543</v>
      </c>
      <c r="D1503" s="159" t="s">
        <v>4544</v>
      </c>
      <c r="E1503" s="84" t="s">
        <v>4549</v>
      </c>
      <c r="F1503" s="113"/>
      <c r="G1503" s="131"/>
      <c r="H1503" s="186" t="s">
        <v>4550</v>
      </c>
      <c r="I1503" s="125" t="s">
        <v>326</v>
      </c>
      <c r="J1503" s="125" t="s">
        <v>341</v>
      </c>
      <c r="K1503" s="125" t="s">
        <v>580</v>
      </c>
      <c r="L1503" s="125" t="s">
        <v>315</v>
      </c>
      <c r="M1503" s="125" t="s">
        <v>508</v>
      </c>
    </row>
    <row r="1504" spans="1:13" s="114" customFormat="1" ht="25.5">
      <c r="A1504" s="136">
        <v>1502</v>
      </c>
      <c r="B1504" s="129" t="s">
        <v>2714</v>
      </c>
      <c r="C1504" s="160" t="s">
        <v>4543</v>
      </c>
      <c r="D1504" s="159" t="s">
        <v>4544</v>
      </c>
      <c r="E1504" s="84" t="s">
        <v>4551</v>
      </c>
      <c r="F1504" s="113"/>
      <c r="G1504" s="131"/>
      <c r="H1504" s="186" t="s">
        <v>4552</v>
      </c>
      <c r="I1504" s="125" t="s">
        <v>326</v>
      </c>
      <c r="J1504" s="125" t="s">
        <v>341</v>
      </c>
      <c r="K1504" s="125" t="s">
        <v>601</v>
      </c>
      <c r="L1504" s="125" t="s">
        <v>315</v>
      </c>
      <c r="M1504" s="125" t="s">
        <v>508</v>
      </c>
    </row>
    <row r="1505" spans="1:13" s="114" customFormat="1" ht="25.5">
      <c r="A1505" s="136">
        <v>1503</v>
      </c>
      <c r="B1505" s="129" t="s">
        <v>4553</v>
      </c>
      <c r="C1505" s="160" t="s">
        <v>4543</v>
      </c>
      <c r="D1505" s="159" t="s">
        <v>4544</v>
      </c>
      <c r="E1505" s="84" t="s">
        <v>4554</v>
      </c>
      <c r="F1505" s="113"/>
      <c r="G1505" s="131"/>
      <c r="H1505" s="186" t="s">
        <v>658</v>
      </c>
      <c r="I1505" s="125" t="s">
        <v>326</v>
      </c>
      <c r="J1505" s="125" t="s">
        <v>346</v>
      </c>
      <c r="K1505" s="125" t="s">
        <v>659</v>
      </c>
      <c r="L1505" s="125" t="s">
        <v>315</v>
      </c>
      <c r="M1505" s="125" t="s">
        <v>508</v>
      </c>
    </row>
    <row r="1506" spans="1:13" s="114" customFormat="1" ht="38.25">
      <c r="A1506" s="136">
        <v>1504</v>
      </c>
      <c r="B1506" s="129" t="s">
        <v>4555</v>
      </c>
      <c r="C1506" s="160" t="s">
        <v>4543</v>
      </c>
      <c r="D1506" s="159" t="s">
        <v>4544</v>
      </c>
      <c r="E1506" s="84" t="s">
        <v>4556</v>
      </c>
      <c r="F1506" s="113"/>
      <c r="G1506" s="131"/>
      <c r="H1506" s="186" t="s">
        <v>773</v>
      </c>
      <c r="I1506" s="125" t="s">
        <v>326</v>
      </c>
      <c r="J1506" s="125" t="s">
        <v>341</v>
      </c>
      <c r="K1506" s="125" t="s">
        <v>580</v>
      </c>
      <c r="L1506" s="125" t="s">
        <v>315</v>
      </c>
      <c r="M1506" s="125" t="s">
        <v>508</v>
      </c>
    </row>
    <row r="1507" spans="1:13" s="114" customFormat="1" ht="25.5">
      <c r="A1507" s="136">
        <v>1505</v>
      </c>
      <c r="B1507" s="129" t="s">
        <v>4557</v>
      </c>
      <c r="C1507" s="160" t="s">
        <v>4543</v>
      </c>
      <c r="D1507" s="159" t="s">
        <v>4544</v>
      </c>
      <c r="E1507" s="84" t="s">
        <v>4558</v>
      </c>
      <c r="F1507" s="113"/>
      <c r="G1507" s="131"/>
      <c r="H1507" s="186" t="s">
        <v>4559</v>
      </c>
      <c r="I1507" s="125" t="s">
        <v>326</v>
      </c>
      <c r="J1507" s="125" t="s">
        <v>346</v>
      </c>
      <c r="K1507" s="125" t="s">
        <v>761</v>
      </c>
      <c r="L1507" s="125" t="s">
        <v>315</v>
      </c>
      <c r="M1507" s="125" t="s">
        <v>508</v>
      </c>
    </row>
    <row r="1508" spans="1:13" s="114" customFormat="1" ht="25.5">
      <c r="A1508" s="136">
        <v>1506</v>
      </c>
      <c r="B1508" s="129" t="s">
        <v>4560</v>
      </c>
      <c r="C1508" s="160" t="s">
        <v>4543</v>
      </c>
      <c r="D1508" s="159" t="s">
        <v>4544</v>
      </c>
      <c r="E1508" s="84" t="s">
        <v>4561</v>
      </c>
      <c r="F1508" s="113"/>
      <c r="G1508" s="131"/>
      <c r="H1508" s="186" t="s">
        <v>4557</v>
      </c>
      <c r="I1508" s="125" t="s">
        <v>326</v>
      </c>
      <c r="J1508" s="125" t="s">
        <v>346</v>
      </c>
      <c r="K1508" s="125" t="s">
        <v>761</v>
      </c>
      <c r="L1508" s="125" t="s">
        <v>315</v>
      </c>
      <c r="M1508" s="125" t="s">
        <v>508</v>
      </c>
    </row>
    <row r="1509" spans="1:13" s="114" customFormat="1" ht="38.25">
      <c r="A1509" s="136">
        <v>1507</v>
      </c>
      <c r="B1509" s="129" t="s">
        <v>4562</v>
      </c>
      <c r="C1509" s="160" t="s">
        <v>4543</v>
      </c>
      <c r="D1509" s="159" t="s">
        <v>4544</v>
      </c>
      <c r="E1509" s="84" t="s">
        <v>4563</v>
      </c>
      <c r="F1509" s="113"/>
      <c r="G1509" s="131"/>
      <c r="H1509" s="186" t="s">
        <v>4557</v>
      </c>
      <c r="I1509" s="125" t="s">
        <v>326</v>
      </c>
      <c r="J1509" s="125" t="s">
        <v>346</v>
      </c>
      <c r="K1509" s="125" t="s">
        <v>761</v>
      </c>
      <c r="L1509" s="125" t="s">
        <v>315</v>
      </c>
      <c r="M1509" s="125" t="s">
        <v>508</v>
      </c>
    </row>
    <row r="1510" spans="1:13" s="114" customFormat="1" ht="25.5">
      <c r="A1510" s="136">
        <v>1508</v>
      </c>
      <c r="B1510" s="129" t="s">
        <v>4564</v>
      </c>
      <c r="C1510" s="160" t="s">
        <v>4543</v>
      </c>
      <c r="D1510" s="159" t="s">
        <v>4544</v>
      </c>
      <c r="E1510" s="84" t="s">
        <v>4565</v>
      </c>
      <c r="F1510" s="113"/>
      <c r="G1510" s="131"/>
      <c r="H1510" s="186" t="s">
        <v>760</v>
      </c>
      <c r="I1510" s="125" t="s">
        <v>326</v>
      </c>
      <c r="J1510" s="125" t="s">
        <v>346</v>
      </c>
      <c r="K1510" s="125" t="s">
        <v>761</v>
      </c>
      <c r="L1510" s="125" t="s">
        <v>315</v>
      </c>
      <c r="M1510" s="125" t="s">
        <v>508</v>
      </c>
    </row>
    <row r="1511" spans="1:13" s="114" customFormat="1" ht="38.25">
      <c r="A1511" s="136">
        <v>1509</v>
      </c>
      <c r="B1511" s="129" t="s">
        <v>4566</v>
      </c>
      <c r="C1511" s="160" t="s">
        <v>4543</v>
      </c>
      <c r="D1511" s="159" t="s">
        <v>4544</v>
      </c>
      <c r="E1511" s="84" t="s">
        <v>4567</v>
      </c>
      <c r="F1511" s="113"/>
      <c r="G1511" s="131"/>
      <c r="H1511" s="186" t="s">
        <v>766</v>
      </c>
      <c r="I1511" s="125" t="s">
        <v>326</v>
      </c>
      <c r="J1511" s="125" t="s">
        <v>331</v>
      </c>
      <c r="K1511" s="125" t="s">
        <v>512</v>
      </c>
      <c r="L1511" s="125" t="s">
        <v>315</v>
      </c>
      <c r="M1511" s="125" t="s">
        <v>508</v>
      </c>
    </row>
    <row r="1512" spans="1:13" s="114" customFormat="1" ht="25.5">
      <c r="A1512" s="136">
        <v>1510</v>
      </c>
      <c r="B1512" s="129" t="s">
        <v>4568</v>
      </c>
      <c r="C1512" s="160" t="s">
        <v>4543</v>
      </c>
      <c r="D1512" s="159" t="s">
        <v>4544</v>
      </c>
      <c r="E1512" s="84" t="s">
        <v>4569</v>
      </c>
      <c r="F1512" s="113"/>
      <c r="G1512" s="131"/>
      <c r="H1512" s="186" t="s">
        <v>4570</v>
      </c>
      <c r="I1512" s="125" t="s">
        <v>326</v>
      </c>
      <c r="J1512" s="125" t="s">
        <v>341</v>
      </c>
      <c r="K1512" s="125" t="s">
        <v>580</v>
      </c>
      <c r="L1512" s="125" t="s">
        <v>315</v>
      </c>
      <c r="M1512" s="125" t="s">
        <v>508</v>
      </c>
    </row>
    <row r="1513" spans="1:13" s="114" customFormat="1" ht="25.5">
      <c r="A1513" s="136">
        <v>1511</v>
      </c>
      <c r="B1513" s="129" t="s">
        <v>4571</v>
      </c>
      <c r="C1513" s="160" t="s">
        <v>4543</v>
      </c>
      <c r="D1513" s="159" t="s">
        <v>4544</v>
      </c>
      <c r="E1513" s="84" t="s">
        <v>4572</v>
      </c>
      <c r="F1513" s="113"/>
      <c r="G1513" s="131"/>
      <c r="H1513" s="186" t="s">
        <v>4519</v>
      </c>
      <c r="I1513" s="125" t="s">
        <v>326</v>
      </c>
      <c r="J1513" s="125" t="s">
        <v>341</v>
      </c>
      <c r="K1513" s="125" t="s">
        <v>580</v>
      </c>
      <c r="L1513" s="125" t="s">
        <v>315</v>
      </c>
      <c r="M1513" s="125" t="s">
        <v>508</v>
      </c>
    </row>
    <row r="1514" spans="1:13" s="114" customFormat="1" ht="25.5">
      <c r="A1514" s="136">
        <v>1512</v>
      </c>
      <c r="B1514" s="129" t="s">
        <v>4573</v>
      </c>
      <c r="C1514" s="160" t="s">
        <v>4543</v>
      </c>
      <c r="D1514" s="159" t="s">
        <v>4544</v>
      </c>
      <c r="E1514" s="84" t="s">
        <v>4574</v>
      </c>
      <c r="F1514" s="113"/>
      <c r="G1514" s="131"/>
      <c r="H1514" s="186" t="s">
        <v>4575</v>
      </c>
      <c r="I1514" s="125" t="s">
        <v>327</v>
      </c>
      <c r="J1514" s="125" t="s">
        <v>337</v>
      </c>
      <c r="K1514" s="125" t="s">
        <v>1827</v>
      </c>
      <c r="L1514" s="125" t="s">
        <v>315</v>
      </c>
      <c r="M1514" s="125" t="s">
        <v>508</v>
      </c>
    </row>
    <row r="1515" spans="1:13" s="114" customFormat="1" ht="25.5">
      <c r="A1515" s="136">
        <v>1513</v>
      </c>
      <c r="B1515" s="129" t="s">
        <v>4576</v>
      </c>
      <c r="C1515" s="160" t="s">
        <v>4543</v>
      </c>
      <c r="D1515" s="159" t="s">
        <v>4544</v>
      </c>
      <c r="E1515" s="84" t="s">
        <v>4577</v>
      </c>
      <c r="F1515" s="113"/>
      <c r="G1515" s="131"/>
      <c r="H1515" s="186" t="s">
        <v>4522</v>
      </c>
      <c r="I1515" s="125" t="s">
        <v>323</v>
      </c>
      <c r="J1515" s="125" t="s">
        <v>330</v>
      </c>
      <c r="K1515" s="125" t="s">
        <v>1061</v>
      </c>
      <c r="L1515" s="125" t="s">
        <v>315</v>
      </c>
      <c r="M1515" s="125" t="s">
        <v>508</v>
      </c>
    </row>
    <row r="1516" spans="1:13" s="114" customFormat="1" ht="25.5">
      <c r="A1516" s="136">
        <v>1514</v>
      </c>
      <c r="B1516" s="129" t="s">
        <v>4578</v>
      </c>
      <c r="C1516" s="160" t="s">
        <v>4543</v>
      </c>
      <c r="D1516" s="159" t="s">
        <v>4544</v>
      </c>
      <c r="E1516" s="84" t="s">
        <v>4579</v>
      </c>
      <c r="F1516" s="113"/>
      <c r="G1516" s="131"/>
      <c r="H1516" s="186" t="s">
        <v>4474</v>
      </c>
      <c r="I1516" s="125" t="s">
        <v>327</v>
      </c>
      <c r="J1516" s="125" t="s">
        <v>337</v>
      </c>
      <c r="K1516" s="125" t="s">
        <v>1071</v>
      </c>
      <c r="L1516" s="125" t="s">
        <v>315</v>
      </c>
      <c r="M1516" s="125" t="s">
        <v>508</v>
      </c>
    </row>
    <row r="1517" spans="1:13" s="114" customFormat="1" ht="25.5">
      <c r="A1517" s="136">
        <v>1515</v>
      </c>
      <c r="B1517" s="129" t="s">
        <v>4580</v>
      </c>
      <c r="C1517" s="160" t="s">
        <v>4543</v>
      </c>
      <c r="D1517" s="159" t="s">
        <v>4544</v>
      </c>
      <c r="E1517" s="84" t="s">
        <v>4581</v>
      </c>
      <c r="F1517" s="113"/>
      <c r="G1517" s="131"/>
      <c r="H1517" s="186" t="s">
        <v>4582</v>
      </c>
      <c r="I1517" s="125" t="s">
        <v>326</v>
      </c>
      <c r="J1517" s="125" t="s">
        <v>352</v>
      </c>
      <c r="K1517" s="125" t="s">
        <v>526</v>
      </c>
      <c r="L1517" s="125" t="s">
        <v>315</v>
      </c>
      <c r="M1517" s="125" t="s">
        <v>508</v>
      </c>
    </row>
    <row r="1518" spans="1:13" s="114" customFormat="1" ht="25.5">
      <c r="A1518" s="136">
        <v>1516</v>
      </c>
      <c r="B1518" s="129" t="s">
        <v>4583</v>
      </c>
      <c r="C1518" s="160" t="s">
        <v>4543</v>
      </c>
      <c r="D1518" s="159" t="s">
        <v>4544</v>
      </c>
      <c r="E1518" s="84" t="s">
        <v>4584</v>
      </c>
      <c r="F1518" s="113"/>
      <c r="G1518" s="131"/>
      <c r="H1518" s="186" t="s">
        <v>4580</v>
      </c>
      <c r="I1518" s="125" t="s">
        <v>326</v>
      </c>
      <c r="J1518" s="125" t="s">
        <v>352</v>
      </c>
      <c r="K1518" s="125" t="s">
        <v>526</v>
      </c>
      <c r="L1518" s="125" t="s">
        <v>315</v>
      </c>
      <c r="M1518" s="125" t="s">
        <v>508</v>
      </c>
    </row>
    <row r="1519" spans="1:13" s="114" customFormat="1" ht="51">
      <c r="A1519" s="136">
        <v>1517</v>
      </c>
      <c r="B1519" s="129" t="s">
        <v>2708</v>
      </c>
      <c r="C1519" s="160" t="s">
        <v>4543</v>
      </c>
      <c r="D1519" s="159" t="s">
        <v>4544</v>
      </c>
      <c r="E1519" s="84" t="s">
        <v>4585</v>
      </c>
      <c r="F1519" s="113"/>
      <c r="G1519" s="131"/>
      <c r="H1519" s="186" t="s">
        <v>4586</v>
      </c>
      <c r="I1519" s="125" t="s">
        <v>326</v>
      </c>
      <c r="J1519" s="125" t="s">
        <v>331</v>
      </c>
      <c r="K1519" s="125" t="s">
        <v>530</v>
      </c>
      <c r="L1519" s="125" t="s">
        <v>315</v>
      </c>
      <c r="M1519" s="125" t="s">
        <v>508</v>
      </c>
    </row>
    <row r="1520" spans="1:13" s="114" customFormat="1" ht="51">
      <c r="A1520" s="136">
        <v>1518</v>
      </c>
      <c r="B1520" s="129" t="s">
        <v>4587</v>
      </c>
      <c r="C1520" s="160" t="s">
        <v>4543</v>
      </c>
      <c r="D1520" s="159" t="s">
        <v>4544</v>
      </c>
      <c r="E1520" s="84" t="s">
        <v>4588</v>
      </c>
      <c r="F1520" s="113"/>
      <c r="G1520" s="131"/>
      <c r="H1520" s="186" t="s">
        <v>2708</v>
      </c>
      <c r="I1520" s="125" t="s">
        <v>326</v>
      </c>
      <c r="J1520" s="125" t="s">
        <v>331</v>
      </c>
      <c r="K1520" s="125" t="s">
        <v>530</v>
      </c>
      <c r="L1520" s="125" t="s">
        <v>315</v>
      </c>
      <c r="M1520" s="125" t="s">
        <v>508</v>
      </c>
    </row>
    <row r="1521" spans="1:13" s="114" customFormat="1" ht="51">
      <c r="A1521" s="136">
        <v>1519</v>
      </c>
      <c r="B1521" s="129" t="s">
        <v>4589</v>
      </c>
      <c r="C1521" s="160" t="s">
        <v>4543</v>
      </c>
      <c r="D1521" s="159" t="s">
        <v>4544</v>
      </c>
      <c r="E1521" s="84" t="s">
        <v>4590</v>
      </c>
      <c r="F1521" s="113"/>
      <c r="G1521" s="131"/>
      <c r="H1521" s="186" t="s">
        <v>2708</v>
      </c>
      <c r="I1521" s="125" t="s">
        <v>326</v>
      </c>
      <c r="J1521" s="125" t="s">
        <v>331</v>
      </c>
      <c r="K1521" s="125" t="s">
        <v>530</v>
      </c>
      <c r="L1521" s="125" t="s">
        <v>315</v>
      </c>
      <c r="M1521" s="125" t="s">
        <v>508</v>
      </c>
    </row>
    <row r="1522" spans="1:13" s="114" customFormat="1" ht="38.25">
      <c r="A1522" s="136">
        <v>1520</v>
      </c>
      <c r="B1522" s="129" t="s">
        <v>4591</v>
      </c>
      <c r="C1522" s="160" t="s">
        <v>4543</v>
      </c>
      <c r="D1522" s="159" t="s">
        <v>4544</v>
      </c>
      <c r="E1522" s="84" t="s">
        <v>4592</v>
      </c>
      <c r="F1522" s="113"/>
      <c r="G1522" s="131"/>
      <c r="H1522" s="186" t="s">
        <v>766</v>
      </c>
      <c r="I1522" s="125" t="s">
        <v>326</v>
      </c>
      <c r="J1522" s="125" t="s">
        <v>331</v>
      </c>
      <c r="K1522" s="125" t="s">
        <v>512</v>
      </c>
      <c r="L1522" s="125" t="s">
        <v>315</v>
      </c>
      <c r="M1522" s="125" t="s">
        <v>508</v>
      </c>
    </row>
    <row r="1523" spans="1:13" s="114" customFormat="1" ht="51">
      <c r="A1523" s="136">
        <v>1521</v>
      </c>
      <c r="B1523" s="129" t="s">
        <v>4593</v>
      </c>
      <c r="C1523" s="160" t="s">
        <v>4543</v>
      </c>
      <c r="D1523" s="159" t="s">
        <v>4544</v>
      </c>
      <c r="E1523" s="84" t="s">
        <v>4594</v>
      </c>
      <c r="F1523" s="113"/>
      <c r="G1523" s="131"/>
      <c r="H1523" s="186" t="s">
        <v>4595</v>
      </c>
      <c r="I1523" s="125" t="s">
        <v>326</v>
      </c>
      <c r="J1523" s="125" t="s">
        <v>331</v>
      </c>
      <c r="K1523" s="125" t="s">
        <v>530</v>
      </c>
      <c r="L1523" s="125" t="s">
        <v>315</v>
      </c>
      <c r="M1523" s="125" t="s">
        <v>508</v>
      </c>
    </row>
    <row r="1524" spans="1:13" s="114" customFormat="1" ht="25.5">
      <c r="A1524" s="136">
        <v>1522</v>
      </c>
      <c r="B1524" s="136" t="s">
        <v>4596</v>
      </c>
      <c r="C1524" s="141">
        <v>1.5</v>
      </c>
      <c r="D1524" s="142" t="s">
        <v>4597</v>
      </c>
      <c r="E1524" s="84" t="s">
        <v>4598</v>
      </c>
      <c r="F1524" s="113"/>
      <c r="G1524" s="131"/>
      <c r="H1524" s="186" t="s">
        <v>760</v>
      </c>
      <c r="I1524" s="125" t="s">
        <v>326</v>
      </c>
      <c r="J1524" s="125" t="s">
        <v>346</v>
      </c>
      <c r="K1524" s="125" t="s">
        <v>761</v>
      </c>
      <c r="L1524" s="125" t="s">
        <v>315</v>
      </c>
      <c r="M1524" s="125" t="s">
        <v>508</v>
      </c>
    </row>
    <row r="1525" spans="1:13" s="114" customFormat="1" ht="25.5">
      <c r="A1525" s="136">
        <v>1523</v>
      </c>
      <c r="B1525" s="136" t="s">
        <v>760</v>
      </c>
      <c r="C1525" s="141">
        <v>1.5</v>
      </c>
      <c r="D1525" s="142" t="s">
        <v>4599</v>
      </c>
      <c r="E1525" s="84" t="s">
        <v>4600</v>
      </c>
      <c r="F1525" s="113"/>
      <c r="G1525" s="131"/>
      <c r="H1525" s="186" t="s">
        <v>4601</v>
      </c>
      <c r="I1525" s="125" t="s">
        <v>326</v>
      </c>
      <c r="J1525" s="125" t="s">
        <v>346</v>
      </c>
      <c r="K1525" s="125" t="s">
        <v>761</v>
      </c>
      <c r="L1525" s="125" t="s">
        <v>315</v>
      </c>
      <c r="M1525" s="125" t="s">
        <v>508</v>
      </c>
    </row>
    <row r="1526" spans="1:13" s="114" customFormat="1" ht="38.25">
      <c r="A1526" s="136">
        <v>1524</v>
      </c>
      <c r="B1526" s="136" t="s">
        <v>4602</v>
      </c>
      <c r="C1526" s="141">
        <v>1.5</v>
      </c>
      <c r="D1526" s="142" t="s">
        <v>4603</v>
      </c>
      <c r="E1526" s="84" t="s">
        <v>4604</v>
      </c>
      <c r="F1526" s="113"/>
      <c r="G1526" s="131"/>
      <c r="H1526" s="186" t="s">
        <v>760</v>
      </c>
      <c r="I1526" s="125" t="s">
        <v>326</v>
      </c>
      <c r="J1526" s="125" t="s">
        <v>346</v>
      </c>
      <c r="K1526" s="125" t="s">
        <v>761</v>
      </c>
      <c r="L1526" s="125" t="s">
        <v>315</v>
      </c>
      <c r="M1526" s="125" t="s">
        <v>508</v>
      </c>
    </row>
    <row r="1527" spans="1:13" s="114" customFormat="1" ht="38.25">
      <c r="A1527" s="136">
        <v>1525</v>
      </c>
      <c r="B1527" s="136" t="s">
        <v>4605</v>
      </c>
      <c r="C1527" s="141">
        <v>1.5</v>
      </c>
      <c r="D1527" s="142" t="s">
        <v>4603</v>
      </c>
      <c r="E1527" s="84" t="s">
        <v>4606</v>
      </c>
      <c r="F1527" s="113"/>
      <c r="G1527" s="131"/>
      <c r="H1527" s="186" t="s">
        <v>658</v>
      </c>
      <c r="I1527" s="125" t="s">
        <v>326</v>
      </c>
      <c r="J1527" s="125" t="s">
        <v>346</v>
      </c>
      <c r="K1527" s="125" t="s">
        <v>659</v>
      </c>
      <c r="L1527" s="125" t="s">
        <v>315</v>
      </c>
      <c r="M1527" s="125" t="s">
        <v>508</v>
      </c>
    </row>
    <row r="1528" spans="1:13" s="114" customFormat="1" ht="25.5">
      <c r="A1528" s="136">
        <v>1526</v>
      </c>
      <c r="B1528" s="136" t="s">
        <v>4607</v>
      </c>
      <c r="C1528" s="141">
        <v>1.5</v>
      </c>
      <c r="D1528" s="142" t="s">
        <v>4608</v>
      </c>
      <c r="E1528" s="84" t="s">
        <v>4609</v>
      </c>
      <c r="F1528" s="113"/>
      <c r="G1528" s="131"/>
      <c r="H1528" s="186" t="s">
        <v>760</v>
      </c>
      <c r="I1528" s="125" t="s">
        <v>326</v>
      </c>
      <c r="J1528" s="125" t="s">
        <v>346</v>
      </c>
      <c r="K1528" s="125" t="s">
        <v>761</v>
      </c>
      <c r="L1528" s="125" t="s">
        <v>315</v>
      </c>
      <c r="M1528" s="125" t="s">
        <v>508</v>
      </c>
    </row>
    <row r="1529" spans="1:13" s="114" customFormat="1" ht="25.5">
      <c r="A1529" s="136">
        <v>1527</v>
      </c>
      <c r="B1529" s="136" t="s">
        <v>4610</v>
      </c>
      <c r="C1529" s="141">
        <v>3.3</v>
      </c>
      <c r="D1529" s="142" t="s">
        <v>4611</v>
      </c>
      <c r="E1529" s="84" t="s">
        <v>4612</v>
      </c>
      <c r="F1529" s="113"/>
      <c r="G1529" s="131"/>
      <c r="H1529" s="186" t="s">
        <v>4613</v>
      </c>
      <c r="I1529" s="125" t="s">
        <v>326</v>
      </c>
      <c r="J1529" s="125" t="s">
        <v>331</v>
      </c>
      <c r="K1529" s="125" t="s">
        <v>1178</v>
      </c>
      <c r="L1529" s="125" t="s">
        <v>315</v>
      </c>
      <c r="M1529" s="125" t="s">
        <v>508</v>
      </c>
    </row>
    <row r="1530" spans="1:13" s="114" customFormat="1" ht="25.5">
      <c r="A1530" s="136">
        <v>1528</v>
      </c>
      <c r="B1530" s="136" t="s">
        <v>4614</v>
      </c>
      <c r="C1530" s="141">
        <v>4.0999999999999996</v>
      </c>
      <c r="D1530" s="142" t="s">
        <v>4615</v>
      </c>
      <c r="E1530" s="84" t="s">
        <v>4616</v>
      </c>
      <c r="F1530" s="113"/>
      <c r="G1530" s="131"/>
      <c r="H1530" s="186" t="s">
        <v>4580</v>
      </c>
      <c r="I1530" s="125" t="s">
        <v>326</v>
      </c>
      <c r="J1530" s="125" t="s">
        <v>352</v>
      </c>
      <c r="K1530" s="125" t="s">
        <v>526</v>
      </c>
      <c r="L1530" s="125" t="s">
        <v>315</v>
      </c>
      <c r="M1530" s="125" t="s">
        <v>508</v>
      </c>
    </row>
    <row r="1531" spans="1:13" s="114" customFormat="1" ht="25.5">
      <c r="A1531" s="136">
        <v>1529</v>
      </c>
      <c r="B1531" s="136" t="s">
        <v>4617</v>
      </c>
      <c r="C1531" s="141">
        <v>4.0999999999999996</v>
      </c>
      <c r="D1531" s="142" t="s">
        <v>4615</v>
      </c>
      <c r="E1531" s="84" t="s">
        <v>4618</v>
      </c>
      <c r="F1531" s="113"/>
      <c r="G1531" s="131"/>
      <c r="H1531" s="186" t="s">
        <v>760</v>
      </c>
      <c r="I1531" s="125" t="s">
        <v>326</v>
      </c>
      <c r="J1531" s="125" t="s">
        <v>346</v>
      </c>
      <c r="K1531" s="125" t="s">
        <v>761</v>
      </c>
      <c r="L1531" s="125" t="s">
        <v>315</v>
      </c>
      <c r="M1531" s="125" t="s">
        <v>508</v>
      </c>
    </row>
    <row r="1532" spans="1:13" s="114" customFormat="1" ht="25.5">
      <c r="A1532" s="136">
        <v>1530</v>
      </c>
      <c r="B1532" s="136" t="s">
        <v>4619</v>
      </c>
      <c r="C1532" s="141">
        <v>4.0999999999999996</v>
      </c>
      <c r="D1532" s="142" t="s">
        <v>4615</v>
      </c>
      <c r="E1532" s="84" t="s">
        <v>4620</v>
      </c>
      <c r="F1532" s="113"/>
      <c r="G1532" s="131"/>
      <c r="H1532" s="186" t="s">
        <v>2714</v>
      </c>
      <c r="I1532" s="125" t="s">
        <v>326</v>
      </c>
      <c r="J1532" s="125" t="s">
        <v>341</v>
      </c>
      <c r="K1532" s="125" t="s">
        <v>601</v>
      </c>
      <c r="L1532" s="125" t="s">
        <v>315</v>
      </c>
      <c r="M1532" s="125" t="s">
        <v>508</v>
      </c>
    </row>
    <row r="1533" spans="1:13" s="114" customFormat="1" ht="25.5">
      <c r="A1533" s="136">
        <v>1531</v>
      </c>
      <c r="B1533" s="136" t="s">
        <v>4621</v>
      </c>
      <c r="C1533" s="141">
        <v>4.2</v>
      </c>
      <c r="D1533" s="142" t="s">
        <v>4622</v>
      </c>
      <c r="E1533" s="84" t="s">
        <v>4623</v>
      </c>
      <c r="F1533" s="113"/>
      <c r="G1533" s="131"/>
      <c r="H1533" s="186" t="s">
        <v>4489</v>
      </c>
      <c r="I1533" s="125" t="s">
        <v>326</v>
      </c>
      <c r="J1533" s="125" t="s">
        <v>352</v>
      </c>
      <c r="K1533" s="125" t="s">
        <v>597</v>
      </c>
      <c r="L1533" s="125" t="s">
        <v>315</v>
      </c>
      <c r="M1533" s="125" t="s">
        <v>508</v>
      </c>
    </row>
    <row r="1534" spans="1:13" s="114" customFormat="1" ht="25.5">
      <c r="A1534" s="136">
        <v>1532</v>
      </c>
      <c r="B1534" s="136" t="s">
        <v>4624</v>
      </c>
      <c r="C1534" s="141">
        <v>4.2</v>
      </c>
      <c r="D1534" s="142" t="s">
        <v>4622</v>
      </c>
      <c r="E1534" s="84" t="s">
        <v>4625</v>
      </c>
      <c r="F1534" s="113"/>
      <c r="G1534" s="131"/>
      <c r="H1534" s="186" t="s">
        <v>760</v>
      </c>
      <c r="I1534" s="125" t="s">
        <v>326</v>
      </c>
      <c r="J1534" s="125" t="s">
        <v>346</v>
      </c>
      <c r="K1534" s="125" t="s">
        <v>761</v>
      </c>
      <c r="L1534" s="125" t="s">
        <v>315</v>
      </c>
      <c r="M1534" s="125" t="s">
        <v>508</v>
      </c>
    </row>
    <row r="1535" spans="1:13" s="114" customFormat="1" ht="38.25">
      <c r="A1535" s="136">
        <v>1533</v>
      </c>
      <c r="B1535" s="136" t="s">
        <v>4626</v>
      </c>
      <c r="C1535" s="141" t="s">
        <v>4627</v>
      </c>
      <c r="D1535" s="142" t="s">
        <v>4628</v>
      </c>
      <c r="E1535" s="84" t="s">
        <v>4629</v>
      </c>
      <c r="F1535" s="113"/>
      <c r="G1535" s="131"/>
      <c r="H1535" s="186" t="s">
        <v>4529</v>
      </c>
      <c r="I1535" s="125" t="s">
        <v>326</v>
      </c>
      <c r="J1535" s="125" t="s">
        <v>341</v>
      </c>
      <c r="K1535" s="125" t="s">
        <v>580</v>
      </c>
      <c r="L1535" s="125" t="s">
        <v>315</v>
      </c>
      <c r="M1535" s="125" t="s">
        <v>508</v>
      </c>
    </row>
    <row r="1536" spans="1:13" s="114" customFormat="1" ht="38.25">
      <c r="A1536" s="136">
        <v>1534</v>
      </c>
      <c r="B1536" s="136" t="s">
        <v>4630</v>
      </c>
      <c r="C1536" s="141" t="s">
        <v>3329</v>
      </c>
      <c r="D1536" s="142" t="s">
        <v>4631</v>
      </c>
      <c r="E1536" s="84" t="s">
        <v>4632</v>
      </c>
      <c r="F1536" s="113"/>
      <c r="G1536" s="131"/>
      <c r="H1536" s="186" t="s">
        <v>4489</v>
      </c>
      <c r="I1536" s="125" t="s">
        <v>326</v>
      </c>
      <c r="J1536" s="125" t="s">
        <v>352</v>
      </c>
      <c r="K1536" s="125" t="s">
        <v>597</v>
      </c>
      <c r="L1536" s="125" t="s">
        <v>315</v>
      </c>
      <c r="M1536" s="125" t="s">
        <v>508</v>
      </c>
    </row>
    <row r="1537" spans="1:13" s="114" customFormat="1" ht="38.25">
      <c r="A1537" s="136">
        <v>1535</v>
      </c>
      <c r="B1537" s="136" t="s">
        <v>4633</v>
      </c>
      <c r="C1537" s="141">
        <v>5.3</v>
      </c>
      <c r="D1537" s="142" t="s">
        <v>4631</v>
      </c>
      <c r="E1537" s="84" t="s">
        <v>4634</v>
      </c>
      <c r="F1537" s="113"/>
      <c r="G1537" s="131"/>
      <c r="H1537" s="186" t="s">
        <v>4489</v>
      </c>
      <c r="I1537" s="125" t="s">
        <v>326</v>
      </c>
      <c r="J1537" s="125" t="s">
        <v>352</v>
      </c>
      <c r="K1537" s="125" t="s">
        <v>597</v>
      </c>
      <c r="L1537" s="125" t="s">
        <v>315</v>
      </c>
      <c r="M1537" s="125" t="s">
        <v>508</v>
      </c>
    </row>
    <row r="1538" spans="1:13" s="114" customFormat="1" ht="63.75">
      <c r="A1538" s="136">
        <v>1536</v>
      </c>
      <c r="B1538" s="136" t="s">
        <v>4635</v>
      </c>
      <c r="C1538" s="141" t="s">
        <v>3353</v>
      </c>
      <c r="D1538" s="142" t="s">
        <v>4636</v>
      </c>
      <c r="E1538" s="84" t="s">
        <v>4637</v>
      </c>
      <c r="F1538" s="113"/>
      <c r="G1538" s="131"/>
      <c r="H1538" s="186" t="s">
        <v>4580</v>
      </c>
      <c r="I1538" s="125" t="s">
        <v>326</v>
      </c>
      <c r="J1538" s="125" t="s">
        <v>352</v>
      </c>
      <c r="K1538" s="125" t="s">
        <v>526</v>
      </c>
      <c r="L1538" s="125" t="s">
        <v>315</v>
      </c>
      <c r="M1538" s="125" t="s">
        <v>508</v>
      </c>
    </row>
    <row r="1539" spans="1:13" s="114" customFormat="1" ht="25.5">
      <c r="A1539" s="136">
        <v>1537</v>
      </c>
      <c r="B1539" s="136" t="s">
        <v>4638</v>
      </c>
      <c r="C1539" s="141" t="s">
        <v>3353</v>
      </c>
      <c r="D1539" s="142" t="s">
        <v>4636</v>
      </c>
      <c r="E1539" s="84" t="s">
        <v>4639</v>
      </c>
      <c r="F1539" s="113"/>
      <c r="G1539" s="131"/>
      <c r="H1539" s="186" t="s">
        <v>4580</v>
      </c>
      <c r="I1539" s="125" t="s">
        <v>326</v>
      </c>
      <c r="J1539" s="125" t="s">
        <v>352</v>
      </c>
      <c r="K1539" s="125" t="s">
        <v>526</v>
      </c>
      <c r="L1539" s="125" t="s">
        <v>315</v>
      </c>
      <c r="M1539" s="125" t="s">
        <v>508</v>
      </c>
    </row>
    <row r="1540" spans="1:13" s="114" customFormat="1" ht="38.25">
      <c r="A1540" s="136">
        <v>1538</v>
      </c>
      <c r="B1540" s="136" t="s">
        <v>4640</v>
      </c>
      <c r="C1540" s="141" t="s">
        <v>3353</v>
      </c>
      <c r="D1540" s="142" t="s">
        <v>4641</v>
      </c>
      <c r="E1540" s="84" t="s">
        <v>4642</v>
      </c>
      <c r="F1540" s="113"/>
      <c r="G1540" s="131"/>
      <c r="H1540" s="186" t="s">
        <v>4580</v>
      </c>
      <c r="I1540" s="125" t="s">
        <v>326</v>
      </c>
      <c r="J1540" s="125" t="s">
        <v>352</v>
      </c>
      <c r="K1540" s="125" t="s">
        <v>526</v>
      </c>
      <c r="L1540" s="125" t="s">
        <v>315</v>
      </c>
      <c r="M1540" s="125" t="s">
        <v>508</v>
      </c>
    </row>
    <row r="1541" spans="1:13" s="114" customFormat="1" ht="25.5">
      <c r="A1541" s="136">
        <v>1539</v>
      </c>
      <c r="B1541" s="136" t="s">
        <v>4643</v>
      </c>
      <c r="C1541" s="141" t="s">
        <v>3353</v>
      </c>
      <c r="D1541" s="142" t="s">
        <v>4644</v>
      </c>
      <c r="E1541" s="84" t="s">
        <v>4645</v>
      </c>
      <c r="F1541" s="113"/>
      <c r="G1541" s="131"/>
      <c r="H1541" s="186" t="s">
        <v>4580</v>
      </c>
      <c r="I1541" s="125" t="s">
        <v>326</v>
      </c>
      <c r="J1541" s="125" t="s">
        <v>352</v>
      </c>
      <c r="K1541" s="125" t="s">
        <v>526</v>
      </c>
      <c r="L1541" s="125" t="s">
        <v>315</v>
      </c>
      <c r="M1541" s="125" t="s">
        <v>508</v>
      </c>
    </row>
    <row r="1542" spans="1:13" s="114" customFormat="1" ht="51">
      <c r="A1542" s="136">
        <v>1540</v>
      </c>
      <c r="B1542" s="136" t="s">
        <v>4646</v>
      </c>
      <c r="C1542" s="141" t="s">
        <v>4647</v>
      </c>
      <c r="D1542" s="142" t="s">
        <v>4648</v>
      </c>
      <c r="E1542" s="84" t="s">
        <v>4649</v>
      </c>
      <c r="F1542" s="113"/>
      <c r="G1542" s="131"/>
      <c r="H1542" s="186" t="s">
        <v>4610</v>
      </c>
      <c r="I1542" s="125" t="s">
        <v>326</v>
      </c>
      <c r="J1542" s="125" t="s">
        <v>331</v>
      </c>
      <c r="K1542" s="125" t="s">
        <v>1178</v>
      </c>
      <c r="L1542" s="125" t="s">
        <v>315</v>
      </c>
      <c r="M1542" s="125" t="s">
        <v>508</v>
      </c>
    </row>
    <row r="1543" spans="1:13" s="114" customFormat="1" ht="38.25">
      <c r="A1543" s="136">
        <v>1541</v>
      </c>
      <c r="B1543" s="136" t="s">
        <v>4650</v>
      </c>
      <c r="C1543" s="141" t="s">
        <v>4651</v>
      </c>
      <c r="D1543" s="142" t="s">
        <v>4652</v>
      </c>
      <c r="E1543" s="84" t="s">
        <v>4653</v>
      </c>
      <c r="F1543" s="113"/>
      <c r="G1543" s="131"/>
      <c r="H1543" s="186" t="s">
        <v>4519</v>
      </c>
      <c r="I1543" s="125" t="s">
        <v>326</v>
      </c>
      <c r="J1543" s="125" t="s">
        <v>341</v>
      </c>
      <c r="K1543" s="125" t="s">
        <v>580</v>
      </c>
      <c r="L1543" s="125" t="s">
        <v>315</v>
      </c>
      <c r="M1543" s="125" t="s">
        <v>508</v>
      </c>
    </row>
    <row r="1544" spans="1:13" s="114" customFormat="1" ht="38.25">
      <c r="A1544" s="136">
        <v>1542</v>
      </c>
      <c r="B1544" s="136" t="s">
        <v>4654</v>
      </c>
      <c r="C1544" s="141" t="s">
        <v>4651</v>
      </c>
      <c r="D1544" s="142" t="s">
        <v>4652</v>
      </c>
      <c r="E1544" s="84" t="s">
        <v>4655</v>
      </c>
      <c r="F1544" s="113"/>
      <c r="G1544" s="131"/>
      <c r="H1544" s="186" t="s">
        <v>4519</v>
      </c>
      <c r="I1544" s="125" t="s">
        <v>326</v>
      </c>
      <c r="J1544" s="125" t="s">
        <v>341</v>
      </c>
      <c r="K1544" s="125" t="s">
        <v>580</v>
      </c>
      <c r="L1544" s="125" t="s">
        <v>315</v>
      </c>
      <c r="M1544" s="125" t="s">
        <v>508</v>
      </c>
    </row>
    <row r="1545" spans="1:13" s="114" customFormat="1" ht="38.25">
      <c r="A1545" s="136">
        <v>1543</v>
      </c>
      <c r="B1545" s="136" t="s">
        <v>4656</v>
      </c>
      <c r="C1545" s="141" t="s">
        <v>4651</v>
      </c>
      <c r="D1545" s="142" t="s">
        <v>4657</v>
      </c>
      <c r="E1545" s="84" t="s">
        <v>4658</v>
      </c>
      <c r="F1545" s="113"/>
      <c r="G1545" s="131"/>
      <c r="H1545" s="186" t="s">
        <v>760</v>
      </c>
      <c r="I1545" s="125" t="s">
        <v>326</v>
      </c>
      <c r="J1545" s="125" t="s">
        <v>346</v>
      </c>
      <c r="K1545" s="125" t="s">
        <v>761</v>
      </c>
      <c r="L1545" s="125" t="s">
        <v>315</v>
      </c>
      <c r="M1545" s="125" t="s">
        <v>508</v>
      </c>
    </row>
    <row r="1546" spans="1:13" s="114" customFormat="1" ht="25.5">
      <c r="A1546" s="136">
        <v>1544</v>
      </c>
      <c r="B1546" s="136" t="s">
        <v>4659</v>
      </c>
      <c r="C1546" s="141" t="s">
        <v>4651</v>
      </c>
      <c r="D1546" s="142" t="s">
        <v>4657</v>
      </c>
      <c r="E1546" s="84" t="s">
        <v>4660</v>
      </c>
      <c r="F1546" s="113"/>
      <c r="G1546" s="131"/>
      <c r="H1546" s="186" t="s">
        <v>4610</v>
      </c>
      <c r="I1546" s="125" t="s">
        <v>326</v>
      </c>
      <c r="J1546" s="125" t="s">
        <v>331</v>
      </c>
      <c r="K1546" s="125" t="s">
        <v>1178</v>
      </c>
      <c r="L1546" s="125" t="s">
        <v>315</v>
      </c>
      <c r="M1546" s="125" t="s">
        <v>508</v>
      </c>
    </row>
    <row r="1547" spans="1:13" s="114" customFormat="1" ht="38.25">
      <c r="A1547" s="136">
        <v>1545</v>
      </c>
      <c r="B1547" s="136" t="s">
        <v>4661</v>
      </c>
      <c r="C1547" s="141" t="s">
        <v>4651</v>
      </c>
      <c r="D1547" s="142" t="s">
        <v>4662</v>
      </c>
      <c r="E1547" s="84" t="s">
        <v>4663</v>
      </c>
      <c r="F1547" s="113"/>
      <c r="G1547" s="131"/>
      <c r="H1547" s="186" t="s">
        <v>4610</v>
      </c>
      <c r="I1547" s="125" t="s">
        <v>326</v>
      </c>
      <c r="J1547" s="125" t="s">
        <v>331</v>
      </c>
      <c r="K1547" s="125" t="s">
        <v>1178</v>
      </c>
      <c r="L1547" s="125" t="s">
        <v>315</v>
      </c>
      <c r="M1547" s="125" t="s">
        <v>508</v>
      </c>
    </row>
    <row r="1548" spans="1:13" s="114" customFormat="1" ht="38.25">
      <c r="A1548" s="136">
        <v>1546</v>
      </c>
      <c r="B1548" s="136" t="s">
        <v>4664</v>
      </c>
      <c r="C1548" s="141" t="s">
        <v>3357</v>
      </c>
      <c r="D1548" s="142" t="s">
        <v>4665</v>
      </c>
      <c r="E1548" s="84" t="s">
        <v>4666</v>
      </c>
      <c r="F1548" s="113"/>
      <c r="G1548" s="131"/>
      <c r="H1548" s="186" t="s">
        <v>4580</v>
      </c>
      <c r="I1548" s="125" t="s">
        <v>326</v>
      </c>
      <c r="J1548" s="125" t="s">
        <v>352</v>
      </c>
      <c r="K1548" s="125" t="s">
        <v>526</v>
      </c>
      <c r="L1548" s="125" t="s">
        <v>315</v>
      </c>
      <c r="M1548" s="125" t="s">
        <v>508</v>
      </c>
    </row>
    <row r="1549" spans="1:13" s="114" customFormat="1" ht="38.25">
      <c r="A1549" s="136">
        <v>1547</v>
      </c>
      <c r="B1549" s="136" t="s">
        <v>4667</v>
      </c>
      <c r="C1549" s="141" t="s">
        <v>4668</v>
      </c>
      <c r="D1549" s="142" t="s">
        <v>4669</v>
      </c>
      <c r="E1549" s="84" t="s">
        <v>4670</v>
      </c>
      <c r="F1549" s="113"/>
      <c r="G1549" s="131"/>
      <c r="H1549" s="186" t="s">
        <v>4580</v>
      </c>
      <c r="I1549" s="125" t="s">
        <v>326</v>
      </c>
      <c r="J1549" s="125" t="s">
        <v>352</v>
      </c>
      <c r="K1549" s="125" t="s">
        <v>526</v>
      </c>
      <c r="L1549" s="125" t="s">
        <v>315</v>
      </c>
      <c r="M1549" s="125" t="s">
        <v>508</v>
      </c>
    </row>
    <row r="1550" spans="1:13" s="114" customFormat="1" ht="38.25">
      <c r="A1550" s="136">
        <v>1548</v>
      </c>
      <c r="B1550" s="136" t="s">
        <v>4671</v>
      </c>
      <c r="C1550" s="141" t="s">
        <v>4672</v>
      </c>
      <c r="D1550" s="142" t="s">
        <v>4673</v>
      </c>
      <c r="E1550" s="84" t="s">
        <v>4674</v>
      </c>
      <c r="F1550" s="113"/>
      <c r="G1550" s="131"/>
      <c r="H1550" s="186" t="s">
        <v>760</v>
      </c>
      <c r="I1550" s="125" t="s">
        <v>326</v>
      </c>
      <c r="J1550" s="125" t="s">
        <v>346</v>
      </c>
      <c r="K1550" s="125" t="s">
        <v>761</v>
      </c>
      <c r="L1550" s="125" t="s">
        <v>315</v>
      </c>
      <c r="M1550" s="125" t="s">
        <v>508</v>
      </c>
    </row>
    <row r="1551" spans="1:13" s="114" customFormat="1" ht="38.25">
      <c r="A1551" s="136">
        <v>1549</v>
      </c>
      <c r="B1551" s="136" t="s">
        <v>4675</v>
      </c>
      <c r="C1551" s="141" t="s">
        <v>4672</v>
      </c>
      <c r="D1551" s="142" t="s">
        <v>4673</v>
      </c>
      <c r="E1551" s="84" t="s">
        <v>4676</v>
      </c>
      <c r="F1551" s="113"/>
      <c r="G1551" s="131"/>
      <c r="H1551" s="186" t="s">
        <v>658</v>
      </c>
      <c r="I1551" s="125" t="s">
        <v>326</v>
      </c>
      <c r="J1551" s="125" t="s">
        <v>346</v>
      </c>
      <c r="K1551" s="125" t="s">
        <v>659</v>
      </c>
      <c r="L1551" s="125" t="s">
        <v>315</v>
      </c>
      <c r="M1551" s="125" t="s">
        <v>508</v>
      </c>
    </row>
    <row r="1552" spans="1:13" s="114" customFormat="1" ht="51">
      <c r="A1552" s="136">
        <v>1550</v>
      </c>
      <c r="B1552" s="129" t="s">
        <v>4677</v>
      </c>
      <c r="C1552" s="136">
        <v>3.1</v>
      </c>
      <c r="D1552" s="139" t="s">
        <v>4678</v>
      </c>
      <c r="E1552" s="84" t="s">
        <v>4679</v>
      </c>
      <c r="F1552" s="113"/>
      <c r="G1552" s="131"/>
      <c r="H1552" s="186" t="s">
        <v>4680</v>
      </c>
      <c r="I1552" s="125" t="s">
        <v>326</v>
      </c>
      <c r="J1552" s="125" t="s">
        <v>331</v>
      </c>
      <c r="K1552" s="125" t="s">
        <v>530</v>
      </c>
      <c r="L1552" s="125" t="s">
        <v>315</v>
      </c>
      <c r="M1552" s="125" t="s">
        <v>508</v>
      </c>
    </row>
    <row r="1553" spans="1:13" s="114" customFormat="1" ht="25.5">
      <c r="A1553" s="136">
        <v>1551</v>
      </c>
      <c r="B1553" s="129" t="s">
        <v>4681</v>
      </c>
      <c r="C1553" s="136">
        <v>3.1</v>
      </c>
      <c r="D1553" s="139" t="s">
        <v>4678</v>
      </c>
      <c r="E1553" s="84" t="s">
        <v>4682</v>
      </c>
      <c r="F1553" s="113"/>
      <c r="G1553" s="131"/>
      <c r="H1553" s="186" t="s">
        <v>4683</v>
      </c>
      <c r="I1553" s="125" t="s">
        <v>326</v>
      </c>
      <c r="J1553" s="125" t="s">
        <v>341</v>
      </c>
      <c r="K1553" s="125" t="s">
        <v>580</v>
      </c>
      <c r="L1553" s="125" t="s">
        <v>315</v>
      </c>
      <c r="M1553" s="125" t="s">
        <v>508</v>
      </c>
    </row>
    <row r="1554" spans="1:13" s="114" customFormat="1" ht="25.5">
      <c r="A1554" s="136">
        <v>1552</v>
      </c>
      <c r="B1554" s="129" t="s">
        <v>4684</v>
      </c>
      <c r="C1554" s="136">
        <v>3.1</v>
      </c>
      <c r="D1554" s="139" t="s">
        <v>4678</v>
      </c>
      <c r="E1554" s="84" t="s">
        <v>4685</v>
      </c>
      <c r="F1554" s="113"/>
      <c r="G1554" s="131"/>
      <c r="H1554" s="186" t="s">
        <v>4681</v>
      </c>
      <c r="I1554" s="125" t="s">
        <v>326</v>
      </c>
      <c r="J1554" s="125" t="s">
        <v>341</v>
      </c>
      <c r="K1554" s="125" t="s">
        <v>580</v>
      </c>
      <c r="L1554" s="125" t="s">
        <v>315</v>
      </c>
      <c r="M1554" s="125" t="s">
        <v>508</v>
      </c>
    </row>
    <row r="1555" spans="1:13" s="114" customFormat="1" ht="51">
      <c r="A1555" s="136">
        <v>1553</v>
      </c>
      <c r="B1555" s="129" t="s">
        <v>4686</v>
      </c>
      <c r="C1555" s="136">
        <v>3.1</v>
      </c>
      <c r="D1555" s="139" t="s">
        <v>4678</v>
      </c>
      <c r="E1555" s="84" t="s">
        <v>4687</v>
      </c>
      <c r="F1555" s="113"/>
      <c r="G1555" s="131"/>
      <c r="H1555" s="186" t="s">
        <v>4677</v>
      </c>
      <c r="I1555" s="125" t="s">
        <v>326</v>
      </c>
      <c r="J1555" s="125" t="s">
        <v>331</v>
      </c>
      <c r="K1555" s="125" t="s">
        <v>530</v>
      </c>
      <c r="L1555" s="125" t="s">
        <v>315</v>
      </c>
      <c r="M1555" s="125" t="s">
        <v>508</v>
      </c>
    </row>
    <row r="1556" spans="1:13" s="114" customFormat="1" ht="25.5">
      <c r="A1556" s="136">
        <v>1554</v>
      </c>
      <c r="B1556" s="129" t="s">
        <v>4688</v>
      </c>
      <c r="C1556" s="136" t="s">
        <v>4689</v>
      </c>
      <c r="D1556" s="139" t="s">
        <v>4690</v>
      </c>
      <c r="E1556" s="84" t="s">
        <v>4691</v>
      </c>
      <c r="F1556" s="113"/>
      <c r="G1556" s="131"/>
      <c r="H1556" s="186" t="s">
        <v>4692</v>
      </c>
      <c r="I1556" s="125" t="s">
        <v>326</v>
      </c>
      <c r="J1556" s="125" t="s">
        <v>331</v>
      </c>
      <c r="K1556" s="125" t="s">
        <v>1178</v>
      </c>
      <c r="L1556" s="125" t="s">
        <v>315</v>
      </c>
      <c r="M1556" s="125" t="s">
        <v>508</v>
      </c>
    </row>
    <row r="1557" spans="1:13" s="114" customFormat="1" ht="38.25">
      <c r="A1557" s="136">
        <v>1555</v>
      </c>
      <c r="B1557" s="129" t="s">
        <v>4693</v>
      </c>
      <c r="C1557" s="136" t="s">
        <v>4694</v>
      </c>
      <c r="D1557" s="139" t="s">
        <v>4695</v>
      </c>
      <c r="E1557" s="84" t="s">
        <v>4696</v>
      </c>
      <c r="F1557" s="113"/>
      <c r="G1557" s="131"/>
      <c r="H1557" s="186" t="s">
        <v>4681</v>
      </c>
      <c r="I1557" s="125" t="s">
        <v>326</v>
      </c>
      <c r="J1557" s="125" t="s">
        <v>341</v>
      </c>
      <c r="K1557" s="125" t="s">
        <v>580</v>
      </c>
      <c r="L1557" s="125" t="s">
        <v>315</v>
      </c>
      <c r="M1557" s="125" t="s">
        <v>508</v>
      </c>
    </row>
    <row r="1558" spans="1:13" s="114" customFormat="1" ht="51">
      <c r="A1558" s="136">
        <v>1556</v>
      </c>
      <c r="B1558" s="129" t="s">
        <v>4697</v>
      </c>
      <c r="C1558" s="136" t="s">
        <v>4694</v>
      </c>
      <c r="D1558" s="139" t="s">
        <v>4695</v>
      </c>
      <c r="E1558" s="84" t="s">
        <v>4698</v>
      </c>
      <c r="F1558" s="113"/>
      <c r="G1558" s="131"/>
      <c r="H1558" s="186" t="s">
        <v>4677</v>
      </c>
      <c r="I1558" s="125" t="s">
        <v>326</v>
      </c>
      <c r="J1558" s="125" t="s">
        <v>331</v>
      </c>
      <c r="K1558" s="125" t="s">
        <v>530</v>
      </c>
      <c r="L1558" s="125" t="s">
        <v>315</v>
      </c>
      <c r="M1558" s="125" t="s">
        <v>508</v>
      </c>
    </row>
    <row r="1559" spans="1:13" s="114" customFormat="1" ht="51">
      <c r="A1559" s="136">
        <v>1557</v>
      </c>
      <c r="B1559" s="129" t="s">
        <v>4699</v>
      </c>
      <c r="C1559" s="136" t="s">
        <v>2777</v>
      </c>
      <c r="D1559" s="139" t="s">
        <v>4700</v>
      </c>
      <c r="E1559" s="84" t="s">
        <v>4701</v>
      </c>
      <c r="F1559" s="113"/>
      <c r="G1559" s="131"/>
      <c r="H1559" s="186" t="s">
        <v>4677</v>
      </c>
      <c r="I1559" s="125" t="s">
        <v>326</v>
      </c>
      <c r="J1559" s="125" t="s">
        <v>331</v>
      </c>
      <c r="K1559" s="125" t="s">
        <v>530</v>
      </c>
      <c r="L1559" s="125" t="s">
        <v>315</v>
      </c>
      <c r="M1559" s="125" t="s">
        <v>508</v>
      </c>
    </row>
    <row r="1560" spans="1:13" s="114" customFormat="1" ht="38.25">
      <c r="A1560" s="136">
        <v>1558</v>
      </c>
      <c r="B1560" s="129" t="s">
        <v>4702</v>
      </c>
      <c r="C1560" s="136" t="s">
        <v>4703</v>
      </c>
      <c r="D1560" s="139" t="s">
        <v>4704</v>
      </c>
      <c r="E1560" s="84" t="s">
        <v>4705</v>
      </c>
      <c r="F1560" s="113"/>
      <c r="G1560" s="131"/>
      <c r="H1560" s="186" t="s">
        <v>4681</v>
      </c>
      <c r="I1560" s="125" t="s">
        <v>326</v>
      </c>
      <c r="J1560" s="125" t="s">
        <v>341</v>
      </c>
      <c r="K1560" s="125" t="s">
        <v>580</v>
      </c>
      <c r="L1560" s="125" t="s">
        <v>315</v>
      </c>
      <c r="M1560" s="125" t="s">
        <v>508</v>
      </c>
    </row>
    <row r="1561" spans="1:13" s="114" customFormat="1" ht="38.25">
      <c r="A1561" s="136">
        <v>1559</v>
      </c>
      <c r="B1561" s="129" t="s">
        <v>4706</v>
      </c>
      <c r="C1561" s="136" t="s">
        <v>4707</v>
      </c>
      <c r="D1561" s="139" t="s">
        <v>4708</v>
      </c>
      <c r="E1561" s="84" t="s">
        <v>4709</v>
      </c>
      <c r="F1561" s="113"/>
      <c r="G1561" s="131"/>
      <c r="H1561" s="186" t="s">
        <v>4681</v>
      </c>
      <c r="I1561" s="125" t="s">
        <v>326</v>
      </c>
      <c r="J1561" s="125" t="s">
        <v>341</v>
      </c>
      <c r="K1561" s="125" t="s">
        <v>580</v>
      </c>
      <c r="L1561" s="125" t="s">
        <v>315</v>
      </c>
      <c r="M1561" s="125" t="s">
        <v>508</v>
      </c>
    </row>
    <row r="1562" spans="1:13" s="114" customFormat="1" ht="38.25">
      <c r="A1562" s="136">
        <v>1560</v>
      </c>
      <c r="B1562" s="129" t="s">
        <v>4710</v>
      </c>
      <c r="C1562" s="136" t="s">
        <v>4711</v>
      </c>
      <c r="D1562" s="139" t="s">
        <v>4712</v>
      </c>
      <c r="E1562" s="84" t="s">
        <v>4713</v>
      </c>
      <c r="F1562" s="113"/>
      <c r="G1562" s="131"/>
      <c r="H1562" s="186" t="s">
        <v>4681</v>
      </c>
      <c r="I1562" s="125" t="s">
        <v>326</v>
      </c>
      <c r="J1562" s="125" t="s">
        <v>341</v>
      </c>
      <c r="K1562" s="125" t="s">
        <v>580</v>
      </c>
      <c r="L1562" s="125" t="s">
        <v>315</v>
      </c>
      <c r="M1562" s="125" t="s">
        <v>508</v>
      </c>
    </row>
    <row r="1563" spans="1:13" s="114" customFormat="1" ht="51">
      <c r="A1563" s="136">
        <v>1561</v>
      </c>
      <c r="B1563" s="129" t="s">
        <v>4714</v>
      </c>
      <c r="C1563" s="136" t="s">
        <v>4711</v>
      </c>
      <c r="D1563" s="139" t="s">
        <v>4712</v>
      </c>
      <c r="E1563" s="84" t="s">
        <v>4715</v>
      </c>
      <c r="F1563" s="113"/>
      <c r="G1563" s="131"/>
      <c r="H1563" s="186" t="s">
        <v>4677</v>
      </c>
      <c r="I1563" s="125" t="s">
        <v>326</v>
      </c>
      <c r="J1563" s="125" t="s">
        <v>331</v>
      </c>
      <c r="K1563" s="125" t="s">
        <v>530</v>
      </c>
      <c r="L1563" s="125" t="s">
        <v>315</v>
      </c>
      <c r="M1563" s="125" t="s">
        <v>508</v>
      </c>
    </row>
    <row r="1564" spans="1:13" s="114" customFormat="1" ht="38.25">
      <c r="A1564" s="136">
        <v>1562</v>
      </c>
      <c r="B1564" s="129" t="s">
        <v>4716</v>
      </c>
      <c r="C1564" s="136" t="s">
        <v>4711</v>
      </c>
      <c r="D1564" s="139" t="s">
        <v>4712</v>
      </c>
      <c r="E1564" s="84" t="s">
        <v>4717</v>
      </c>
      <c r="F1564" s="113"/>
      <c r="G1564" s="131"/>
      <c r="H1564" s="186" t="s">
        <v>4718</v>
      </c>
      <c r="I1564" s="125" t="s">
        <v>326</v>
      </c>
      <c r="J1564" s="125" t="s">
        <v>331</v>
      </c>
      <c r="K1564" s="125" t="s">
        <v>512</v>
      </c>
      <c r="L1564" s="125" t="s">
        <v>315</v>
      </c>
      <c r="M1564" s="125" t="s">
        <v>508</v>
      </c>
    </row>
    <row r="1565" spans="1:13" s="114" customFormat="1" ht="38.25">
      <c r="A1565" s="136">
        <v>1563</v>
      </c>
      <c r="B1565" s="129" t="s">
        <v>4719</v>
      </c>
      <c r="C1565" s="136">
        <v>3.2</v>
      </c>
      <c r="D1565" s="139" t="s">
        <v>4720</v>
      </c>
      <c r="E1565" s="84" t="s">
        <v>4721</v>
      </c>
      <c r="F1565" s="113"/>
      <c r="G1565" s="131"/>
      <c r="H1565" s="186" t="s">
        <v>4681</v>
      </c>
      <c r="I1565" s="125" t="s">
        <v>326</v>
      </c>
      <c r="J1565" s="125" t="s">
        <v>341</v>
      </c>
      <c r="K1565" s="125" t="s">
        <v>580</v>
      </c>
      <c r="L1565" s="125" t="s">
        <v>315</v>
      </c>
      <c r="M1565" s="125" t="s">
        <v>508</v>
      </c>
    </row>
    <row r="1566" spans="1:13" s="114" customFormat="1" ht="38.25">
      <c r="A1566" s="136">
        <v>1564</v>
      </c>
      <c r="B1566" s="129" t="s">
        <v>4722</v>
      </c>
      <c r="C1566" s="136">
        <v>3.2</v>
      </c>
      <c r="D1566" s="139" t="s">
        <v>4720</v>
      </c>
      <c r="E1566" s="84" t="s">
        <v>4723</v>
      </c>
      <c r="F1566" s="113"/>
      <c r="G1566" s="131"/>
      <c r="H1566" s="186" t="s">
        <v>4681</v>
      </c>
      <c r="I1566" s="125" t="s">
        <v>326</v>
      </c>
      <c r="J1566" s="141" t="s">
        <v>341</v>
      </c>
      <c r="K1566" s="141" t="s">
        <v>580</v>
      </c>
      <c r="L1566" s="125" t="s">
        <v>315</v>
      </c>
      <c r="M1566" s="125" t="s">
        <v>508</v>
      </c>
    </row>
    <row r="1567" spans="1:13" s="114" customFormat="1" ht="38.25">
      <c r="A1567" s="136">
        <v>1565</v>
      </c>
      <c r="B1567" s="129" t="s">
        <v>4724</v>
      </c>
      <c r="C1567" s="136">
        <v>3.2</v>
      </c>
      <c r="D1567" s="139" t="s">
        <v>4720</v>
      </c>
      <c r="E1567" s="84" t="s">
        <v>4725</v>
      </c>
      <c r="F1567" s="113"/>
      <c r="G1567" s="131"/>
      <c r="H1567" s="186" t="s">
        <v>4726</v>
      </c>
      <c r="I1567" s="125" t="s">
        <v>326</v>
      </c>
      <c r="J1567" s="125" t="s">
        <v>346</v>
      </c>
      <c r="K1567" s="125" t="s">
        <v>761</v>
      </c>
      <c r="L1567" s="125" t="s">
        <v>315</v>
      </c>
      <c r="M1567" s="125" t="s">
        <v>508</v>
      </c>
    </row>
    <row r="1568" spans="1:13" s="114" customFormat="1" ht="25.5">
      <c r="A1568" s="136">
        <v>1566</v>
      </c>
      <c r="B1568" s="129" t="s">
        <v>4727</v>
      </c>
      <c r="C1568" s="136">
        <v>3.2</v>
      </c>
      <c r="D1568" s="139" t="s">
        <v>4720</v>
      </c>
      <c r="E1568" s="84" t="s">
        <v>4728</v>
      </c>
      <c r="F1568" s="113"/>
      <c r="G1568" s="131"/>
      <c r="H1568" s="186" t="s">
        <v>4681</v>
      </c>
      <c r="I1568" s="125" t="s">
        <v>326</v>
      </c>
      <c r="J1568" s="125" t="s">
        <v>341</v>
      </c>
      <c r="K1568" s="125" t="s">
        <v>580</v>
      </c>
      <c r="L1568" s="125" t="s">
        <v>315</v>
      </c>
      <c r="M1568" s="125" t="s">
        <v>508</v>
      </c>
    </row>
    <row r="1569" spans="1:13" s="114" customFormat="1" ht="51">
      <c r="A1569" s="136">
        <v>1567</v>
      </c>
      <c r="B1569" s="129" t="s">
        <v>4729</v>
      </c>
      <c r="C1569" s="136" t="s">
        <v>4730</v>
      </c>
      <c r="D1569" s="139" t="s">
        <v>4731</v>
      </c>
      <c r="E1569" s="84" t="s">
        <v>4732</v>
      </c>
      <c r="F1569" s="113"/>
      <c r="G1569" s="131"/>
      <c r="H1569" s="186" t="s">
        <v>4677</v>
      </c>
      <c r="I1569" s="125" t="s">
        <v>326</v>
      </c>
      <c r="J1569" s="125" t="s">
        <v>331</v>
      </c>
      <c r="K1569" s="125" t="s">
        <v>530</v>
      </c>
      <c r="L1569" s="125" t="s">
        <v>315</v>
      </c>
      <c r="M1569" s="125" t="s">
        <v>508</v>
      </c>
    </row>
    <row r="1570" spans="1:13" s="114" customFormat="1" ht="51">
      <c r="A1570" s="136">
        <v>1568</v>
      </c>
      <c r="B1570" s="129" t="s">
        <v>4733</v>
      </c>
      <c r="C1570" s="136" t="s">
        <v>4730</v>
      </c>
      <c r="D1570" s="139" t="s">
        <v>4731</v>
      </c>
      <c r="E1570" s="84" t="s">
        <v>4734</v>
      </c>
      <c r="F1570" s="113"/>
      <c r="G1570" s="131"/>
      <c r="H1570" s="186" t="s">
        <v>4677</v>
      </c>
      <c r="I1570" s="125" t="s">
        <v>326</v>
      </c>
      <c r="J1570" s="125" t="s">
        <v>331</v>
      </c>
      <c r="K1570" s="125" t="s">
        <v>530</v>
      </c>
      <c r="L1570" s="125" t="s">
        <v>315</v>
      </c>
      <c r="M1570" s="125" t="s">
        <v>508</v>
      </c>
    </row>
    <row r="1571" spans="1:13" s="114" customFormat="1" ht="25.5">
      <c r="A1571" s="136">
        <v>1569</v>
      </c>
      <c r="B1571" s="129" t="s">
        <v>4735</v>
      </c>
      <c r="C1571" s="136" t="s">
        <v>4736</v>
      </c>
      <c r="D1571" s="139" t="s">
        <v>4737</v>
      </c>
      <c r="E1571" s="84" t="s">
        <v>4738</v>
      </c>
      <c r="F1571" s="113"/>
      <c r="G1571" s="131"/>
      <c r="H1571" s="186" t="s">
        <v>4681</v>
      </c>
      <c r="I1571" s="125" t="s">
        <v>326</v>
      </c>
      <c r="J1571" s="125" t="s">
        <v>341</v>
      </c>
      <c r="K1571" s="125" t="s">
        <v>580</v>
      </c>
      <c r="L1571" s="125" t="s">
        <v>315</v>
      </c>
      <c r="M1571" s="125" t="s">
        <v>508</v>
      </c>
    </row>
    <row r="1572" spans="1:13" s="114" customFormat="1" ht="51">
      <c r="A1572" s="136">
        <v>1570</v>
      </c>
      <c r="B1572" s="129" t="s">
        <v>4739</v>
      </c>
      <c r="C1572" s="136" t="s">
        <v>4740</v>
      </c>
      <c r="D1572" s="139" t="s">
        <v>4741</v>
      </c>
      <c r="E1572" s="84" t="s">
        <v>4742</v>
      </c>
      <c r="F1572" s="113"/>
      <c r="G1572" s="131"/>
      <c r="H1572" s="186" t="s">
        <v>4677</v>
      </c>
      <c r="I1572" s="125" t="s">
        <v>326</v>
      </c>
      <c r="J1572" s="125" t="s">
        <v>331</v>
      </c>
      <c r="K1572" s="125" t="s">
        <v>530</v>
      </c>
      <c r="L1572" s="125" t="s">
        <v>315</v>
      </c>
      <c r="M1572" s="125" t="s">
        <v>508</v>
      </c>
    </row>
    <row r="1573" spans="1:13" s="114" customFormat="1" ht="25.5">
      <c r="A1573" s="136">
        <v>1571</v>
      </c>
      <c r="B1573" s="129" t="s">
        <v>4743</v>
      </c>
      <c r="C1573" s="136" t="s">
        <v>4744</v>
      </c>
      <c r="D1573" s="139" t="s">
        <v>4745</v>
      </c>
      <c r="E1573" s="84" t="s">
        <v>4746</v>
      </c>
      <c r="F1573" s="113"/>
      <c r="G1573" s="131"/>
      <c r="H1573" s="186" t="s">
        <v>4681</v>
      </c>
      <c r="I1573" s="125" t="s">
        <v>326</v>
      </c>
      <c r="J1573" s="125" t="s">
        <v>341</v>
      </c>
      <c r="K1573" s="125" t="s">
        <v>580</v>
      </c>
      <c r="L1573" s="125" t="s">
        <v>315</v>
      </c>
      <c r="M1573" s="125" t="s">
        <v>508</v>
      </c>
    </row>
    <row r="1574" spans="1:13" s="114" customFormat="1" ht="25.5">
      <c r="A1574" s="136">
        <v>1572</v>
      </c>
      <c r="B1574" s="129" t="s">
        <v>4747</v>
      </c>
      <c r="C1574" s="136">
        <v>4.0999999999999996</v>
      </c>
      <c r="D1574" s="139" t="s">
        <v>4748</v>
      </c>
      <c r="E1574" s="84" t="s">
        <v>4749</v>
      </c>
      <c r="F1574" s="113"/>
      <c r="G1574" s="131"/>
      <c r="H1574" s="186" t="s">
        <v>4681</v>
      </c>
      <c r="I1574" s="125" t="s">
        <v>326</v>
      </c>
      <c r="J1574" s="125" t="s">
        <v>341</v>
      </c>
      <c r="K1574" s="125" t="s">
        <v>580</v>
      </c>
      <c r="L1574" s="125" t="s">
        <v>315</v>
      </c>
      <c r="M1574" s="125" t="s">
        <v>508</v>
      </c>
    </row>
    <row r="1575" spans="1:13" s="114" customFormat="1" ht="51">
      <c r="A1575" s="136">
        <v>1573</v>
      </c>
      <c r="B1575" s="129" t="s">
        <v>4750</v>
      </c>
      <c r="C1575" s="136">
        <v>4.0999999999999996</v>
      </c>
      <c r="D1575" s="139" t="s">
        <v>4748</v>
      </c>
      <c r="E1575" s="84" t="s">
        <v>4751</v>
      </c>
      <c r="F1575" s="113"/>
      <c r="G1575" s="131"/>
      <c r="H1575" s="186" t="s">
        <v>4677</v>
      </c>
      <c r="I1575" s="125" t="s">
        <v>326</v>
      </c>
      <c r="J1575" s="125" t="s">
        <v>331</v>
      </c>
      <c r="K1575" s="125" t="s">
        <v>530</v>
      </c>
      <c r="L1575" s="125" t="s">
        <v>315</v>
      </c>
      <c r="M1575" s="125" t="s">
        <v>508</v>
      </c>
    </row>
    <row r="1576" spans="1:13" s="114" customFormat="1" ht="25.5">
      <c r="A1576" s="136">
        <v>1574</v>
      </c>
      <c r="B1576" s="129" t="s">
        <v>4752</v>
      </c>
      <c r="C1576" s="136">
        <v>4.4000000000000004</v>
      </c>
      <c r="D1576" s="139" t="s">
        <v>4753</v>
      </c>
      <c r="E1576" s="84" t="s">
        <v>4754</v>
      </c>
      <c r="F1576" s="113"/>
      <c r="G1576" s="131"/>
      <c r="H1576" s="186" t="s">
        <v>4724</v>
      </c>
      <c r="I1576" s="125" t="s">
        <v>326</v>
      </c>
      <c r="J1576" s="125" t="s">
        <v>346</v>
      </c>
      <c r="K1576" s="125" t="s">
        <v>761</v>
      </c>
      <c r="L1576" s="125" t="s">
        <v>315</v>
      </c>
      <c r="M1576" s="125" t="s">
        <v>508</v>
      </c>
    </row>
    <row r="1577" spans="1:13" s="114" customFormat="1" ht="25.5">
      <c r="A1577" s="136">
        <v>1575</v>
      </c>
      <c r="B1577" s="129" t="s">
        <v>4755</v>
      </c>
      <c r="C1577" s="136">
        <v>4.4000000000000004</v>
      </c>
      <c r="D1577" s="139" t="s">
        <v>4753</v>
      </c>
      <c r="E1577" s="84" t="s">
        <v>4756</v>
      </c>
      <c r="F1577" s="113"/>
      <c r="G1577" s="131"/>
      <c r="H1577" s="186" t="s">
        <v>4724</v>
      </c>
      <c r="I1577" s="125" t="s">
        <v>326</v>
      </c>
      <c r="J1577" s="125" t="s">
        <v>346</v>
      </c>
      <c r="K1577" s="125" t="s">
        <v>761</v>
      </c>
      <c r="L1577" s="125" t="s">
        <v>315</v>
      </c>
      <c r="M1577" s="125" t="s">
        <v>508</v>
      </c>
    </row>
    <row r="1578" spans="1:13" s="114" customFormat="1" ht="25.5">
      <c r="A1578" s="136">
        <v>1576</v>
      </c>
      <c r="B1578" s="129" t="s">
        <v>4757</v>
      </c>
      <c r="C1578" s="136">
        <v>4.4000000000000004</v>
      </c>
      <c r="D1578" s="139" t="s">
        <v>4753</v>
      </c>
      <c r="E1578" s="84" t="s">
        <v>4758</v>
      </c>
      <c r="F1578" s="113"/>
      <c r="G1578" s="131"/>
      <c r="H1578" s="186" t="s">
        <v>4688</v>
      </c>
      <c r="I1578" s="125" t="s">
        <v>326</v>
      </c>
      <c r="J1578" s="125" t="s">
        <v>331</v>
      </c>
      <c r="K1578" s="125" t="s">
        <v>1178</v>
      </c>
      <c r="L1578" s="125" t="s">
        <v>315</v>
      </c>
      <c r="M1578" s="125" t="s">
        <v>508</v>
      </c>
    </row>
    <row r="1579" spans="1:13" s="114" customFormat="1" ht="38.25">
      <c r="A1579" s="136">
        <v>1577</v>
      </c>
      <c r="B1579" s="129" t="s">
        <v>4759</v>
      </c>
      <c r="C1579" s="136">
        <v>4.4000000000000004</v>
      </c>
      <c r="D1579" s="139" t="s">
        <v>4753</v>
      </c>
      <c r="E1579" s="84" t="s">
        <v>4760</v>
      </c>
      <c r="F1579" s="113"/>
      <c r="G1579" s="131"/>
      <c r="H1579" s="186" t="s">
        <v>4724</v>
      </c>
      <c r="I1579" s="125" t="s">
        <v>326</v>
      </c>
      <c r="J1579" s="125" t="s">
        <v>346</v>
      </c>
      <c r="K1579" s="125" t="s">
        <v>761</v>
      </c>
      <c r="L1579" s="125" t="s">
        <v>315</v>
      </c>
      <c r="M1579" s="125" t="s">
        <v>508</v>
      </c>
    </row>
    <row r="1580" spans="1:13" s="114" customFormat="1" ht="25.5">
      <c r="A1580" s="136">
        <v>1578</v>
      </c>
      <c r="B1580" s="129" t="s">
        <v>4761</v>
      </c>
      <c r="C1580" s="136">
        <v>4.4000000000000004</v>
      </c>
      <c r="D1580" s="139" t="s">
        <v>4753</v>
      </c>
      <c r="E1580" s="84" t="s">
        <v>4762</v>
      </c>
      <c r="F1580" s="113"/>
      <c r="G1580" s="131"/>
      <c r="H1580" s="186" t="s">
        <v>4763</v>
      </c>
      <c r="I1580" s="125" t="s">
        <v>326</v>
      </c>
      <c r="J1580" s="125" t="s">
        <v>352</v>
      </c>
      <c r="K1580" s="125" t="s">
        <v>1044</v>
      </c>
      <c r="L1580" s="125" t="s">
        <v>315</v>
      </c>
      <c r="M1580" s="125" t="s">
        <v>508</v>
      </c>
    </row>
    <row r="1581" spans="1:13" s="114" customFormat="1" ht="51">
      <c r="A1581" s="136">
        <v>1579</v>
      </c>
      <c r="B1581" s="129" t="s">
        <v>4764</v>
      </c>
      <c r="C1581" s="136">
        <v>4.4000000000000004</v>
      </c>
      <c r="D1581" s="139" t="s">
        <v>4753</v>
      </c>
      <c r="E1581" s="84" t="s">
        <v>4765</v>
      </c>
      <c r="F1581" s="113"/>
      <c r="G1581" s="131"/>
      <c r="H1581" s="186" t="s">
        <v>4677</v>
      </c>
      <c r="I1581" s="125" t="s">
        <v>326</v>
      </c>
      <c r="J1581" s="125" t="s">
        <v>331</v>
      </c>
      <c r="K1581" s="125" t="s">
        <v>530</v>
      </c>
      <c r="L1581" s="125" t="s">
        <v>315</v>
      </c>
      <c r="M1581" s="125" t="s">
        <v>508</v>
      </c>
    </row>
    <row r="1582" spans="1:13" s="114" customFormat="1" ht="25.5">
      <c r="A1582" s="136">
        <v>1580</v>
      </c>
      <c r="B1582" s="129" t="s">
        <v>4766</v>
      </c>
      <c r="C1582" s="136">
        <v>4.4000000000000004</v>
      </c>
      <c r="D1582" s="139" t="s">
        <v>4753</v>
      </c>
      <c r="E1582" s="84" t="s">
        <v>4767</v>
      </c>
      <c r="F1582" s="113"/>
      <c r="G1582" s="131"/>
      <c r="H1582" s="186" t="s">
        <v>4681</v>
      </c>
      <c r="I1582" s="125" t="s">
        <v>326</v>
      </c>
      <c r="J1582" s="125" t="s">
        <v>341</v>
      </c>
      <c r="K1582" s="125" t="s">
        <v>580</v>
      </c>
      <c r="L1582" s="125" t="s">
        <v>315</v>
      </c>
      <c r="M1582" s="125" t="s">
        <v>508</v>
      </c>
    </row>
    <row r="1583" spans="1:13" s="114" customFormat="1" ht="51">
      <c r="A1583" s="136">
        <v>1581</v>
      </c>
      <c r="B1583" s="129" t="s">
        <v>4768</v>
      </c>
      <c r="C1583" s="136">
        <v>4.4000000000000004</v>
      </c>
      <c r="D1583" s="139" t="s">
        <v>4753</v>
      </c>
      <c r="E1583" s="84" t="s">
        <v>4769</v>
      </c>
      <c r="F1583" s="113"/>
      <c r="G1583" s="131"/>
      <c r="H1583" s="186" t="s">
        <v>4677</v>
      </c>
      <c r="I1583" s="125" t="s">
        <v>326</v>
      </c>
      <c r="J1583" s="125" t="s">
        <v>331</v>
      </c>
      <c r="K1583" s="125" t="s">
        <v>530</v>
      </c>
      <c r="L1583" s="125" t="s">
        <v>315</v>
      </c>
      <c r="M1583" s="125" t="s">
        <v>508</v>
      </c>
    </row>
    <row r="1584" spans="1:13" s="114" customFormat="1" ht="25.5">
      <c r="A1584" s="136">
        <v>1582</v>
      </c>
      <c r="B1584" s="129" t="s">
        <v>4770</v>
      </c>
      <c r="C1584" s="136">
        <v>4.4000000000000004</v>
      </c>
      <c r="D1584" s="139" t="s">
        <v>4753</v>
      </c>
      <c r="E1584" s="84" t="s">
        <v>4771</v>
      </c>
      <c r="F1584" s="113"/>
      <c r="G1584" s="131"/>
      <c r="H1584" s="186" t="s">
        <v>4681</v>
      </c>
      <c r="I1584" s="125" t="s">
        <v>326</v>
      </c>
      <c r="J1584" s="125" t="s">
        <v>341</v>
      </c>
      <c r="K1584" s="125" t="s">
        <v>580</v>
      </c>
      <c r="L1584" s="125" t="s">
        <v>315</v>
      </c>
      <c r="M1584" s="125" t="s">
        <v>508</v>
      </c>
    </row>
    <row r="1585" spans="1:13" s="114" customFormat="1" ht="38.25">
      <c r="A1585" s="136">
        <v>1583</v>
      </c>
      <c r="B1585" s="129" t="s">
        <v>4772</v>
      </c>
      <c r="C1585" s="136">
        <v>4.4000000000000004</v>
      </c>
      <c r="D1585" s="139" t="s">
        <v>4753</v>
      </c>
      <c r="E1585" s="84" t="s">
        <v>4773</v>
      </c>
      <c r="F1585" s="113"/>
      <c r="G1585" s="131"/>
      <c r="H1585" s="186" t="s">
        <v>4716</v>
      </c>
      <c r="I1585" s="125" t="s">
        <v>326</v>
      </c>
      <c r="J1585" s="125" t="s">
        <v>331</v>
      </c>
      <c r="K1585" s="125" t="s">
        <v>512</v>
      </c>
      <c r="L1585" s="125" t="s">
        <v>315</v>
      </c>
      <c r="M1585" s="125" t="s">
        <v>508</v>
      </c>
    </row>
    <row r="1586" spans="1:13" s="114" customFormat="1" ht="51">
      <c r="A1586" s="136">
        <v>1584</v>
      </c>
      <c r="B1586" s="129" t="s">
        <v>4774</v>
      </c>
      <c r="C1586" s="136">
        <v>4.4000000000000004</v>
      </c>
      <c r="D1586" s="139" t="s">
        <v>4753</v>
      </c>
      <c r="E1586" s="84" t="s">
        <v>4775</v>
      </c>
      <c r="F1586" s="113"/>
      <c r="G1586" s="131"/>
      <c r="H1586" s="186" t="s">
        <v>4677</v>
      </c>
      <c r="I1586" s="125" t="s">
        <v>326</v>
      </c>
      <c r="J1586" s="125" t="s">
        <v>331</v>
      </c>
      <c r="K1586" s="125" t="s">
        <v>530</v>
      </c>
      <c r="L1586" s="125" t="s">
        <v>315</v>
      </c>
      <c r="M1586" s="125" t="s">
        <v>508</v>
      </c>
    </row>
    <row r="1587" spans="1:13" s="114" customFormat="1" ht="25.5">
      <c r="A1587" s="136">
        <v>1585</v>
      </c>
      <c r="B1587" s="129" t="s">
        <v>4776</v>
      </c>
      <c r="C1587" s="136">
        <v>4.4000000000000004</v>
      </c>
      <c r="D1587" s="139" t="s">
        <v>4753</v>
      </c>
      <c r="E1587" s="84" t="s">
        <v>4777</v>
      </c>
      <c r="F1587" s="113"/>
      <c r="G1587" s="131"/>
      <c r="H1587" s="186" t="s">
        <v>4761</v>
      </c>
      <c r="I1587" s="125" t="s">
        <v>326</v>
      </c>
      <c r="J1587" s="125" t="s">
        <v>352</v>
      </c>
      <c r="K1587" s="125" t="s">
        <v>1044</v>
      </c>
      <c r="L1587" s="125" t="s">
        <v>315</v>
      </c>
      <c r="M1587" s="125" t="s">
        <v>508</v>
      </c>
    </row>
    <row r="1588" spans="1:13" s="114" customFormat="1" ht="51">
      <c r="A1588" s="136">
        <v>1586</v>
      </c>
      <c r="B1588" s="129" t="s">
        <v>4778</v>
      </c>
      <c r="C1588" s="136">
        <v>4.4000000000000004</v>
      </c>
      <c r="D1588" s="139" t="s">
        <v>4753</v>
      </c>
      <c r="E1588" s="84" t="s">
        <v>4779</v>
      </c>
      <c r="F1588" s="113"/>
      <c r="G1588" s="131"/>
      <c r="H1588" s="186" t="s">
        <v>4677</v>
      </c>
      <c r="I1588" s="125" t="s">
        <v>326</v>
      </c>
      <c r="J1588" s="125" t="s">
        <v>331</v>
      </c>
      <c r="K1588" s="125" t="s">
        <v>530</v>
      </c>
      <c r="L1588" s="125" t="s">
        <v>315</v>
      </c>
      <c r="M1588" s="125" t="s">
        <v>508</v>
      </c>
    </row>
    <row r="1589" spans="1:13" s="114" customFormat="1" ht="25.5">
      <c r="A1589" s="136">
        <v>1587</v>
      </c>
      <c r="B1589" s="129" t="s">
        <v>4780</v>
      </c>
      <c r="C1589" s="136">
        <v>4.4000000000000004</v>
      </c>
      <c r="D1589" s="139" t="s">
        <v>4753</v>
      </c>
      <c r="E1589" s="84" t="s">
        <v>4781</v>
      </c>
      <c r="F1589" s="113"/>
      <c r="G1589" s="131"/>
      <c r="H1589" s="186" t="s">
        <v>4782</v>
      </c>
      <c r="I1589" s="125" t="s">
        <v>326</v>
      </c>
      <c r="J1589" s="125" t="s">
        <v>349</v>
      </c>
      <c r="K1589" s="125" t="s">
        <v>1336</v>
      </c>
      <c r="L1589" s="125" t="s">
        <v>315</v>
      </c>
      <c r="M1589" s="125" t="s">
        <v>508</v>
      </c>
    </row>
    <row r="1590" spans="1:13" s="114" customFormat="1" ht="25.5">
      <c r="A1590" s="136">
        <v>1588</v>
      </c>
      <c r="B1590" s="129" t="s">
        <v>4783</v>
      </c>
      <c r="C1590" s="136">
        <v>4.4000000000000004</v>
      </c>
      <c r="D1590" s="139" t="s">
        <v>4753</v>
      </c>
      <c r="E1590" s="84" t="s">
        <v>4784</v>
      </c>
      <c r="F1590" s="113"/>
      <c r="G1590" s="131"/>
      <c r="H1590" s="186" t="s">
        <v>4780</v>
      </c>
      <c r="I1590" s="125" t="s">
        <v>326</v>
      </c>
      <c r="J1590" s="125" t="s">
        <v>349</v>
      </c>
      <c r="K1590" s="125" t="s">
        <v>1336</v>
      </c>
      <c r="L1590" s="125" t="s">
        <v>315</v>
      </c>
      <c r="M1590" s="125" t="s">
        <v>508</v>
      </c>
    </row>
    <row r="1591" spans="1:13" s="114" customFormat="1" ht="38.25">
      <c r="A1591" s="136">
        <v>1589</v>
      </c>
      <c r="B1591" s="136" t="s">
        <v>4785</v>
      </c>
      <c r="C1591" s="161">
        <v>2.1</v>
      </c>
      <c r="D1591" s="162" t="s">
        <v>4786</v>
      </c>
      <c r="E1591" s="84" t="s">
        <v>4787</v>
      </c>
      <c r="F1591" s="113"/>
      <c r="G1591" s="131"/>
      <c r="H1591" s="186" t="s">
        <v>4788</v>
      </c>
      <c r="I1591" s="125" t="s">
        <v>326</v>
      </c>
      <c r="J1591" s="125" t="s">
        <v>349</v>
      </c>
      <c r="K1591" s="125" t="s">
        <v>1336</v>
      </c>
      <c r="L1591" s="125" t="s">
        <v>507</v>
      </c>
      <c r="M1591" s="125" t="s">
        <v>508</v>
      </c>
    </row>
    <row r="1592" spans="1:13" s="114" customFormat="1" ht="38.25">
      <c r="A1592" s="136">
        <v>1590</v>
      </c>
      <c r="B1592" s="136" t="s">
        <v>4789</v>
      </c>
      <c r="C1592" s="161">
        <v>2.1</v>
      </c>
      <c r="D1592" s="162" t="s">
        <v>4786</v>
      </c>
      <c r="E1592" s="84" t="s">
        <v>4790</v>
      </c>
      <c r="F1592" s="113"/>
      <c r="G1592" s="131"/>
      <c r="H1592" s="186" t="s">
        <v>4791</v>
      </c>
      <c r="I1592" s="125" t="s">
        <v>326</v>
      </c>
      <c r="J1592" s="125" t="s">
        <v>346</v>
      </c>
      <c r="K1592" s="125" t="s">
        <v>761</v>
      </c>
      <c r="L1592" s="125" t="s">
        <v>507</v>
      </c>
      <c r="M1592" s="125" t="s">
        <v>508</v>
      </c>
    </row>
    <row r="1593" spans="1:13" s="114" customFormat="1" ht="38.25">
      <c r="A1593" s="136">
        <v>1591</v>
      </c>
      <c r="B1593" s="136" t="s">
        <v>4792</v>
      </c>
      <c r="C1593" s="141">
        <v>2.2000000000000002</v>
      </c>
      <c r="D1593" s="162" t="s">
        <v>4793</v>
      </c>
      <c r="E1593" s="84" t="s">
        <v>4794</v>
      </c>
      <c r="F1593" s="113"/>
      <c r="G1593" s="131"/>
      <c r="H1593" s="186" t="s">
        <v>4789</v>
      </c>
      <c r="I1593" s="125" t="s">
        <v>326</v>
      </c>
      <c r="J1593" s="125" t="s">
        <v>346</v>
      </c>
      <c r="K1593" s="125" t="s">
        <v>761</v>
      </c>
      <c r="L1593" s="125" t="s">
        <v>507</v>
      </c>
      <c r="M1593" s="125" t="s">
        <v>508</v>
      </c>
    </row>
    <row r="1594" spans="1:13" s="114" customFormat="1" ht="25.5">
      <c r="A1594" s="136">
        <v>1592</v>
      </c>
      <c r="B1594" s="136" t="s">
        <v>4795</v>
      </c>
      <c r="C1594" s="141" t="s">
        <v>4796</v>
      </c>
      <c r="D1594" s="162" t="s">
        <v>4797</v>
      </c>
      <c r="E1594" s="84" t="s">
        <v>4798</v>
      </c>
      <c r="F1594" s="113"/>
      <c r="G1594" s="131"/>
      <c r="H1594" s="186" t="s">
        <v>4789</v>
      </c>
      <c r="I1594" s="125" t="s">
        <v>326</v>
      </c>
      <c r="J1594" s="125" t="s">
        <v>346</v>
      </c>
      <c r="K1594" s="125" t="s">
        <v>761</v>
      </c>
      <c r="L1594" s="125" t="s">
        <v>507</v>
      </c>
      <c r="M1594" s="125" t="s">
        <v>508</v>
      </c>
    </row>
    <row r="1595" spans="1:13" s="114" customFormat="1" ht="25.5">
      <c r="A1595" s="136">
        <v>1593</v>
      </c>
      <c r="B1595" s="136" t="s">
        <v>4799</v>
      </c>
      <c r="C1595" s="141" t="s">
        <v>4800</v>
      </c>
      <c r="D1595" s="162" t="s">
        <v>4801</v>
      </c>
      <c r="E1595" s="84" t="s">
        <v>4802</v>
      </c>
      <c r="F1595" s="113"/>
      <c r="G1595" s="131"/>
      <c r="H1595" s="186" t="s">
        <v>4785</v>
      </c>
      <c r="I1595" s="125" t="s">
        <v>326</v>
      </c>
      <c r="J1595" s="125" t="s">
        <v>349</v>
      </c>
      <c r="K1595" s="125" t="s">
        <v>1336</v>
      </c>
      <c r="L1595" s="125" t="s">
        <v>507</v>
      </c>
      <c r="M1595" s="125" t="s">
        <v>508</v>
      </c>
    </row>
    <row r="1596" spans="1:13" s="114" customFormat="1" ht="38.25">
      <c r="A1596" s="136">
        <v>1594</v>
      </c>
      <c r="B1596" s="136" t="s">
        <v>4803</v>
      </c>
      <c r="C1596" s="141" t="s">
        <v>2872</v>
      </c>
      <c r="D1596" s="162" t="s">
        <v>4804</v>
      </c>
      <c r="E1596" s="84" t="s">
        <v>4805</v>
      </c>
      <c r="F1596" s="113"/>
      <c r="G1596" s="131"/>
      <c r="H1596" s="186" t="s">
        <v>4806</v>
      </c>
      <c r="I1596" s="125" t="s">
        <v>326</v>
      </c>
      <c r="J1596" s="125" t="s">
        <v>331</v>
      </c>
      <c r="K1596" s="141" t="s">
        <v>512</v>
      </c>
      <c r="L1596" s="125" t="s">
        <v>507</v>
      </c>
      <c r="M1596" s="125" t="s">
        <v>508</v>
      </c>
    </row>
    <row r="1597" spans="1:13" s="114" customFormat="1" ht="25.5">
      <c r="A1597" s="136">
        <v>1595</v>
      </c>
      <c r="B1597" s="136" t="s">
        <v>4807</v>
      </c>
      <c r="C1597" s="150" t="s">
        <v>4808</v>
      </c>
      <c r="D1597" s="162" t="s">
        <v>4809</v>
      </c>
      <c r="E1597" s="84" t="s">
        <v>4810</v>
      </c>
      <c r="F1597" s="113"/>
      <c r="G1597" s="131"/>
      <c r="H1597" s="186" t="s">
        <v>4811</v>
      </c>
      <c r="I1597" s="125" t="s">
        <v>326</v>
      </c>
      <c r="J1597" s="125" t="s">
        <v>346</v>
      </c>
      <c r="K1597" s="141" t="s">
        <v>1465</v>
      </c>
      <c r="L1597" s="125" t="s">
        <v>314</v>
      </c>
      <c r="M1597" s="125" t="s">
        <v>508</v>
      </c>
    </row>
    <row r="1598" spans="1:13" s="114" customFormat="1" ht="38.25">
      <c r="A1598" s="136">
        <v>1596</v>
      </c>
      <c r="B1598" s="136" t="s">
        <v>4812</v>
      </c>
      <c r="C1598" s="150" t="s">
        <v>4808</v>
      </c>
      <c r="D1598" s="162" t="s">
        <v>4809</v>
      </c>
      <c r="E1598" s="84" t="s">
        <v>4813</v>
      </c>
      <c r="F1598" s="113"/>
      <c r="G1598" s="131"/>
      <c r="H1598" s="186" t="s">
        <v>4807</v>
      </c>
      <c r="I1598" s="125" t="s">
        <v>326</v>
      </c>
      <c r="J1598" s="125" t="s">
        <v>346</v>
      </c>
      <c r="K1598" s="141" t="s">
        <v>1465</v>
      </c>
      <c r="L1598" s="125" t="s">
        <v>314</v>
      </c>
      <c r="M1598" s="125" t="s">
        <v>508</v>
      </c>
    </row>
    <row r="1599" spans="1:13" s="114" customFormat="1" ht="38.25">
      <c r="A1599" s="136">
        <v>1597</v>
      </c>
      <c r="B1599" s="136" t="s">
        <v>4814</v>
      </c>
      <c r="C1599" s="150" t="s">
        <v>4808</v>
      </c>
      <c r="D1599" s="162" t="s">
        <v>4809</v>
      </c>
      <c r="E1599" s="84" t="s">
        <v>4815</v>
      </c>
      <c r="F1599" s="113"/>
      <c r="G1599" s="131"/>
      <c r="H1599" s="186" t="s">
        <v>4807</v>
      </c>
      <c r="I1599" s="125" t="s">
        <v>326</v>
      </c>
      <c r="J1599" s="125" t="s">
        <v>346</v>
      </c>
      <c r="K1599" s="141" t="s">
        <v>1465</v>
      </c>
      <c r="L1599" s="125" t="s">
        <v>314</v>
      </c>
      <c r="M1599" s="125" t="s">
        <v>508</v>
      </c>
    </row>
    <row r="1600" spans="1:13" s="114" customFormat="1" ht="25.5">
      <c r="A1600" s="136">
        <v>1598</v>
      </c>
      <c r="B1600" s="136" t="s">
        <v>4816</v>
      </c>
      <c r="C1600" s="150" t="s">
        <v>4808</v>
      </c>
      <c r="D1600" s="162" t="s">
        <v>4809</v>
      </c>
      <c r="E1600" s="84" t="s">
        <v>4817</v>
      </c>
      <c r="F1600" s="113"/>
      <c r="G1600" s="131"/>
      <c r="H1600" s="186" t="s">
        <v>4807</v>
      </c>
      <c r="I1600" s="125" t="s">
        <v>326</v>
      </c>
      <c r="J1600" s="125" t="s">
        <v>346</v>
      </c>
      <c r="K1600" s="141" t="s">
        <v>1465</v>
      </c>
      <c r="L1600" s="125" t="s">
        <v>314</v>
      </c>
      <c r="M1600" s="125" t="s">
        <v>508</v>
      </c>
    </row>
    <row r="1601" spans="1:13" s="114" customFormat="1" ht="38.25">
      <c r="A1601" s="136">
        <v>1599</v>
      </c>
      <c r="B1601" s="136" t="s">
        <v>4818</v>
      </c>
      <c r="C1601" s="150" t="s">
        <v>4819</v>
      </c>
      <c r="D1601" s="162" t="s">
        <v>4820</v>
      </c>
      <c r="E1601" s="84" t="s">
        <v>4821</v>
      </c>
      <c r="F1601" s="113"/>
      <c r="G1601" s="131"/>
      <c r="H1601" s="186" t="s">
        <v>4822</v>
      </c>
      <c r="I1601" s="125" t="s">
        <v>326</v>
      </c>
      <c r="J1601" s="125" t="s">
        <v>331</v>
      </c>
      <c r="K1601" s="125" t="s">
        <v>618</v>
      </c>
      <c r="L1601" s="125" t="s">
        <v>507</v>
      </c>
      <c r="M1601" s="125" t="s">
        <v>508</v>
      </c>
    </row>
    <row r="1602" spans="1:13" s="114" customFormat="1" ht="25.5">
      <c r="A1602" s="136">
        <v>1600</v>
      </c>
      <c r="B1602" s="136" t="s">
        <v>4823</v>
      </c>
      <c r="C1602" s="150" t="s">
        <v>4824</v>
      </c>
      <c r="D1602" s="162" t="s">
        <v>4825</v>
      </c>
      <c r="E1602" s="84" t="s">
        <v>4826</v>
      </c>
      <c r="F1602" s="113"/>
      <c r="G1602" s="131"/>
      <c r="H1602" s="186" t="s">
        <v>4807</v>
      </c>
      <c r="I1602" s="125" t="s">
        <v>326</v>
      </c>
      <c r="J1602" s="125" t="s">
        <v>346</v>
      </c>
      <c r="K1602" s="125" t="s">
        <v>1465</v>
      </c>
      <c r="L1602" s="125" t="s">
        <v>314</v>
      </c>
      <c r="M1602" s="125" t="s">
        <v>508</v>
      </c>
    </row>
    <row r="1603" spans="1:13" s="114" customFormat="1" ht="25.5">
      <c r="A1603" s="136">
        <v>1601</v>
      </c>
      <c r="B1603" s="136" t="s">
        <v>4827</v>
      </c>
      <c r="C1603" s="150" t="s">
        <v>4828</v>
      </c>
      <c r="D1603" s="162" t="s">
        <v>4829</v>
      </c>
      <c r="E1603" s="84" t="s">
        <v>4830</v>
      </c>
      <c r="F1603" s="113"/>
      <c r="G1603" s="131"/>
      <c r="H1603" s="186" t="s">
        <v>4831</v>
      </c>
      <c r="I1603" s="125" t="s">
        <v>326</v>
      </c>
      <c r="J1603" s="125" t="s">
        <v>346</v>
      </c>
      <c r="K1603" s="125" t="s">
        <v>761</v>
      </c>
      <c r="L1603" s="125" t="s">
        <v>507</v>
      </c>
      <c r="M1603" s="125" t="s">
        <v>508</v>
      </c>
    </row>
    <row r="1604" spans="1:13" s="114" customFormat="1" ht="25.5">
      <c r="A1604" s="136">
        <v>1602</v>
      </c>
      <c r="B1604" s="136" t="s">
        <v>4832</v>
      </c>
      <c r="C1604" s="150" t="s">
        <v>4828</v>
      </c>
      <c r="D1604" s="162" t="s">
        <v>4829</v>
      </c>
      <c r="E1604" s="84" t="s">
        <v>4833</v>
      </c>
      <c r="F1604" s="113"/>
      <c r="G1604" s="131"/>
      <c r="H1604" s="186" t="s">
        <v>4834</v>
      </c>
      <c r="I1604" s="125" t="s">
        <v>326</v>
      </c>
      <c r="J1604" s="125" t="s">
        <v>341</v>
      </c>
      <c r="K1604" s="125" t="s">
        <v>580</v>
      </c>
      <c r="L1604" s="125" t="s">
        <v>507</v>
      </c>
      <c r="M1604" s="125" t="s">
        <v>508</v>
      </c>
    </row>
    <row r="1605" spans="1:13" s="114" customFormat="1" ht="38.25">
      <c r="A1605" s="136">
        <v>1603</v>
      </c>
      <c r="B1605" s="136" t="s">
        <v>4835</v>
      </c>
      <c r="C1605" s="150" t="s">
        <v>4836</v>
      </c>
      <c r="D1605" s="162" t="s">
        <v>4837</v>
      </c>
      <c r="E1605" s="84" t="s">
        <v>4838</v>
      </c>
      <c r="F1605" s="113"/>
      <c r="G1605" s="131"/>
      <c r="H1605" s="186" t="s">
        <v>4839</v>
      </c>
      <c r="I1605" s="125" t="s">
        <v>326</v>
      </c>
      <c r="J1605" s="125" t="s">
        <v>346</v>
      </c>
      <c r="K1605" s="125" t="s">
        <v>761</v>
      </c>
      <c r="L1605" s="125" t="s">
        <v>507</v>
      </c>
      <c r="M1605" s="125" t="s">
        <v>508</v>
      </c>
    </row>
    <row r="1606" spans="1:13" s="114" customFormat="1" ht="25.5">
      <c r="A1606" s="136">
        <v>1604</v>
      </c>
      <c r="B1606" s="136" t="s">
        <v>4840</v>
      </c>
      <c r="C1606" s="150" t="s">
        <v>4836</v>
      </c>
      <c r="D1606" s="162" t="s">
        <v>4837</v>
      </c>
      <c r="E1606" s="84" t="s">
        <v>4841</v>
      </c>
      <c r="F1606" s="113"/>
      <c r="G1606" s="131"/>
      <c r="H1606" s="186" t="s">
        <v>4835</v>
      </c>
      <c r="I1606" s="125" t="s">
        <v>326</v>
      </c>
      <c r="J1606" s="125" t="s">
        <v>346</v>
      </c>
      <c r="K1606" s="125" t="s">
        <v>761</v>
      </c>
      <c r="L1606" s="125" t="s">
        <v>507</v>
      </c>
      <c r="M1606" s="125" t="s">
        <v>508</v>
      </c>
    </row>
    <row r="1607" spans="1:13" s="114" customFormat="1" ht="25.5">
      <c r="A1607" s="136">
        <v>1605</v>
      </c>
      <c r="B1607" s="136" t="s">
        <v>4842</v>
      </c>
      <c r="C1607" s="150" t="s">
        <v>4836</v>
      </c>
      <c r="D1607" s="162" t="s">
        <v>4837</v>
      </c>
      <c r="E1607" s="84" t="s">
        <v>4843</v>
      </c>
      <c r="F1607" s="113"/>
      <c r="G1607" s="131"/>
      <c r="H1607" s="186" t="s">
        <v>4832</v>
      </c>
      <c r="I1607" s="125" t="s">
        <v>326</v>
      </c>
      <c r="J1607" s="125" t="s">
        <v>341</v>
      </c>
      <c r="K1607" s="125" t="s">
        <v>580</v>
      </c>
      <c r="L1607" s="125" t="s">
        <v>507</v>
      </c>
      <c r="M1607" s="125" t="s">
        <v>508</v>
      </c>
    </row>
    <row r="1608" spans="1:13" s="114" customFormat="1" ht="25.5">
      <c r="A1608" s="136">
        <v>1606</v>
      </c>
      <c r="B1608" s="136" t="s">
        <v>4844</v>
      </c>
      <c r="C1608" s="150" t="s">
        <v>4836</v>
      </c>
      <c r="D1608" s="162" t="s">
        <v>4837</v>
      </c>
      <c r="E1608" s="84" t="s">
        <v>4845</v>
      </c>
      <c r="F1608" s="113"/>
      <c r="G1608" s="131"/>
      <c r="H1608" s="186" t="s">
        <v>4832</v>
      </c>
      <c r="I1608" s="125" t="s">
        <v>326</v>
      </c>
      <c r="J1608" s="125" t="s">
        <v>341</v>
      </c>
      <c r="K1608" s="125" t="s">
        <v>580</v>
      </c>
      <c r="L1608" s="125" t="s">
        <v>507</v>
      </c>
      <c r="M1608" s="125" t="s">
        <v>508</v>
      </c>
    </row>
    <row r="1609" spans="1:13" s="114" customFormat="1" ht="38.25">
      <c r="A1609" s="136">
        <v>1607</v>
      </c>
      <c r="B1609" s="136" t="s">
        <v>4846</v>
      </c>
      <c r="C1609" s="150" t="s">
        <v>4836</v>
      </c>
      <c r="D1609" s="162" t="s">
        <v>4847</v>
      </c>
      <c r="E1609" s="84" t="s">
        <v>4848</v>
      </c>
      <c r="F1609" s="113"/>
      <c r="G1609" s="131"/>
      <c r="H1609" s="186" t="s">
        <v>4785</v>
      </c>
      <c r="I1609" s="125" t="s">
        <v>326</v>
      </c>
      <c r="J1609" s="125" t="s">
        <v>349</v>
      </c>
      <c r="K1609" s="125" t="s">
        <v>1336</v>
      </c>
      <c r="L1609" s="125" t="s">
        <v>507</v>
      </c>
      <c r="M1609" s="125" t="s">
        <v>508</v>
      </c>
    </row>
    <row r="1610" spans="1:13" s="114" customFormat="1" ht="38.25">
      <c r="A1610" s="136">
        <v>1608</v>
      </c>
      <c r="B1610" s="136" t="s">
        <v>4849</v>
      </c>
      <c r="C1610" s="150" t="s">
        <v>4850</v>
      </c>
      <c r="D1610" s="162" t="s">
        <v>4851</v>
      </c>
      <c r="E1610" s="84" t="s">
        <v>4852</v>
      </c>
      <c r="F1610" s="113"/>
      <c r="G1610" s="131"/>
      <c r="H1610" s="186" t="s">
        <v>4853</v>
      </c>
      <c r="I1610" s="125" t="s">
        <v>326</v>
      </c>
      <c r="J1610" s="141" t="s">
        <v>352</v>
      </c>
      <c r="K1610" s="141" t="s">
        <v>597</v>
      </c>
      <c r="L1610" s="125" t="s">
        <v>507</v>
      </c>
      <c r="M1610" s="125" t="s">
        <v>508</v>
      </c>
    </row>
    <row r="1611" spans="1:13" s="114" customFormat="1" ht="25.5">
      <c r="A1611" s="136">
        <v>1609</v>
      </c>
      <c r="B1611" s="136" t="s">
        <v>4854</v>
      </c>
      <c r="C1611" s="150" t="s">
        <v>4855</v>
      </c>
      <c r="D1611" s="162" t="s">
        <v>4856</v>
      </c>
      <c r="E1611" s="84" t="s">
        <v>4857</v>
      </c>
      <c r="F1611" s="113"/>
      <c r="G1611" s="131"/>
      <c r="H1611" s="186" t="s">
        <v>4807</v>
      </c>
      <c r="I1611" s="125" t="s">
        <v>326</v>
      </c>
      <c r="J1611" s="125" t="s">
        <v>346</v>
      </c>
      <c r="K1611" s="125" t="s">
        <v>1465</v>
      </c>
      <c r="L1611" s="125" t="s">
        <v>507</v>
      </c>
      <c r="M1611" s="125" t="s">
        <v>508</v>
      </c>
    </row>
    <row r="1612" spans="1:13" s="114" customFormat="1" ht="25.5">
      <c r="A1612" s="136">
        <v>1610</v>
      </c>
      <c r="B1612" s="136" t="s">
        <v>4858</v>
      </c>
      <c r="C1612" s="150" t="s">
        <v>4855</v>
      </c>
      <c r="D1612" s="162" t="s">
        <v>4856</v>
      </c>
      <c r="E1612" s="84" t="s">
        <v>4859</v>
      </c>
      <c r="F1612" s="113"/>
      <c r="G1612" s="131"/>
      <c r="H1612" s="186" t="s">
        <v>4835</v>
      </c>
      <c r="I1612" s="125" t="s">
        <v>326</v>
      </c>
      <c r="J1612" s="125" t="s">
        <v>346</v>
      </c>
      <c r="K1612" s="125" t="s">
        <v>761</v>
      </c>
      <c r="L1612" s="125" t="s">
        <v>314</v>
      </c>
      <c r="M1612" s="125" t="s">
        <v>508</v>
      </c>
    </row>
    <row r="1613" spans="1:13" s="114" customFormat="1" ht="51">
      <c r="A1613" s="136">
        <v>1611</v>
      </c>
      <c r="B1613" s="136" t="s">
        <v>4860</v>
      </c>
      <c r="C1613" s="150" t="s">
        <v>4861</v>
      </c>
      <c r="D1613" s="162" t="s">
        <v>4862</v>
      </c>
      <c r="E1613" s="84" t="s">
        <v>4863</v>
      </c>
      <c r="F1613" s="113"/>
      <c r="G1613" s="131"/>
      <c r="H1613" s="186" t="s">
        <v>4864</v>
      </c>
      <c r="I1613" s="125" t="s">
        <v>326</v>
      </c>
      <c r="J1613" s="125" t="s">
        <v>331</v>
      </c>
      <c r="K1613" s="125" t="s">
        <v>530</v>
      </c>
      <c r="L1613" s="125" t="s">
        <v>507</v>
      </c>
      <c r="M1613" s="125" t="s">
        <v>508</v>
      </c>
    </row>
    <row r="1614" spans="1:13" s="114" customFormat="1" ht="25.5">
      <c r="A1614" s="136">
        <v>1612</v>
      </c>
      <c r="B1614" s="136" t="s">
        <v>4865</v>
      </c>
      <c r="C1614" s="150" t="s">
        <v>4861</v>
      </c>
      <c r="D1614" s="162" t="s">
        <v>4862</v>
      </c>
      <c r="E1614" s="84" t="s">
        <v>4866</v>
      </c>
      <c r="F1614" s="113"/>
      <c r="G1614" s="131"/>
      <c r="H1614" s="186" t="s">
        <v>4867</v>
      </c>
      <c r="I1614" s="125" t="s">
        <v>326</v>
      </c>
      <c r="J1614" s="125" t="s">
        <v>352</v>
      </c>
      <c r="K1614" s="125" t="s">
        <v>526</v>
      </c>
      <c r="L1614" s="125" t="s">
        <v>507</v>
      </c>
      <c r="M1614" s="125" t="s">
        <v>508</v>
      </c>
    </row>
    <row r="1615" spans="1:13" s="114" customFormat="1" ht="25.5">
      <c r="A1615" s="136">
        <v>1613</v>
      </c>
      <c r="B1615" s="136" t="s">
        <v>4868</v>
      </c>
      <c r="C1615" s="150" t="s">
        <v>4861</v>
      </c>
      <c r="D1615" s="162" t="s">
        <v>4862</v>
      </c>
      <c r="E1615" s="84" t="s">
        <v>4869</v>
      </c>
      <c r="F1615" s="113"/>
      <c r="G1615" s="131"/>
      <c r="H1615" s="186" t="s">
        <v>4807</v>
      </c>
      <c r="I1615" s="125" t="s">
        <v>326</v>
      </c>
      <c r="J1615" s="125" t="s">
        <v>346</v>
      </c>
      <c r="K1615" s="125" t="s">
        <v>1465</v>
      </c>
      <c r="L1615" s="125" t="s">
        <v>314</v>
      </c>
      <c r="M1615" s="125" t="s">
        <v>508</v>
      </c>
    </row>
    <row r="1616" spans="1:13" s="114" customFormat="1" ht="38.25">
      <c r="A1616" s="136">
        <v>1614</v>
      </c>
      <c r="B1616" s="136" t="s">
        <v>4870</v>
      </c>
      <c r="C1616" s="150" t="s">
        <v>4871</v>
      </c>
      <c r="D1616" s="162" t="s">
        <v>4872</v>
      </c>
      <c r="E1616" s="84" t="s">
        <v>4873</v>
      </c>
      <c r="F1616" s="113"/>
      <c r="G1616" s="131"/>
      <c r="H1616" s="186" t="s">
        <v>4803</v>
      </c>
      <c r="I1616" s="125" t="s">
        <v>326</v>
      </c>
      <c r="J1616" s="125" t="s">
        <v>331</v>
      </c>
      <c r="K1616" s="125" t="s">
        <v>512</v>
      </c>
      <c r="L1616" s="125" t="s">
        <v>507</v>
      </c>
      <c r="M1616" s="125" t="s">
        <v>508</v>
      </c>
    </row>
    <row r="1617" spans="1:13" s="114" customFormat="1" ht="51">
      <c r="A1617" s="136">
        <v>1615</v>
      </c>
      <c r="B1617" s="136" t="s">
        <v>4874</v>
      </c>
      <c r="C1617" s="150" t="s">
        <v>4875</v>
      </c>
      <c r="D1617" s="162" t="s">
        <v>4876</v>
      </c>
      <c r="E1617" s="84" t="s">
        <v>4877</v>
      </c>
      <c r="F1617" s="113"/>
      <c r="G1617" s="131"/>
      <c r="H1617" s="186" t="s">
        <v>4860</v>
      </c>
      <c r="I1617" s="125" t="s">
        <v>326</v>
      </c>
      <c r="J1617" s="125" t="s">
        <v>331</v>
      </c>
      <c r="K1617" s="125" t="s">
        <v>530</v>
      </c>
      <c r="L1617" s="125" t="s">
        <v>507</v>
      </c>
      <c r="M1617" s="125" t="s">
        <v>508</v>
      </c>
    </row>
    <row r="1618" spans="1:13" s="114" customFormat="1" ht="38.25">
      <c r="A1618" s="136">
        <v>1616</v>
      </c>
      <c r="B1618" s="136" t="s">
        <v>4878</v>
      </c>
      <c r="C1618" s="150" t="s">
        <v>4875</v>
      </c>
      <c r="D1618" s="162" t="s">
        <v>4876</v>
      </c>
      <c r="E1618" s="84" t="s">
        <v>4879</v>
      </c>
      <c r="F1618" s="113"/>
      <c r="G1618" s="131"/>
      <c r="H1618" s="186" t="s">
        <v>4832</v>
      </c>
      <c r="I1618" s="125" t="s">
        <v>326</v>
      </c>
      <c r="J1618" s="125" t="s">
        <v>341</v>
      </c>
      <c r="K1618" s="125" t="s">
        <v>580</v>
      </c>
      <c r="L1618" s="125" t="s">
        <v>507</v>
      </c>
      <c r="M1618" s="125" t="s">
        <v>508</v>
      </c>
    </row>
    <row r="1619" spans="1:13" s="114" customFormat="1" ht="25.5">
      <c r="A1619" s="136">
        <v>1617</v>
      </c>
      <c r="B1619" s="136" t="s">
        <v>4880</v>
      </c>
      <c r="C1619" s="150" t="s">
        <v>4881</v>
      </c>
      <c r="D1619" s="162" t="s">
        <v>4882</v>
      </c>
      <c r="E1619" s="84" t="s">
        <v>4883</v>
      </c>
      <c r="F1619" s="113"/>
      <c r="G1619" s="131"/>
      <c r="H1619" s="186" t="s">
        <v>4831</v>
      </c>
      <c r="I1619" s="125" t="s">
        <v>326</v>
      </c>
      <c r="J1619" s="125" t="s">
        <v>346</v>
      </c>
      <c r="K1619" s="125" t="s">
        <v>761</v>
      </c>
      <c r="L1619" s="125" t="s">
        <v>314</v>
      </c>
      <c r="M1619" s="125" t="s">
        <v>508</v>
      </c>
    </row>
    <row r="1620" spans="1:13" s="114" customFormat="1" ht="38.25">
      <c r="A1620" s="136">
        <v>1618</v>
      </c>
      <c r="B1620" s="136" t="s">
        <v>4831</v>
      </c>
      <c r="C1620" s="150" t="s">
        <v>4884</v>
      </c>
      <c r="D1620" s="162" t="s">
        <v>4885</v>
      </c>
      <c r="E1620" s="84" t="s">
        <v>4886</v>
      </c>
      <c r="F1620" s="113"/>
      <c r="G1620" s="131"/>
      <c r="H1620" s="186" t="s">
        <v>4887</v>
      </c>
      <c r="I1620" s="125" t="s">
        <v>326</v>
      </c>
      <c r="J1620" s="125" t="s">
        <v>346</v>
      </c>
      <c r="K1620" s="125" t="s">
        <v>761</v>
      </c>
      <c r="L1620" s="125" t="s">
        <v>507</v>
      </c>
      <c r="M1620" s="125" t="s">
        <v>508</v>
      </c>
    </row>
    <row r="1621" spans="1:13" s="114" customFormat="1" ht="38.25">
      <c r="A1621" s="136">
        <v>1619</v>
      </c>
      <c r="B1621" s="136" t="s">
        <v>4888</v>
      </c>
      <c r="C1621" s="150" t="s">
        <v>4884</v>
      </c>
      <c r="D1621" s="162" t="s">
        <v>4885</v>
      </c>
      <c r="E1621" s="84" t="s">
        <v>4889</v>
      </c>
      <c r="F1621" s="113"/>
      <c r="G1621" s="131"/>
      <c r="H1621" s="186" t="s">
        <v>4789</v>
      </c>
      <c r="I1621" s="125" t="s">
        <v>326</v>
      </c>
      <c r="J1621" s="125" t="s">
        <v>346</v>
      </c>
      <c r="K1621" s="125" t="s">
        <v>761</v>
      </c>
      <c r="L1621" s="125" t="s">
        <v>507</v>
      </c>
      <c r="M1621" s="125" t="s">
        <v>508</v>
      </c>
    </row>
    <row r="1622" spans="1:13" s="114" customFormat="1" ht="51">
      <c r="A1622" s="136">
        <v>1620</v>
      </c>
      <c r="B1622" s="136" t="s">
        <v>4890</v>
      </c>
      <c r="C1622" s="150" t="s">
        <v>4891</v>
      </c>
      <c r="D1622" s="162" t="s">
        <v>4892</v>
      </c>
      <c r="E1622" s="84" t="s">
        <v>4893</v>
      </c>
      <c r="F1622" s="113"/>
      <c r="G1622" s="131"/>
      <c r="H1622" s="186" t="s">
        <v>4831</v>
      </c>
      <c r="I1622" s="125" t="s">
        <v>326</v>
      </c>
      <c r="J1622" s="125" t="s">
        <v>346</v>
      </c>
      <c r="K1622" s="125" t="s">
        <v>761</v>
      </c>
      <c r="L1622" s="125" t="s">
        <v>507</v>
      </c>
      <c r="M1622" s="125" t="s">
        <v>508</v>
      </c>
    </row>
    <row r="1623" spans="1:13" s="114" customFormat="1" ht="51">
      <c r="A1623" s="136">
        <v>1621</v>
      </c>
      <c r="B1623" s="136" t="s">
        <v>4894</v>
      </c>
      <c r="C1623" s="150" t="s">
        <v>4891</v>
      </c>
      <c r="D1623" s="162" t="s">
        <v>4892</v>
      </c>
      <c r="E1623" s="84" t="s">
        <v>4895</v>
      </c>
      <c r="F1623" s="113"/>
      <c r="G1623" s="131"/>
      <c r="H1623" s="186" t="s">
        <v>4831</v>
      </c>
      <c r="I1623" s="125" t="s">
        <v>326</v>
      </c>
      <c r="J1623" s="125" t="s">
        <v>346</v>
      </c>
      <c r="K1623" s="125" t="s">
        <v>761</v>
      </c>
      <c r="L1623" s="125" t="s">
        <v>507</v>
      </c>
      <c r="M1623" s="125" t="s">
        <v>508</v>
      </c>
    </row>
    <row r="1624" spans="1:13" s="114" customFormat="1" ht="51">
      <c r="A1624" s="136">
        <v>1622</v>
      </c>
      <c r="B1624" s="136" t="s">
        <v>4896</v>
      </c>
      <c r="C1624" s="150" t="s">
        <v>4891</v>
      </c>
      <c r="D1624" s="162" t="s">
        <v>4892</v>
      </c>
      <c r="E1624" s="84" t="s">
        <v>4897</v>
      </c>
      <c r="F1624" s="113"/>
      <c r="G1624" s="131"/>
      <c r="H1624" s="186" t="s">
        <v>4860</v>
      </c>
      <c r="I1624" s="125" t="s">
        <v>326</v>
      </c>
      <c r="J1624" s="125" t="s">
        <v>331</v>
      </c>
      <c r="K1624" s="125" t="s">
        <v>530</v>
      </c>
      <c r="L1624" s="125" t="s">
        <v>507</v>
      </c>
      <c r="M1624" s="125" t="s">
        <v>508</v>
      </c>
    </row>
    <row r="1625" spans="1:13" s="114" customFormat="1" ht="25.5">
      <c r="A1625" s="136">
        <v>1623</v>
      </c>
      <c r="B1625" s="136" t="s">
        <v>4898</v>
      </c>
      <c r="C1625" s="150" t="s">
        <v>4899</v>
      </c>
      <c r="D1625" s="162" t="s">
        <v>4900</v>
      </c>
      <c r="E1625" s="84" t="s">
        <v>4901</v>
      </c>
      <c r="F1625" s="113"/>
      <c r="G1625" s="131"/>
      <c r="H1625" s="186" t="s">
        <v>4807</v>
      </c>
      <c r="I1625" s="125" t="s">
        <v>326</v>
      </c>
      <c r="J1625" s="125" t="s">
        <v>346</v>
      </c>
      <c r="K1625" s="125" t="s">
        <v>1465</v>
      </c>
      <c r="L1625" s="125" t="s">
        <v>314</v>
      </c>
      <c r="M1625" s="125" t="s">
        <v>508</v>
      </c>
    </row>
    <row r="1626" spans="1:13" s="114" customFormat="1" ht="38.25">
      <c r="A1626" s="136">
        <v>1624</v>
      </c>
      <c r="B1626" s="136" t="s">
        <v>4902</v>
      </c>
      <c r="C1626" s="150" t="s">
        <v>4899</v>
      </c>
      <c r="D1626" s="162" t="s">
        <v>4900</v>
      </c>
      <c r="E1626" s="84" t="s">
        <v>4903</v>
      </c>
      <c r="F1626" s="113"/>
      <c r="G1626" s="131"/>
      <c r="H1626" s="186" t="s">
        <v>4807</v>
      </c>
      <c r="I1626" s="125" t="s">
        <v>326</v>
      </c>
      <c r="J1626" s="125" t="s">
        <v>346</v>
      </c>
      <c r="K1626" s="125" t="s">
        <v>1465</v>
      </c>
      <c r="L1626" s="125" t="s">
        <v>507</v>
      </c>
      <c r="M1626" s="125" t="s">
        <v>508</v>
      </c>
    </row>
    <row r="1627" spans="1:13" s="114" customFormat="1" ht="51">
      <c r="A1627" s="136">
        <v>1625</v>
      </c>
      <c r="B1627" s="136" t="s">
        <v>4904</v>
      </c>
      <c r="C1627" s="150" t="s">
        <v>4905</v>
      </c>
      <c r="D1627" s="162" t="s">
        <v>4906</v>
      </c>
      <c r="E1627" s="84" t="s">
        <v>4907</v>
      </c>
      <c r="F1627" s="113"/>
      <c r="G1627" s="131"/>
      <c r="H1627" s="186" t="s">
        <v>4908</v>
      </c>
      <c r="I1627" s="125" t="s">
        <v>327</v>
      </c>
      <c r="J1627" s="125" t="s">
        <v>337</v>
      </c>
      <c r="K1627" s="125" t="s">
        <v>1071</v>
      </c>
      <c r="L1627" s="125" t="s">
        <v>314</v>
      </c>
      <c r="M1627" s="125" t="s">
        <v>508</v>
      </c>
    </row>
    <row r="1628" spans="1:13" s="114" customFormat="1" ht="38.25">
      <c r="A1628" s="136">
        <v>1626</v>
      </c>
      <c r="B1628" s="136" t="s">
        <v>4909</v>
      </c>
      <c r="C1628" s="150" t="s">
        <v>4905</v>
      </c>
      <c r="D1628" s="162" t="s">
        <v>4906</v>
      </c>
      <c r="E1628" s="84" t="s">
        <v>4910</v>
      </c>
      <c r="F1628" s="113"/>
      <c r="G1628" s="131"/>
      <c r="H1628" s="186" t="s">
        <v>4908</v>
      </c>
      <c r="I1628" s="125" t="s">
        <v>327</v>
      </c>
      <c r="J1628" s="125" t="s">
        <v>337</v>
      </c>
      <c r="K1628" s="125" t="s">
        <v>1071</v>
      </c>
      <c r="L1628" s="125" t="s">
        <v>314</v>
      </c>
      <c r="M1628" s="125" t="s">
        <v>508</v>
      </c>
    </row>
    <row r="1629" spans="1:13" s="114" customFormat="1" ht="25.5">
      <c r="A1629" s="136">
        <v>1627</v>
      </c>
      <c r="B1629" s="136" t="s">
        <v>4911</v>
      </c>
      <c r="C1629" s="150" t="s">
        <v>4905</v>
      </c>
      <c r="D1629" s="162" t="s">
        <v>4906</v>
      </c>
      <c r="E1629" s="84" t="s">
        <v>4912</v>
      </c>
      <c r="F1629" s="113"/>
      <c r="G1629" s="131"/>
      <c r="H1629" s="186" t="s">
        <v>4908</v>
      </c>
      <c r="I1629" s="125" t="s">
        <v>327</v>
      </c>
      <c r="J1629" s="125" t="s">
        <v>337</v>
      </c>
      <c r="K1629" s="125" t="s">
        <v>1071</v>
      </c>
      <c r="L1629" s="125" t="s">
        <v>314</v>
      </c>
      <c r="M1629" s="125" t="s">
        <v>508</v>
      </c>
    </row>
    <row r="1630" spans="1:13" s="114" customFormat="1" ht="25.5">
      <c r="A1630" s="136">
        <v>1628</v>
      </c>
      <c r="B1630" s="136" t="s">
        <v>4913</v>
      </c>
      <c r="C1630" s="150" t="s">
        <v>4905</v>
      </c>
      <c r="D1630" s="162" t="s">
        <v>4906</v>
      </c>
      <c r="E1630" s="84" t="s">
        <v>4914</v>
      </c>
      <c r="F1630" s="113"/>
      <c r="G1630" s="131"/>
      <c r="H1630" s="186" t="s">
        <v>4908</v>
      </c>
      <c r="I1630" s="125" t="s">
        <v>327</v>
      </c>
      <c r="J1630" s="125" t="s">
        <v>337</v>
      </c>
      <c r="K1630" s="125" t="s">
        <v>1071</v>
      </c>
      <c r="L1630" s="125" t="s">
        <v>314</v>
      </c>
      <c r="M1630" s="125" t="s">
        <v>508</v>
      </c>
    </row>
    <row r="1631" spans="1:13" s="114" customFormat="1" ht="38.25">
      <c r="A1631" s="136">
        <v>1629</v>
      </c>
      <c r="B1631" s="136" t="s">
        <v>4915</v>
      </c>
      <c r="C1631" s="150" t="s">
        <v>4905</v>
      </c>
      <c r="D1631" s="162" t="s">
        <v>4906</v>
      </c>
      <c r="E1631" s="84" t="s">
        <v>4916</v>
      </c>
      <c r="F1631" s="113"/>
      <c r="G1631" s="131"/>
      <c r="H1631" s="186" t="s">
        <v>4908</v>
      </c>
      <c r="I1631" s="125" t="s">
        <v>327</v>
      </c>
      <c r="J1631" s="125" t="s">
        <v>337</v>
      </c>
      <c r="K1631" s="125" t="s">
        <v>1071</v>
      </c>
      <c r="L1631" s="125" t="s">
        <v>314</v>
      </c>
      <c r="M1631" s="125" t="s">
        <v>508</v>
      </c>
    </row>
    <row r="1632" spans="1:13" s="114" customFormat="1" ht="25.5">
      <c r="A1632" s="136">
        <v>1630</v>
      </c>
      <c r="B1632" s="136" t="s">
        <v>4917</v>
      </c>
      <c r="C1632" s="150" t="s">
        <v>4918</v>
      </c>
      <c r="D1632" s="162" t="s">
        <v>4919</v>
      </c>
      <c r="E1632" s="84" t="s">
        <v>4920</v>
      </c>
      <c r="F1632" s="113"/>
      <c r="G1632" s="131"/>
      <c r="H1632" s="186" t="s">
        <v>4921</v>
      </c>
      <c r="I1632" s="125" t="s">
        <v>326</v>
      </c>
      <c r="J1632" s="125" t="s">
        <v>346</v>
      </c>
      <c r="K1632" s="125" t="s">
        <v>998</v>
      </c>
      <c r="L1632" s="125" t="s">
        <v>314</v>
      </c>
      <c r="M1632" s="125" t="s">
        <v>508</v>
      </c>
    </row>
    <row r="1633" spans="1:13" s="114" customFormat="1" ht="38.25">
      <c r="A1633" s="136">
        <v>1631</v>
      </c>
      <c r="B1633" s="136" t="s">
        <v>4922</v>
      </c>
      <c r="C1633" s="150" t="s">
        <v>4918</v>
      </c>
      <c r="D1633" s="162" t="s">
        <v>4919</v>
      </c>
      <c r="E1633" s="84" t="s">
        <v>4923</v>
      </c>
      <c r="F1633" s="113"/>
      <c r="G1633" s="131"/>
      <c r="H1633" s="186" t="s">
        <v>4803</v>
      </c>
      <c r="I1633" s="125" t="s">
        <v>326</v>
      </c>
      <c r="J1633" s="125" t="s">
        <v>331</v>
      </c>
      <c r="K1633" s="125" t="s">
        <v>512</v>
      </c>
      <c r="L1633" s="125" t="s">
        <v>507</v>
      </c>
      <c r="M1633" s="125" t="s">
        <v>508</v>
      </c>
    </row>
    <row r="1634" spans="1:13" s="114" customFormat="1" ht="25.5">
      <c r="A1634" s="136">
        <v>1632</v>
      </c>
      <c r="B1634" s="136" t="s">
        <v>4924</v>
      </c>
      <c r="C1634" s="150" t="s">
        <v>4918</v>
      </c>
      <c r="D1634" s="162" t="s">
        <v>4919</v>
      </c>
      <c r="E1634" s="84" t="s">
        <v>4925</v>
      </c>
      <c r="F1634" s="113"/>
      <c r="G1634" s="131"/>
      <c r="H1634" s="186" t="s">
        <v>4789</v>
      </c>
      <c r="I1634" s="125" t="s">
        <v>326</v>
      </c>
      <c r="J1634" s="125" t="s">
        <v>346</v>
      </c>
      <c r="K1634" s="125" t="s">
        <v>761</v>
      </c>
      <c r="L1634" s="125" t="s">
        <v>507</v>
      </c>
      <c r="M1634" s="125" t="s">
        <v>508</v>
      </c>
    </row>
    <row r="1635" spans="1:13" s="114" customFormat="1" ht="38.25">
      <c r="A1635" s="136">
        <v>1633</v>
      </c>
      <c r="B1635" s="136" t="s">
        <v>4908</v>
      </c>
      <c r="C1635" s="150" t="s">
        <v>4926</v>
      </c>
      <c r="D1635" s="162" t="s">
        <v>4927</v>
      </c>
      <c r="E1635" s="84" t="s">
        <v>4928</v>
      </c>
      <c r="F1635" s="113"/>
      <c r="G1635" s="131"/>
      <c r="H1635" s="186" t="s">
        <v>4929</v>
      </c>
      <c r="I1635" s="125" t="s">
        <v>327</v>
      </c>
      <c r="J1635" s="125" t="s">
        <v>337</v>
      </c>
      <c r="K1635" s="125" t="s">
        <v>1071</v>
      </c>
      <c r="L1635" s="125" t="s">
        <v>314</v>
      </c>
      <c r="M1635" s="125" t="s">
        <v>508</v>
      </c>
    </row>
    <row r="1636" spans="1:13" s="114" customFormat="1" ht="38.25">
      <c r="A1636" s="136">
        <v>1634</v>
      </c>
      <c r="B1636" s="136" t="s">
        <v>4930</v>
      </c>
      <c r="C1636" s="150" t="s">
        <v>4931</v>
      </c>
      <c r="D1636" s="162" t="s">
        <v>4932</v>
      </c>
      <c r="E1636" s="84" t="s">
        <v>4933</v>
      </c>
      <c r="F1636" s="113"/>
      <c r="G1636" s="131"/>
      <c r="H1636" s="186" t="s">
        <v>2299</v>
      </c>
      <c r="I1636" s="125" t="s">
        <v>326</v>
      </c>
      <c r="J1636" s="125" t="s">
        <v>341</v>
      </c>
      <c r="K1636" s="125" t="s">
        <v>2303</v>
      </c>
      <c r="L1636" s="125" t="s">
        <v>507</v>
      </c>
      <c r="M1636" s="125" t="s">
        <v>508</v>
      </c>
    </row>
    <row r="1637" spans="1:13" s="114" customFormat="1" ht="25.5">
      <c r="A1637" s="136">
        <v>1635</v>
      </c>
      <c r="B1637" s="136" t="s">
        <v>4934</v>
      </c>
      <c r="C1637" s="150" t="s">
        <v>4931</v>
      </c>
      <c r="D1637" s="162" t="s">
        <v>4932</v>
      </c>
      <c r="E1637" s="84" t="s">
        <v>4935</v>
      </c>
      <c r="F1637" s="113"/>
      <c r="G1637" s="131"/>
      <c r="H1637" s="186" t="s">
        <v>4865</v>
      </c>
      <c r="I1637" s="125" t="s">
        <v>326</v>
      </c>
      <c r="J1637" s="125" t="s">
        <v>352</v>
      </c>
      <c r="K1637" s="125" t="s">
        <v>526</v>
      </c>
      <c r="L1637" s="125" t="s">
        <v>507</v>
      </c>
      <c r="M1637" s="125" t="s">
        <v>508</v>
      </c>
    </row>
    <row r="1638" spans="1:13" s="114" customFormat="1" ht="25.5">
      <c r="A1638" s="136">
        <v>1636</v>
      </c>
      <c r="B1638" s="136" t="s">
        <v>4936</v>
      </c>
      <c r="C1638" s="150" t="s">
        <v>4937</v>
      </c>
      <c r="D1638" s="162" t="s">
        <v>4938</v>
      </c>
      <c r="E1638" s="84" t="s">
        <v>4939</v>
      </c>
      <c r="F1638" s="113"/>
      <c r="G1638" s="131"/>
      <c r="H1638" s="186" t="s">
        <v>4940</v>
      </c>
      <c r="I1638" s="125" t="s">
        <v>326</v>
      </c>
      <c r="J1638" s="125" t="s">
        <v>352</v>
      </c>
      <c r="K1638" s="125" t="s">
        <v>1044</v>
      </c>
      <c r="L1638" s="125" t="s">
        <v>507</v>
      </c>
      <c r="M1638" s="125" t="s">
        <v>508</v>
      </c>
    </row>
    <row r="1639" spans="1:13" s="114" customFormat="1" ht="25.5">
      <c r="A1639" s="136">
        <v>1637</v>
      </c>
      <c r="B1639" s="136" t="s">
        <v>4941</v>
      </c>
      <c r="C1639" s="150" t="s">
        <v>4937</v>
      </c>
      <c r="D1639" s="162" t="s">
        <v>4938</v>
      </c>
      <c r="E1639" s="84" t="s">
        <v>4942</v>
      </c>
      <c r="F1639" s="113"/>
      <c r="G1639" s="131"/>
      <c r="H1639" s="186" t="s">
        <v>4936</v>
      </c>
      <c r="I1639" s="125" t="s">
        <v>326</v>
      </c>
      <c r="J1639" s="125" t="s">
        <v>352</v>
      </c>
      <c r="K1639" s="125" t="s">
        <v>1044</v>
      </c>
      <c r="L1639" s="125" t="s">
        <v>507</v>
      </c>
      <c r="M1639" s="125" t="s">
        <v>508</v>
      </c>
    </row>
    <row r="1640" spans="1:13" s="114" customFormat="1" ht="38.25">
      <c r="A1640" s="136">
        <v>1638</v>
      </c>
      <c r="B1640" s="136" t="s">
        <v>4943</v>
      </c>
      <c r="C1640" s="150" t="s">
        <v>4937</v>
      </c>
      <c r="D1640" s="162" t="s">
        <v>4938</v>
      </c>
      <c r="E1640" s="84" t="s">
        <v>4944</v>
      </c>
      <c r="F1640" s="113"/>
      <c r="G1640" s="131"/>
      <c r="H1640" s="186" t="s">
        <v>4785</v>
      </c>
      <c r="I1640" s="125" t="s">
        <v>326</v>
      </c>
      <c r="J1640" s="125" t="s">
        <v>349</v>
      </c>
      <c r="K1640" s="125" t="s">
        <v>1336</v>
      </c>
      <c r="L1640" s="125" t="s">
        <v>507</v>
      </c>
      <c r="M1640" s="125" t="s">
        <v>508</v>
      </c>
    </row>
    <row r="1641" spans="1:13" s="114" customFormat="1" ht="25.5">
      <c r="A1641" s="136">
        <v>1639</v>
      </c>
      <c r="B1641" s="136" t="s">
        <v>4945</v>
      </c>
      <c r="C1641" s="150" t="s">
        <v>4946</v>
      </c>
      <c r="D1641" s="162" t="s">
        <v>4947</v>
      </c>
      <c r="E1641" s="84" t="s">
        <v>4948</v>
      </c>
      <c r="F1641" s="113"/>
      <c r="G1641" s="131"/>
      <c r="H1641" s="186" t="s">
        <v>4789</v>
      </c>
      <c r="I1641" s="125" t="s">
        <v>326</v>
      </c>
      <c r="J1641" s="125" t="s">
        <v>346</v>
      </c>
      <c r="K1641" s="125" t="s">
        <v>761</v>
      </c>
      <c r="L1641" s="125" t="s">
        <v>507</v>
      </c>
      <c r="M1641" s="125" t="s">
        <v>508</v>
      </c>
    </row>
    <row r="1642" spans="1:13" s="114" customFormat="1" ht="38.25">
      <c r="A1642" s="136">
        <v>1640</v>
      </c>
      <c r="B1642" s="136" t="s">
        <v>4949</v>
      </c>
      <c r="C1642" s="150" t="s">
        <v>4950</v>
      </c>
      <c r="D1642" s="162" t="s">
        <v>4951</v>
      </c>
      <c r="E1642" s="84" t="s">
        <v>4952</v>
      </c>
      <c r="F1642" s="113"/>
      <c r="G1642" s="131"/>
      <c r="H1642" s="186" t="s">
        <v>4785</v>
      </c>
      <c r="I1642" s="125" t="s">
        <v>326</v>
      </c>
      <c r="J1642" s="125" t="s">
        <v>349</v>
      </c>
      <c r="K1642" s="125" t="s">
        <v>1336</v>
      </c>
      <c r="L1642" s="125" t="s">
        <v>507</v>
      </c>
      <c r="M1642" s="125" t="s">
        <v>508</v>
      </c>
    </row>
    <row r="1643" spans="1:13" s="114" customFormat="1" ht="38.25">
      <c r="A1643" s="136">
        <v>1641</v>
      </c>
      <c r="B1643" s="136" t="s">
        <v>4953</v>
      </c>
      <c r="C1643" s="150" t="s">
        <v>4950</v>
      </c>
      <c r="D1643" s="162" t="s">
        <v>4951</v>
      </c>
      <c r="E1643" s="84" t="s">
        <v>4954</v>
      </c>
      <c r="F1643" s="113"/>
      <c r="G1643" s="131"/>
      <c r="H1643" s="186" t="s">
        <v>4789</v>
      </c>
      <c r="I1643" s="125" t="s">
        <v>326</v>
      </c>
      <c r="J1643" s="125" t="s">
        <v>346</v>
      </c>
      <c r="K1643" s="125" t="s">
        <v>761</v>
      </c>
      <c r="L1643" s="125" t="s">
        <v>507</v>
      </c>
      <c r="M1643" s="125" t="s">
        <v>508</v>
      </c>
    </row>
    <row r="1644" spans="1:13" s="114" customFormat="1" ht="38.25">
      <c r="A1644" s="136">
        <v>1642</v>
      </c>
      <c r="B1644" s="136" t="s">
        <v>4955</v>
      </c>
      <c r="C1644" s="150" t="s">
        <v>4956</v>
      </c>
      <c r="D1644" s="162" t="s">
        <v>4957</v>
      </c>
      <c r="E1644" s="84" t="s">
        <v>4958</v>
      </c>
      <c r="F1644" s="113"/>
      <c r="G1644" s="131"/>
      <c r="H1644" s="186" t="s">
        <v>4865</v>
      </c>
      <c r="I1644" s="125" t="s">
        <v>326</v>
      </c>
      <c r="J1644" s="125" t="s">
        <v>352</v>
      </c>
      <c r="K1644" s="125" t="s">
        <v>526</v>
      </c>
      <c r="L1644" s="125" t="s">
        <v>507</v>
      </c>
      <c r="M1644" s="125" t="s">
        <v>508</v>
      </c>
    </row>
    <row r="1645" spans="1:13" s="114" customFormat="1" ht="38.25">
      <c r="A1645" s="136">
        <v>1643</v>
      </c>
      <c r="B1645" s="136" t="s">
        <v>4959</v>
      </c>
      <c r="C1645" s="150" t="s">
        <v>4960</v>
      </c>
      <c r="D1645" s="162" t="s">
        <v>4961</v>
      </c>
      <c r="E1645" s="84" t="s">
        <v>4962</v>
      </c>
      <c r="F1645" s="113"/>
      <c r="G1645" s="131"/>
      <c r="H1645" s="186" t="s">
        <v>4803</v>
      </c>
      <c r="I1645" s="125" t="s">
        <v>326</v>
      </c>
      <c r="J1645" s="125" t="s">
        <v>331</v>
      </c>
      <c r="K1645" s="125" t="s">
        <v>512</v>
      </c>
      <c r="L1645" s="125" t="s">
        <v>507</v>
      </c>
      <c r="M1645" s="125" t="s">
        <v>508</v>
      </c>
    </row>
    <row r="1646" spans="1:13" s="114" customFormat="1" ht="25.5">
      <c r="A1646" s="136">
        <v>1644</v>
      </c>
      <c r="B1646" s="136" t="s">
        <v>4963</v>
      </c>
      <c r="C1646" s="150" t="s">
        <v>4960</v>
      </c>
      <c r="D1646" s="162" t="s">
        <v>4961</v>
      </c>
      <c r="E1646" s="84" t="s">
        <v>4964</v>
      </c>
      <c r="F1646" s="113"/>
      <c r="G1646" s="131"/>
      <c r="H1646" s="186" t="s">
        <v>4789</v>
      </c>
      <c r="I1646" s="125" t="s">
        <v>326</v>
      </c>
      <c r="J1646" s="125" t="s">
        <v>346</v>
      </c>
      <c r="K1646" s="125" t="s">
        <v>761</v>
      </c>
      <c r="L1646" s="125" t="s">
        <v>507</v>
      </c>
      <c r="M1646" s="125" t="s">
        <v>508</v>
      </c>
    </row>
    <row r="1647" spans="1:13" s="114" customFormat="1" ht="25.5">
      <c r="A1647" s="136">
        <v>1645</v>
      </c>
      <c r="B1647" s="136" t="s">
        <v>4965</v>
      </c>
      <c r="C1647" s="150" t="s">
        <v>4960</v>
      </c>
      <c r="D1647" s="162" t="s">
        <v>4961</v>
      </c>
      <c r="E1647" s="84" t="s">
        <v>4966</v>
      </c>
      <c r="F1647" s="113"/>
      <c r="G1647" s="131"/>
      <c r="H1647" s="186" t="s">
        <v>4908</v>
      </c>
      <c r="I1647" s="125" t="s">
        <v>327</v>
      </c>
      <c r="J1647" s="125" t="s">
        <v>337</v>
      </c>
      <c r="K1647" s="125" t="s">
        <v>1071</v>
      </c>
      <c r="L1647" s="125" t="s">
        <v>507</v>
      </c>
      <c r="M1647" s="125" t="s">
        <v>508</v>
      </c>
    </row>
    <row r="1648" spans="1:13" s="114" customFormat="1" ht="51">
      <c r="A1648" s="136">
        <v>1646</v>
      </c>
      <c r="B1648" s="136" t="s">
        <v>4967</v>
      </c>
      <c r="C1648" s="150">
        <v>4.5999999999999996</v>
      </c>
      <c r="D1648" s="162" t="s">
        <v>4968</v>
      </c>
      <c r="E1648" s="84" t="s">
        <v>4969</v>
      </c>
      <c r="F1648" s="113"/>
      <c r="G1648" s="131"/>
      <c r="H1648" s="186" t="s">
        <v>4789</v>
      </c>
      <c r="I1648" s="125" t="s">
        <v>326</v>
      </c>
      <c r="J1648" s="125" t="s">
        <v>346</v>
      </c>
      <c r="K1648" s="125" t="s">
        <v>761</v>
      </c>
      <c r="L1648" s="125" t="s">
        <v>507</v>
      </c>
      <c r="M1648" s="125" t="s">
        <v>508</v>
      </c>
    </row>
    <row r="1649" spans="1:13" s="114" customFormat="1" ht="51">
      <c r="A1649" s="136">
        <v>1647</v>
      </c>
      <c r="B1649" s="136" t="s">
        <v>4970</v>
      </c>
      <c r="C1649" s="150">
        <v>4.5999999999999996</v>
      </c>
      <c r="D1649" s="162" t="s">
        <v>4968</v>
      </c>
      <c r="E1649" s="84" t="s">
        <v>4971</v>
      </c>
      <c r="F1649" s="113"/>
      <c r="G1649" s="131"/>
      <c r="H1649" s="186" t="s">
        <v>4832</v>
      </c>
      <c r="I1649" s="125" t="s">
        <v>326</v>
      </c>
      <c r="J1649" s="125" t="s">
        <v>341</v>
      </c>
      <c r="K1649" s="141" t="s">
        <v>580</v>
      </c>
      <c r="L1649" s="125" t="s">
        <v>507</v>
      </c>
      <c r="M1649" s="125" t="s">
        <v>508</v>
      </c>
    </row>
    <row r="1650" spans="1:13" s="114" customFormat="1" ht="38.25">
      <c r="A1650" s="136">
        <v>1648</v>
      </c>
      <c r="B1650" s="136" t="s">
        <v>4972</v>
      </c>
      <c r="C1650" s="150">
        <v>5.0999999999999996</v>
      </c>
      <c r="D1650" s="162" t="s">
        <v>4973</v>
      </c>
      <c r="E1650" s="84" t="s">
        <v>4974</v>
      </c>
      <c r="F1650" s="113"/>
      <c r="G1650" s="131"/>
      <c r="H1650" s="186" t="s">
        <v>4908</v>
      </c>
      <c r="I1650" s="125" t="s">
        <v>327</v>
      </c>
      <c r="J1650" s="125" t="s">
        <v>337</v>
      </c>
      <c r="K1650" s="125" t="s">
        <v>1071</v>
      </c>
      <c r="L1650" s="125" t="s">
        <v>314</v>
      </c>
      <c r="M1650" s="125" t="s">
        <v>508</v>
      </c>
    </row>
    <row r="1651" spans="1:13" s="114" customFormat="1" ht="25.5">
      <c r="A1651" s="136">
        <v>1649</v>
      </c>
      <c r="B1651" s="136" t="s">
        <v>4975</v>
      </c>
      <c r="C1651" s="150">
        <v>5.0999999999999996</v>
      </c>
      <c r="D1651" s="162" t="s">
        <v>4973</v>
      </c>
      <c r="E1651" s="84" t="s">
        <v>4976</v>
      </c>
      <c r="F1651" s="113"/>
      <c r="G1651" s="131"/>
      <c r="H1651" s="186" t="s">
        <v>4908</v>
      </c>
      <c r="I1651" s="125" t="s">
        <v>327</v>
      </c>
      <c r="J1651" s="125" t="s">
        <v>337</v>
      </c>
      <c r="K1651" s="125" t="s">
        <v>1071</v>
      </c>
      <c r="L1651" s="125" t="s">
        <v>314</v>
      </c>
      <c r="M1651" s="125" t="s">
        <v>508</v>
      </c>
    </row>
    <row r="1652" spans="1:13" s="114" customFormat="1" ht="38.25">
      <c r="A1652" s="136">
        <v>1650</v>
      </c>
      <c r="B1652" s="136" t="s">
        <v>4977</v>
      </c>
      <c r="C1652" s="150">
        <v>5.0999999999999996</v>
      </c>
      <c r="D1652" s="162" t="s">
        <v>4973</v>
      </c>
      <c r="E1652" s="84" t="s">
        <v>4978</v>
      </c>
      <c r="F1652" s="113"/>
      <c r="G1652" s="131"/>
      <c r="H1652" s="186" t="s">
        <v>4908</v>
      </c>
      <c r="I1652" s="125" t="s">
        <v>327</v>
      </c>
      <c r="J1652" s="125" t="s">
        <v>337</v>
      </c>
      <c r="K1652" s="125" t="s">
        <v>1071</v>
      </c>
      <c r="L1652" s="125" t="s">
        <v>314</v>
      </c>
      <c r="M1652" s="125" t="s">
        <v>508</v>
      </c>
    </row>
    <row r="1653" spans="1:13" s="114" customFormat="1" ht="38.25">
      <c r="A1653" s="136">
        <v>1651</v>
      </c>
      <c r="B1653" s="136" t="s">
        <v>4979</v>
      </c>
      <c r="C1653" s="150">
        <v>5.0999999999999996</v>
      </c>
      <c r="D1653" s="162" t="s">
        <v>4973</v>
      </c>
      <c r="E1653" s="84" t="s">
        <v>4980</v>
      </c>
      <c r="F1653" s="113"/>
      <c r="G1653" s="131"/>
      <c r="H1653" s="186" t="s">
        <v>4803</v>
      </c>
      <c r="I1653" s="125" t="s">
        <v>326</v>
      </c>
      <c r="J1653" s="125" t="s">
        <v>331</v>
      </c>
      <c r="K1653" s="125" t="s">
        <v>512</v>
      </c>
      <c r="L1653" s="125" t="s">
        <v>507</v>
      </c>
      <c r="M1653" s="125" t="s">
        <v>508</v>
      </c>
    </row>
    <row r="1654" spans="1:13" s="114" customFormat="1" ht="38.25">
      <c r="A1654" s="136">
        <v>1652</v>
      </c>
      <c r="B1654" s="136" t="s">
        <v>4981</v>
      </c>
      <c r="C1654" s="150">
        <v>5.0999999999999996</v>
      </c>
      <c r="D1654" s="162" t="s">
        <v>4973</v>
      </c>
      <c r="E1654" s="84" t="s">
        <v>4982</v>
      </c>
      <c r="F1654" s="113"/>
      <c r="G1654" s="131"/>
      <c r="H1654" s="186" t="s">
        <v>4789</v>
      </c>
      <c r="I1654" s="125" t="s">
        <v>326</v>
      </c>
      <c r="J1654" s="125" t="s">
        <v>346</v>
      </c>
      <c r="K1654" s="125" t="s">
        <v>761</v>
      </c>
      <c r="L1654" s="125" t="s">
        <v>507</v>
      </c>
      <c r="M1654" s="125" t="s">
        <v>508</v>
      </c>
    </row>
    <row r="1655" spans="1:13" s="114" customFormat="1" ht="38.25">
      <c r="A1655" s="136">
        <v>1653</v>
      </c>
      <c r="B1655" s="136" t="s">
        <v>4983</v>
      </c>
      <c r="C1655" s="150">
        <v>5.0999999999999996</v>
      </c>
      <c r="D1655" s="162" t="s">
        <v>4973</v>
      </c>
      <c r="E1655" s="84" t="s">
        <v>4984</v>
      </c>
      <c r="F1655" s="113"/>
      <c r="G1655" s="131"/>
      <c r="H1655" s="186" t="s">
        <v>4807</v>
      </c>
      <c r="I1655" s="125" t="s">
        <v>326</v>
      </c>
      <c r="J1655" s="125" t="s">
        <v>346</v>
      </c>
      <c r="K1655" s="125" t="s">
        <v>1465</v>
      </c>
      <c r="L1655" s="125" t="s">
        <v>314</v>
      </c>
      <c r="M1655" s="125" t="s">
        <v>508</v>
      </c>
    </row>
    <row r="1656" spans="1:13" s="114" customFormat="1" ht="25.5">
      <c r="A1656" s="136">
        <v>1654</v>
      </c>
      <c r="B1656" s="136" t="s">
        <v>4985</v>
      </c>
      <c r="C1656" s="150">
        <v>5.3</v>
      </c>
      <c r="D1656" s="162" t="s">
        <v>4986</v>
      </c>
      <c r="E1656" s="84" t="s">
        <v>4987</v>
      </c>
      <c r="F1656" s="113"/>
      <c r="G1656" s="131"/>
      <c r="H1656" s="186" t="s">
        <v>4835</v>
      </c>
      <c r="I1656" s="125" t="s">
        <v>326</v>
      </c>
      <c r="J1656" s="125" t="s">
        <v>346</v>
      </c>
      <c r="K1656" s="125" t="s">
        <v>761</v>
      </c>
      <c r="L1656" s="125" t="s">
        <v>507</v>
      </c>
      <c r="M1656" s="125" t="s">
        <v>508</v>
      </c>
    </row>
    <row r="1657" spans="1:13" s="114" customFormat="1" ht="25.5">
      <c r="A1657" s="136">
        <v>1655</v>
      </c>
      <c r="B1657" s="136" t="s">
        <v>4988</v>
      </c>
      <c r="C1657" s="150">
        <v>5.3</v>
      </c>
      <c r="D1657" s="162" t="s">
        <v>4986</v>
      </c>
      <c r="E1657" s="84" t="s">
        <v>4989</v>
      </c>
      <c r="F1657" s="113"/>
      <c r="G1657" s="131"/>
      <c r="H1657" s="186" t="s">
        <v>4832</v>
      </c>
      <c r="I1657" s="125" t="s">
        <v>326</v>
      </c>
      <c r="J1657" s="125" t="s">
        <v>341</v>
      </c>
      <c r="K1657" s="141" t="s">
        <v>580</v>
      </c>
      <c r="L1657" s="125" t="s">
        <v>507</v>
      </c>
      <c r="M1657" s="125" t="s">
        <v>508</v>
      </c>
    </row>
    <row r="1658" spans="1:13" s="114" customFormat="1" ht="25.5">
      <c r="A1658" s="136">
        <v>1656</v>
      </c>
      <c r="B1658" s="136" t="s">
        <v>4990</v>
      </c>
      <c r="C1658" s="150">
        <v>5.3</v>
      </c>
      <c r="D1658" s="162" t="s">
        <v>4986</v>
      </c>
      <c r="E1658" s="84" t="s">
        <v>4991</v>
      </c>
      <c r="F1658" s="113"/>
      <c r="G1658" s="131"/>
      <c r="H1658" s="186" t="s">
        <v>4807</v>
      </c>
      <c r="I1658" s="125" t="s">
        <v>326</v>
      </c>
      <c r="J1658" s="125" t="s">
        <v>346</v>
      </c>
      <c r="K1658" s="125" t="s">
        <v>1465</v>
      </c>
      <c r="L1658" s="125" t="s">
        <v>314</v>
      </c>
      <c r="M1658" s="125" t="s">
        <v>508</v>
      </c>
    </row>
    <row r="1659" spans="1:13" s="114" customFormat="1" ht="25.5">
      <c r="A1659" s="136">
        <v>1657</v>
      </c>
      <c r="B1659" s="136" t="s">
        <v>4992</v>
      </c>
      <c r="C1659" s="150">
        <v>5.3</v>
      </c>
      <c r="D1659" s="162" t="s">
        <v>4986</v>
      </c>
      <c r="E1659" s="84" t="s">
        <v>4993</v>
      </c>
      <c r="F1659" s="113"/>
      <c r="G1659" s="131"/>
      <c r="H1659" s="186" t="s">
        <v>4789</v>
      </c>
      <c r="I1659" s="125" t="s">
        <v>326</v>
      </c>
      <c r="J1659" s="125" t="s">
        <v>346</v>
      </c>
      <c r="K1659" s="125" t="s">
        <v>761</v>
      </c>
      <c r="L1659" s="125" t="s">
        <v>507</v>
      </c>
      <c r="M1659" s="125" t="s">
        <v>508</v>
      </c>
    </row>
    <row r="1660" spans="1:13" s="114" customFormat="1" ht="25.5">
      <c r="A1660" s="136">
        <v>1658</v>
      </c>
      <c r="B1660" s="136" t="s">
        <v>4994</v>
      </c>
      <c r="C1660" s="150">
        <v>5.3</v>
      </c>
      <c r="D1660" s="162" t="s">
        <v>4986</v>
      </c>
      <c r="E1660" s="84" t="s">
        <v>4995</v>
      </c>
      <c r="F1660" s="113"/>
      <c r="G1660" s="131"/>
      <c r="H1660" s="186" t="s">
        <v>4996</v>
      </c>
      <c r="I1660" s="125" t="s">
        <v>326</v>
      </c>
      <c r="J1660" s="125" t="s">
        <v>331</v>
      </c>
      <c r="K1660" s="125" t="s">
        <v>1191</v>
      </c>
      <c r="L1660" s="125" t="s">
        <v>314</v>
      </c>
      <c r="M1660" s="125" t="s">
        <v>508</v>
      </c>
    </row>
    <row r="1661" spans="1:13" s="114" customFormat="1" ht="38.25">
      <c r="A1661" s="136">
        <v>1659</v>
      </c>
      <c r="B1661" s="136" t="s">
        <v>4997</v>
      </c>
      <c r="C1661" s="150">
        <v>5.3</v>
      </c>
      <c r="D1661" s="162" t="s">
        <v>4986</v>
      </c>
      <c r="E1661" s="84" t="s">
        <v>4998</v>
      </c>
      <c r="F1661" s="113"/>
      <c r="G1661" s="131"/>
      <c r="H1661" s="186" t="s">
        <v>4803</v>
      </c>
      <c r="I1661" s="125" t="s">
        <v>326</v>
      </c>
      <c r="J1661" s="125" t="s">
        <v>331</v>
      </c>
      <c r="K1661" s="125" t="s">
        <v>512</v>
      </c>
      <c r="L1661" s="125" t="s">
        <v>507</v>
      </c>
      <c r="M1661" s="125" t="s">
        <v>508</v>
      </c>
    </row>
    <row r="1662" spans="1:13" s="114" customFormat="1" ht="25.5">
      <c r="A1662" s="136">
        <v>1660</v>
      </c>
      <c r="B1662" s="136" t="s">
        <v>4999</v>
      </c>
      <c r="C1662" s="150">
        <v>5.3</v>
      </c>
      <c r="D1662" s="162" t="s">
        <v>4986</v>
      </c>
      <c r="E1662" s="84" t="s">
        <v>5000</v>
      </c>
      <c r="F1662" s="113"/>
      <c r="G1662" s="131"/>
      <c r="H1662" s="186" t="s">
        <v>4789</v>
      </c>
      <c r="I1662" s="125" t="s">
        <v>326</v>
      </c>
      <c r="J1662" s="125" t="s">
        <v>346</v>
      </c>
      <c r="K1662" s="125" t="s">
        <v>761</v>
      </c>
      <c r="L1662" s="125" t="s">
        <v>507</v>
      </c>
      <c r="M1662" s="125" t="s">
        <v>508</v>
      </c>
    </row>
    <row r="1663" spans="1:13" s="114" customFormat="1" ht="25.5">
      <c r="A1663" s="136">
        <v>1661</v>
      </c>
      <c r="B1663" s="136" t="s">
        <v>5001</v>
      </c>
      <c r="C1663" s="150">
        <v>5.3</v>
      </c>
      <c r="D1663" s="162" t="s">
        <v>4986</v>
      </c>
      <c r="E1663" s="84" t="s">
        <v>5002</v>
      </c>
      <c r="F1663" s="113"/>
      <c r="G1663" s="131"/>
      <c r="H1663" s="186" t="s">
        <v>4832</v>
      </c>
      <c r="I1663" s="125" t="s">
        <v>326</v>
      </c>
      <c r="J1663" s="125" t="s">
        <v>341</v>
      </c>
      <c r="K1663" s="125" t="s">
        <v>580</v>
      </c>
      <c r="L1663" s="125" t="s">
        <v>507</v>
      </c>
      <c r="M1663" s="125" t="s">
        <v>508</v>
      </c>
    </row>
    <row r="1664" spans="1:13" s="114" customFormat="1" ht="38.25">
      <c r="A1664" s="136">
        <v>1662</v>
      </c>
      <c r="B1664" s="136" t="s">
        <v>5003</v>
      </c>
      <c r="C1664" s="150">
        <v>5.3</v>
      </c>
      <c r="D1664" s="162" t="s">
        <v>4986</v>
      </c>
      <c r="E1664" s="84" t="s">
        <v>5004</v>
      </c>
      <c r="F1664" s="113"/>
      <c r="G1664" s="131"/>
      <c r="H1664" s="186" t="s">
        <v>4789</v>
      </c>
      <c r="I1664" s="125" t="s">
        <v>326</v>
      </c>
      <c r="J1664" s="125" t="s">
        <v>346</v>
      </c>
      <c r="K1664" s="125" t="s">
        <v>761</v>
      </c>
      <c r="L1664" s="125" t="s">
        <v>507</v>
      </c>
      <c r="M1664" s="125" t="s">
        <v>508</v>
      </c>
    </row>
    <row r="1665" spans="1:13" s="114" customFormat="1" ht="12.75">
      <c r="A1665" s="136">
        <v>1663</v>
      </c>
      <c r="B1665" s="125" t="s">
        <v>5005</v>
      </c>
      <c r="C1665" s="136" t="s">
        <v>5006</v>
      </c>
      <c r="D1665" s="139" t="s">
        <v>5007</v>
      </c>
      <c r="E1665" s="84" t="s">
        <v>5008</v>
      </c>
      <c r="F1665" s="89"/>
      <c r="G1665" s="131"/>
      <c r="H1665" s="186" t="s">
        <v>567</v>
      </c>
      <c r="I1665" s="125" t="s">
        <v>326</v>
      </c>
      <c r="J1665" s="125" t="s">
        <v>341</v>
      </c>
      <c r="K1665" s="125" t="s">
        <v>570</v>
      </c>
      <c r="L1665" s="125" t="s">
        <v>507</v>
      </c>
      <c r="M1665" s="125" t="s">
        <v>508</v>
      </c>
    </row>
    <row r="1666" spans="1:13" s="114" customFormat="1" ht="25.5">
      <c r="A1666" s="136">
        <v>1664</v>
      </c>
      <c r="B1666" s="125" t="s">
        <v>5009</v>
      </c>
      <c r="C1666" s="136" t="s">
        <v>5006</v>
      </c>
      <c r="D1666" s="139" t="s">
        <v>5007</v>
      </c>
      <c r="E1666" s="84" t="s">
        <v>5010</v>
      </c>
      <c r="F1666" s="89"/>
      <c r="G1666" s="131"/>
      <c r="H1666" s="186" t="s">
        <v>1964</v>
      </c>
      <c r="I1666" s="125" t="s">
        <v>326</v>
      </c>
      <c r="J1666" s="125" t="s">
        <v>341</v>
      </c>
      <c r="K1666" s="125" t="s">
        <v>570</v>
      </c>
      <c r="L1666" s="125" t="s">
        <v>507</v>
      </c>
      <c r="M1666" s="125" t="s">
        <v>508</v>
      </c>
    </row>
    <row r="1667" spans="1:13" s="114" customFormat="1" ht="25.5">
      <c r="A1667" s="136">
        <v>1665</v>
      </c>
      <c r="B1667" s="125" t="s">
        <v>5011</v>
      </c>
      <c r="C1667" s="136" t="s">
        <v>5006</v>
      </c>
      <c r="D1667" s="139" t="s">
        <v>5007</v>
      </c>
      <c r="E1667" s="84" t="s">
        <v>5012</v>
      </c>
      <c r="F1667" s="89"/>
      <c r="G1667" s="131"/>
      <c r="H1667" s="186" t="s">
        <v>1964</v>
      </c>
      <c r="I1667" s="125" t="s">
        <v>326</v>
      </c>
      <c r="J1667" s="125" t="s">
        <v>341</v>
      </c>
      <c r="K1667" s="125" t="s">
        <v>570</v>
      </c>
      <c r="L1667" s="125" t="s">
        <v>507</v>
      </c>
      <c r="M1667" s="125" t="s">
        <v>508</v>
      </c>
    </row>
    <row r="1668" spans="1:13" s="114" customFormat="1" ht="25.5">
      <c r="A1668" s="136">
        <v>1666</v>
      </c>
      <c r="B1668" s="125" t="s">
        <v>5013</v>
      </c>
      <c r="C1668" s="136" t="s">
        <v>5006</v>
      </c>
      <c r="D1668" s="139" t="s">
        <v>5007</v>
      </c>
      <c r="E1668" s="84" t="s">
        <v>5014</v>
      </c>
      <c r="F1668" s="89"/>
      <c r="G1668" s="131"/>
      <c r="H1668" s="186" t="s">
        <v>567</v>
      </c>
      <c r="I1668" s="125" t="s">
        <v>326</v>
      </c>
      <c r="J1668" s="125" t="s">
        <v>341</v>
      </c>
      <c r="K1668" s="125" t="s">
        <v>570</v>
      </c>
      <c r="L1668" s="125" t="s">
        <v>507</v>
      </c>
      <c r="M1668" s="125" t="s">
        <v>508</v>
      </c>
    </row>
    <row r="1669" spans="1:13" s="114" customFormat="1" ht="51">
      <c r="A1669" s="136">
        <v>1667</v>
      </c>
      <c r="B1669" s="125" t="s">
        <v>5015</v>
      </c>
      <c r="C1669" s="136" t="s">
        <v>5016</v>
      </c>
      <c r="D1669" s="139" t="s">
        <v>5017</v>
      </c>
      <c r="E1669" s="84" t="s">
        <v>5018</v>
      </c>
      <c r="F1669" s="89"/>
      <c r="G1669" s="131"/>
      <c r="H1669" s="186" t="s">
        <v>1148</v>
      </c>
      <c r="I1669" s="125" t="s">
        <v>326</v>
      </c>
      <c r="J1669" s="125" t="s">
        <v>331</v>
      </c>
      <c r="K1669" s="125" t="s">
        <v>530</v>
      </c>
      <c r="L1669" s="125" t="s">
        <v>507</v>
      </c>
      <c r="M1669" s="125" t="s">
        <v>508</v>
      </c>
    </row>
    <row r="1670" spans="1:13" s="114" customFormat="1" ht="25.5">
      <c r="A1670" s="136">
        <v>1668</v>
      </c>
      <c r="B1670" s="125" t="s">
        <v>5019</v>
      </c>
      <c r="C1670" s="136" t="s">
        <v>5016</v>
      </c>
      <c r="D1670" s="139" t="s">
        <v>5017</v>
      </c>
      <c r="E1670" s="84" t="s">
        <v>5020</v>
      </c>
      <c r="F1670" s="89"/>
      <c r="G1670" s="131"/>
      <c r="H1670" s="186" t="s">
        <v>1230</v>
      </c>
      <c r="I1670" s="125" t="s">
        <v>326</v>
      </c>
      <c r="J1670" s="125" t="s">
        <v>331</v>
      </c>
      <c r="K1670" s="125" t="s">
        <v>1178</v>
      </c>
      <c r="L1670" s="125" t="s">
        <v>507</v>
      </c>
      <c r="M1670" s="125" t="s">
        <v>508</v>
      </c>
    </row>
    <row r="1671" spans="1:13" s="114" customFormat="1" ht="38.25">
      <c r="A1671" s="136">
        <v>1669</v>
      </c>
      <c r="B1671" s="125" t="s">
        <v>5021</v>
      </c>
      <c r="C1671" s="136" t="s">
        <v>5016</v>
      </c>
      <c r="D1671" s="139" t="s">
        <v>5017</v>
      </c>
      <c r="E1671" s="84" t="s">
        <v>5022</v>
      </c>
      <c r="F1671" s="89"/>
      <c r="G1671" s="131"/>
      <c r="H1671" s="186" t="s">
        <v>1983</v>
      </c>
      <c r="I1671" s="125" t="s">
        <v>326</v>
      </c>
      <c r="J1671" s="125" t="s">
        <v>341</v>
      </c>
      <c r="K1671" s="125" t="s">
        <v>570</v>
      </c>
      <c r="L1671" s="125" t="s">
        <v>507</v>
      </c>
      <c r="M1671" s="125" t="s">
        <v>508</v>
      </c>
    </row>
    <row r="1672" spans="1:13" s="114" customFormat="1" ht="38.25">
      <c r="A1672" s="136">
        <v>1670</v>
      </c>
      <c r="B1672" s="125" t="s">
        <v>5023</v>
      </c>
      <c r="C1672" s="136" t="s">
        <v>5016</v>
      </c>
      <c r="D1672" s="139" t="s">
        <v>5017</v>
      </c>
      <c r="E1672" s="84" t="s">
        <v>5024</v>
      </c>
      <c r="F1672" s="89"/>
      <c r="G1672" s="131"/>
      <c r="H1672" s="186" t="s">
        <v>653</v>
      </c>
      <c r="I1672" s="125" t="s">
        <v>326</v>
      </c>
      <c r="J1672" s="125" t="s">
        <v>331</v>
      </c>
      <c r="K1672" s="125" t="s">
        <v>506</v>
      </c>
      <c r="L1672" s="125" t="s">
        <v>507</v>
      </c>
      <c r="M1672" s="125" t="s">
        <v>508</v>
      </c>
    </row>
    <row r="1673" spans="1:13" s="114" customFormat="1" ht="25.5">
      <c r="A1673" s="136">
        <v>1671</v>
      </c>
      <c r="B1673" s="125" t="s">
        <v>5025</v>
      </c>
      <c r="C1673" s="136" t="s">
        <v>5016</v>
      </c>
      <c r="D1673" s="139" t="s">
        <v>5017</v>
      </c>
      <c r="E1673" s="84" t="s">
        <v>5026</v>
      </c>
      <c r="F1673" s="89"/>
      <c r="G1673" s="131"/>
      <c r="H1673" s="186" t="s">
        <v>1089</v>
      </c>
      <c r="I1673" s="125" t="s">
        <v>327</v>
      </c>
      <c r="J1673" s="125" t="s">
        <v>342</v>
      </c>
      <c r="K1673" s="125" t="s">
        <v>1090</v>
      </c>
      <c r="L1673" s="125" t="s">
        <v>507</v>
      </c>
      <c r="M1673" s="125" t="s">
        <v>508</v>
      </c>
    </row>
    <row r="1674" spans="1:13" s="114" customFormat="1" ht="51">
      <c r="A1674" s="136">
        <v>1672</v>
      </c>
      <c r="B1674" s="125" t="s">
        <v>5027</v>
      </c>
      <c r="C1674" s="136" t="s">
        <v>5016</v>
      </c>
      <c r="D1674" s="139" t="s">
        <v>5017</v>
      </c>
      <c r="E1674" s="84" t="s">
        <v>5028</v>
      </c>
      <c r="F1674" s="89"/>
      <c r="G1674" s="131"/>
      <c r="H1674" s="186" t="s">
        <v>684</v>
      </c>
      <c r="I1674" s="125" t="s">
        <v>326</v>
      </c>
      <c r="J1674" s="125" t="s">
        <v>331</v>
      </c>
      <c r="K1674" s="125" t="s">
        <v>530</v>
      </c>
      <c r="L1674" s="125" t="s">
        <v>507</v>
      </c>
      <c r="M1674" s="125" t="s">
        <v>508</v>
      </c>
    </row>
    <row r="1675" spans="1:13" s="114" customFormat="1" ht="25.5">
      <c r="A1675" s="136">
        <v>1673</v>
      </c>
      <c r="B1675" s="125" t="s">
        <v>5029</v>
      </c>
      <c r="C1675" s="136" t="s">
        <v>5016</v>
      </c>
      <c r="D1675" s="139" t="s">
        <v>5017</v>
      </c>
      <c r="E1675" s="84" t="s">
        <v>5030</v>
      </c>
      <c r="F1675" s="89"/>
      <c r="G1675" s="131"/>
      <c r="H1675" s="186" t="s">
        <v>567</v>
      </c>
      <c r="I1675" s="125" t="s">
        <v>326</v>
      </c>
      <c r="J1675" s="125" t="s">
        <v>341</v>
      </c>
      <c r="K1675" s="125" t="s">
        <v>570</v>
      </c>
      <c r="L1675" s="125" t="s">
        <v>507</v>
      </c>
      <c r="M1675" s="125" t="s">
        <v>508</v>
      </c>
    </row>
    <row r="1676" spans="1:13" s="114" customFormat="1" ht="25.5">
      <c r="A1676" s="136">
        <v>1674</v>
      </c>
      <c r="B1676" s="125" t="s">
        <v>5031</v>
      </c>
      <c r="C1676" s="125" t="s">
        <v>5032</v>
      </c>
      <c r="D1676" s="142" t="s">
        <v>5033</v>
      </c>
      <c r="E1676" s="84" t="s">
        <v>5034</v>
      </c>
      <c r="F1676" s="89"/>
      <c r="G1676" s="131"/>
      <c r="H1676" s="186" t="s">
        <v>931</v>
      </c>
      <c r="I1676" s="125" t="s">
        <v>326</v>
      </c>
      <c r="J1676" s="125" t="s">
        <v>341</v>
      </c>
      <c r="K1676" s="125" t="s">
        <v>570</v>
      </c>
      <c r="L1676" s="125" t="s">
        <v>507</v>
      </c>
      <c r="M1676" s="125" t="s">
        <v>508</v>
      </c>
    </row>
    <row r="1677" spans="1:13" s="114" customFormat="1" ht="25.5">
      <c r="A1677" s="136">
        <v>1675</v>
      </c>
      <c r="B1677" s="125" t="s">
        <v>5035</v>
      </c>
      <c r="C1677" s="125" t="s">
        <v>5032</v>
      </c>
      <c r="D1677" s="142" t="s">
        <v>5033</v>
      </c>
      <c r="E1677" s="84" t="s">
        <v>5036</v>
      </c>
      <c r="F1677" s="89"/>
      <c r="G1677" s="131"/>
      <c r="H1677" s="186" t="s">
        <v>577</v>
      </c>
      <c r="I1677" s="125" t="s">
        <v>326</v>
      </c>
      <c r="J1677" s="125" t="s">
        <v>341</v>
      </c>
      <c r="K1677" s="125" t="s">
        <v>580</v>
      </c>
      <c r="L1677" s="125" t="s">
        <v>507</v>
      </c>
      <c r="M1677" s="125" t="s">
        <v>508</v>
      </c>
    </row>
    <row r="1678" spans="1:13" s="114" customFormat="1" ht="25.5">
      <c r="A1678" s="136">
        <v>1676</v>
      </c>
      <c r="B1678" s="125" t="s">
        <v>5037</v>
      </c>
      <c r="C1678" s="125" t="s">
        <v>5032</v>
      </c>
      <c r="D1678" s="142" t="s">
        <v>5033</v>
      </c>
      <c r="E1678" s="84" t="s">
        <v>5038</v>
      </c>
      <c r="F1678" s="89"/>
      <c r="G1678" s="131"/>
      <c r="H1678" s="186" t="s">
        <v>896</v>
      </c>
      <c r="I1678" s="125" t="s">
        <v>326</v>
      </c>
      <c r="J1678" s="125" t="s">
        <v>341</v>
      </c>
      <c r="K1678" s="125" t="s">
        <v>580</v>
      </c>
      <c r="L1678" s="125" t="s">
        <v>507</v>
      </c>
      <c r="M1678" s="125" t="s">
        <v>508</v>
      </c>
    </row>
    <row r="1679" spans="1:13" s="114" customFormat="1" ht="25.5">
      <c r="A1679" s="136">
        <v>1677</v>
      </c>
      <c r="B1679" s="125" t="s">
        <v>5039</v>
      </c>
      <c r="C1679" s="125" t="s">
        <v>5032</v>
      </c>
      <c r="D1679" s="142" t="s">
        <v>5033</v>
      </c>
      <c r="E1679" s="84" t="s">
        <v>5040</v>
      </c>
      <c r="F1679" s="89"/>
      <c r="G1679" s="131"/>
      <c r="H1679" s="186" t="s">
        <v>596</v>
      </c>
      <c r="I1679" s="125" t="s">
        <v>326</v>
      </c>
      <c r="J1679" s="125" t="s">
        <v>352</v>
      </c>
      <c r="K1679" s="125" t="s">
        <v>597</v>
      </c>
      <c r="L1679" s="125" t="s">
        <v>507</v>
      </c>
      <c r="M1679" s="125" t="s">
        <v>508</v>
      </c>
    </row>
    <row r="1680" spans="1:13" s="114" customFormat="1" ht="12.75">
      <c r="A1680" s="136">
        <v>1678</v>
      </c>
      <c r="B1680" s="125" t="s">
        <v>5041</v>
      </c>
      <c r="C1680" s="125" t="s">
        <v>5032</v>
      </c>
      <c r="D1680" s="142" t="s">
        <v>5033</v>
      </c>
      <c r="E1680" s="84" t="s">
        <v>5042</v>
      </c>
      <c r="F1680" s="89"/>
      <c r="G1680" s="131"/>
      <c r="H1680" s="186" t="s">
        <v>931</v>
      </c>
      <c r="I1680" s="125" t="s">
        <v>326</v>
      </c>
      <c r="J1680" s="125" t="s">
        <v>341</v>
      </c>
      <c r="K1680" s="125" t="s">
        <v>570</v>
      </c>
      <c r="L1680" s="125" t="s">
        <v>507</v>
      </c>
      <c r="M1680" s="125" t="s">
        <v>508</v>
      </c>
    </row>
    <row r="1681" spans="1:13" s="114" customFormat="1" ht="25.5">
      <c r="A1681" s="136">
        <v>1679</v>
      </c>
      <c r="B1681" s="125" t="s">
        <v>5043</v>
      </c>
      <c r="C1681" s="125" t="s">
        <v>5032</v>
      </c>
      <c r="D1681" s="142" t="s">
        <v>5033</v>
      </c>
      <c r="E1681" s="84" t="s">
        <v>5044</v>
      </c>
      <c r="F1681" s="89"/>
      <c r="G1681" s="131"/>
      <c r="H1681" s="186" t="s">
        <v>1474</v>
      </c>
      <c r="I1681" s="125" t="s">
        <v>326</v>
      </c>
      <c r="J1681" s="125" t="s">
        <v>341</v>
      </c>
      <c r="K1681" s="125" t="s">
        <v>580</v>
      </c>
      <c r="L1681" s="125" t="s">
        <v>507</v>
      </c>
      <c r="M1681" s="125" t="s">
        <v>508</v>
      </c>
    </row>
    <row r="1682" spans="1:13" s="114" customFormat="1" ht="25.5">
      <c r="A1682" s="136">
        <v>1680</v>
      </c>
      <c r="B1682" s="125" t="s">
        <v>5045</v>
      </c>
      <c r="C1682" s="125" t="s">
        <v>5046</v>
      </c>
      <c r="D1682" s="142" t="s">
        <v>5047</v>
      </c>
      <c r="E1682" s="84" t="s">
        <v>5048</v>
      </c>
      <c r="F1682" s="89"/>
      <c r="G1682" s="131"/>
      <c r="H1682" s="186" t="s">
        <v>3311</v>
      </c>
      <c r="I1682" s="125" t="s">
        <v>326</v>
      </c>
      <c r="J1682" s="125" t="s">
        <v>346</v>
      </c>
      <c r="K1682" s="125" t="s">
        <v>761</v>
      </c>
      <c r="L1682" s="125" t="s">
        <v>507</v>
      </c>
      <c r="M1682" s="125" t="s">
        <v>508</v>
      </c>
    </row>
    <row r="1683" spans="1:13" s="114" customFormat="1" ht="25.5">
      <c r="A1683" s="136">
        <v>1681</v>
      </c>
      <c r="B1683" s="125" t="s">
        <v>5049</v>
      </c>
      <c r="C1683" s="125" t="s">
        <v>5046</v>
      </c>
      <c r="D1683" s="142" t="s">
        <v>5047</v>
      </c>
      <c r="E1683" s="84" t="s">
        <v>5050</v>
      </c>
      <c r="F1683" s="89"/>
      <c r="G1683" s="131"/>
      <c r="H1683" s="186" t="s">
        <v>1836</v>
      </c>
      <c r="I1683" s="125" t="s">
        <v>326</v>
      </c>
      <c r="J1683" s="125" t="s">
        <v>349</v>
      </c>
      <c r="K1683" s="125" t="s">
        <v>1336</v>
      </c>
      <c r="L1683" s="125" t="s">
        <v>507</v>
      </c>
      <c r="M1683" s="125" t="s">
        <v>508</v>
      </c>
    </row>
    <row r="1684" spans="1:13" s="114" customFormat="1" ht="25.5">
      <c r="A1684" s="136">
        <v>1682</v>
      </c>
      <c r="B1684" s="125" t="s">
        <v>5051</v>
      </c>
      <c r="C1684" s="125" t="s">
        <v>5046</v>
      </c>
      <c r="D1684" s="142" t="s">
        <v>5047</v>
      </c>
      <c r="E1684" s="84" t="s">
        <v>5052</v>
      </c>
      <c r="F1684" s="89"/>
      <c r="G1684" s="131"/>
      <c r="H1684" s="186" t="s">
        <v>1041</v>
      </c>
      <c r="I1684" s="125" t="s">
        <v>326</v>
      </c>
      <c r="J1684" s="125" t="s">
        <v>352</v>
      </c>
      <c r="K1684" s="125" t="s">
        <v>1044</v>
      </c>
      <c r="L1684" s="125" t="s">
        <v>507</v>
      </c>
      <c r="M1684" s="125" t="s">
        <v>508</v>
      </c>
    </row>
    <row r="1685" spans="1:13" s="114" customFormat="1" ht="25.5">
      <c r="A1685" s="136">
        <v>1683</v>
      </c>
      <c r="B1685" s="125" t="s">
        <v>5053</v>
      </c>
      <c r="C1685" s="125" t="s">
        <v>5046</v>
      </c>
      <c r="D1685" s="142" t="s">
        <v>5047</v>
      </c>
      <c r="E1685" s="84" t="s">
        <v>5054</v>
      </c>
      <c r="F1685" s="89"/>
      <c r="G1685" s="131"/>
      <c r="H1685" s="186" t="s">
        <v>1964</v>
      </c>
      <c r="I1685" s="125" t="s">
        <v>326</v>
      </c>
      <c r="J1685" s="125" t="s">
        <v>341</v>
      </c>
      <c r="K1685" s="125" t="s">
        <v>570</v>
      </c>
      <c r="L1685" s="125" t="s">
        <v>507</v>
      </c>
      <c r="M1685" s="125" t="s">
        <v>508</v>
      </c>
    </row>
    <row r="1686" spans="1:13" s="114" customFormat="1" ht="25.5">
      <c r="A1686" s="136">
        <v>1684</v>
      </c>
      <c r="B1686" s="125" t="s">
        <v>5055</v>
      </c>
      <c r="C1686" s="125" t="s">
        <v>5046</v>
      </c>
      <c r="D1686" s="142" t="s">
        <v>5047</v>
      </c>
      <c r="E1686" s="84" t="s">
        <v>5056</v>
      </c>
      <c r="F1686" s="89"/>
      <c r="G1686" s="131"/>
      <c r="H1686" s="186" t="s">
        <v>1964</v>
      </c>
      <c r="I1686" s="125" t="s">
        <v>326</v>
      </c>
      <c r="J1686" s="125" t="s">
        <v>341</v>
      </c>
      <c r="K1686" s="125" t="s">
        <v>570</v>
      </c>
      <c r="L1686" s="125" t="s">
        <v>507</v>
      </c>
      <c r="M1686" s="125" t="s">
        <v>508</v>
      </c>
    </row>
    <row r="1687" spans="1:13" s="114" customFormat="1" ht="38.25">
      <c r="A1687" s="136">
        <v>1685</v>
      </c>
      <c r="B1687" s="125" t="s">
        <v>5057</v>
      </c>
      <c r="C1687" s="125" t="s">
        <v>5046</v>
      </c>
      <c r="D1687" s="142" t="s">
        <v>5047</v>
      </c>
      <c r="E1687" s="84" t="s">
        <v>5058</v>
      </c>
      <c r="F1687" s="89"/>
      <c r="G1687" s="131"/>
      <c r="H1687" s="186" t="s">
        <v>5059</v>
      </c>
      <c r="I1687" s="125" t="s">
        <v>326</v>
      </c>
      <c r="J1687" s="125" t="s">
        <v>352</v>
      </c>
      <c r="K1687" s="125" t="s">
        <v>597</v>
      </c>
      <c r="L1687" s="125" t="s">
        <v>507</v>
      </c>
      <c r="M1687" s="125" t="s">
        <v>508</v>
      </c>
    </row>
    <row r="1688" spans="1:13" s="114" customFormat="1" ht="38.25">
      <c r="A1688" s="136">
        <v>1686</v>
      </c>
      <c r="B1688" s="125" t="s">
        <v>5060</v>
      </c>
      <c r="C1688" s="125" t="s">
        <v>5061</v>
      </c>
      <c r="D1688" s="142" t="s">
        <v>5062</v>
      </c>
      <c r="E1688" s="84" t="s">
        <v>5063</v>
      </c>
      <c r="F1688" s="89"/>
      <c r="G1688" s="131"/>
      <c r="H1688" s="186" t="s">
        <v>513</v>
      </c>
      <c r="I1688" s="125" t="s">
        <v>326</v>
      </c>
      <c r="J1688" s="125" t="s">
        <v>331</v>
      </c>
      <c r="K1688" s="125" t="s">
        <v>512</v>
      </c>
      <c r="L1688" s="125" t="s">
        <v>507</v>
      </c>
      <c r="M1688" s="125" t="s">
        <v>508</v>
      </c>
    </row>
    <row r="1689" spans="1:13" s="114" customFormat="1" ht="25.5">
      <c r="A1689" s="136">
        <v>1687</v>
      </c>
      <c r="B1689" s="125" t="s">
        <v>5064</v>
      </c>
      <c r="C1689" s="125" t="s">
        <v>5061</v>
      </c>
      <c r="D1689" s="142" t="s">
        <v>5062</v>
      </c>
      <c r="E1689" s="84" t="s">
        <v>5065</v>
      </c>
      <c r="F1689" s="89"/>
      <c r="G1689" s="131"/>
      <c r="H1689" s="186" t="s">
        <v>1531</v>
      </c>
      <c r="I1689" s="125" t="s">
        <v>326</v>
      </c>
      <c r="J1689" s="125" t="s">
        <v>346</v>
      </c>
      <c r="K1689" s="125" t="s">
        <v>761</v>
      </c>
      <c r="L1689" s="125" t="s">
        <v>507</v>
      </c>
      <c r="M1689" s="125" t="s">
        <v>508</v>
      </c>
    </row>
    <row r="1690" spans="1:13" s="114" customFormat="1" ht="38.25">
      <c r="A1690" s="136">
        <v>1688</v>
      </c>
      <c r="B1690" s="125" t="s">
        <v>5066</v>
      </c>
      <c r="C1690" s="125" t="s">
        <v>5061</v>
      </c>
      <c r="D1690" s="142" t="s">
        <v>5062</v>
      </c>
      <c r="E1690" s="84" t="s">
        <v>5067</v>
      </c>
      <c r="F1690" s="89"/>
      <c r="G1690" s="131"/>
      <c r="H1690" s="186" t="s">
        <v>509</v>
      </c>
      <c r="I1690" s="125" t="s">
        <v>326</v>
      </c>
      <c r="J1690" s="125" t="s">
        <v>331</v>
      </c>
      <c r="K1690" s="125" t="s">
        <v>512</v>
      </c>
      <c r="L1690" s="125" t="s">
        <v>507</v>
      </c>
      <c r="M1690" s="125" t="s">
        <v>508</v>
      </c>
    </row>
    <row r="1691" spans="1:13" s="114" customFormat="1" ht="25.5">
      <c r="A1691" s="136">
        <v>1689</v>
      </c>
      <c r="B1691" s="125" t="s">
        <v>5068</v>
      </c>
      <c r="C1691" s="125" t="s">
        <v>5061</v>
      </c>
      <c r="D1691" s="142" t="s">
        <v>5062</v>
      </c>
      <c r="E1691" s="84" t="s">
        <v>5069</v>
      </c>
      <c r="F1691" s="89"/>
      <c r="G1691" s="131"/>
      <c r="H1691" s="186" t="s">
        <v>1041</v>
      </c>
      <c r="I1691" s="125" t="s">
        <v>326</v>
      </c>
      <c r="J1691" s="125" t="s">
        <v>352</v>
      </c>
      <c r="K1691" s="125" t="s">
        <v>1044</v>
      </c>
      <c r="L1691" s="125" t="s">
        <v>507</v>
      </c>
      <c r="M1691" s="125" t="s">
        <v>508</v>
      </c>
    </row>
    <row r="1692" spans="1:13" s="114" customFormat="1" ht="12.75">
      <c r="A1692" s="136">
        <v>1690</v>
      </c>
      <c r="B1692" s="125" t="s">
        <v>5070</v>
      </c>
      <c r="C1692" s="125" t="s">
        <v>5061</v>
      </c>
      <c r="D1692" s="142" t="s">
        <v>5062</v>
      </c>
      <c r="E1692" s="84" t="s">
        <v>5071</v>
      </c>
      <c r="F1692" s="89"/>
      <c r="G1692" s="131"/>
      <c r="H1692" s="186" t="s">
        <v>1089</v>
      </c>
      <c r="I1692" s="125" t="s">
        <v>327</v>
      </c>
      <c r="J1692" s="125" t="s">
        <v>342</v>
      </c>
      <c r="K1692" s="125" t="s">
        <v>1090</v>
      </c>
      <c r="L1692" s="125" t="s">
        <v>507</v>
      </c>
      <c r="M1692" s="125" t="s">
        <v>508</v>
      </c>
    </row>
    <row r="1693" spans="1:13" s="114" customFormat="1" ht="38.25">
      <c r="A1693" s="136">
        <v>1691</v>
      </c>
      <c r="B1693" s="125" t="s">
        <v>5072</v>
      </c>
      <c r="C1693" s="125" t="s">
        <v>5061</v>
      </c>
      <c r="D1693" s="142" t="s">
        <v>5062</v>
      </c>
      <c r="E1693" s="84" t="s">
        <v>5073</v>
      </c>
      <c r="F1693" s="89"/>
      <c r="G1693" s="131"/>
      <c r="H1693" s="186" t="s">
        <v>1986</v>
      </c>
      <c r="I1693" s="125" t="s">
        <v>326</v>
      </c>
      <c r="J1693" s="125" t="s">
        <v>352</v>
      </c>
      <c r="K1693" s="125" t="s">
        <v>561</v>
      </c>
      <c r="L1693" s="125" t="s">
        <v>507</v>
      </c>
      <c r="M1693" s="125" t="s">
        <v>508</v>
      </c>
    </row>
    <row r="1694" spans="1:13" s="114" customFormat="1" ht="12.75">
      <c r="A1694" s="136">
        <v>1692</v>
      </c>
      <c r="B1694" s="125" t="s">
        <v>5074</v>
      </c>
      <c r="C1694" s="125" t="s">
        <v>5061</v>
      </c>
      <c r="D1694" s="142" t="s">
        <v>5062</v>
      </c>
      <c r="E1694" s="84" t="s">
        <v>5075</v>
      </c>
      <c r="F1694" s="89"/>
      <c r="G1694" s="131"/>
      <c r="H1694" s="186" t="s">
        <v>567</v>
      </c>
      <c r="I1694" s="125" t="s">
        <v>326</v>
      </c>
      <c r="J1694" s="125" t="s">
        <v>341</v>
      </c>
      <c r="K1694" s="125" t="s">
        <v>570</v>
      </c>
      <c r="L1694" s="125" t="s">
        <v>507</v>
      </c>
      <c r="M1694" s="125" t="s">
        <v>508</v>
      </c>
    </row>
    <row r="1695" spans="1:13" s="114" customFormat="1" ht="25.5">
      <c r="A1695" s="136">
        <v>1693</v>
      </c>
      <c r="B1695" s="125" t="s">
        <v>5076</v>
      </c>
      <c r="C1695" s="125" t="s">
        <v>5077</v>
      </c>
      <c r="D1695" s="142" t="s">
        <v>5078</v>
      </c>
      <c r="E1695" s="84" t="s">
        <v>5079</v>
      </c>
      <c r="F1695" s="89"/>
      <c r="G1695" s="131"/>
      <c r="H1695" s="186" t="s">
        <v>3451</v>
      </c>
      <c r="I1695" s="125" t="s">
        <v>326</v>
      </c>
      <c r="J1695" s="125" t="s">
        <v>346</v>
      </c>
      <c r="K1695" s="125" t="s">
        <v>761</v>
      </c>
      <c r="L1695" s="125" t="s">
        <v>507</v>
      </c>
      <c r="M1695" s="125" t="s">
        <v>508</v>
      </c>
    </row>
    <row r="1696" spans="1:13" s="114" customFormat="1" ht="38.25">
      <c r="A1696" s="136">
        <v>1694</v>
      </c>
      <c r="B1696" s="125" t="s">
        <v>5080</v>
      </c>
      <c r="C1696" s="125" t="s">
        <v>5077</v>
      </c>
      <c r="D1696" s="142" t="s">
        <v>5078</v>
      </c>
      <c r="E1696" s="84" t="s">
        <v>5081</v>
      </c>
      <c r="F1696" s="89"/>
      <c r="G1696" s="131"/>
      <c r="H1696" s="186" t="s">
        <v>1041</v>
      </c>
      <c r="I1696" s="125" t="s">
        <v>326</v>
      </c>
      <c r="J1696" s="125" t="s">
        <v>352</v>
      </c>
      <c r="K1696" s="125" t="s">
        <v>1044</v>
      </c>
      <c r="L1696" s="125" t="s">
        <v>507</v>
      </c>
      <c r="M1696" s="125" t="s">
        <v>508</v>
      </c>
    </row>
    <row r="1697" spans="1:13" s="114" customFormat="1" ht="51">
      <c r="A1697" s="136">
        <v>1695</v>
      </c>
      <c r="B1697" s="125" t="s">
        <v>5082</v>
      </c>
      <c r="C1697" s="125" t="s">
        <v>5077</v>
      </c>
      <c r="D1697" s="142" t="s">
        <v>5078</v>
      </c>
      <c r="E1697" s="84" t="s">
        <v>5083</v>
      </c>
      <c r="F1697" s="89"/>
      <c r="G1697" s="131"/>
      <c r="H1697" s="186" t="s">
        <v>1450</v>
      </c>
      <c r="I1697" s="125" t="s">
        <v>326</v>
      </c>
      <c r="J1697" s="125" t="s">
        <v>346</v>
      </c>
      <c r="K1697" s="125" t="s">
        <v>984</v>
      </c>
      <c r="L1697" s="125" t="s">
        <v>507</v>
      </c>
      <c r="M1697" s="125" t="s">
        <v>508</v>
      </c>
    </row>
    <row r="1698" spans="1:13" s="114" customFormat="1" ht="25.5">
      <c r="A1698" s="136">
        <v>1696</v>
      </c>
      <c r="B1698" s="125" t="s">
        <v>5084</v>
      </c>
      <c r="C1698" s="125" t="s">
        <v>5077</v>
      </c>
      <c r="D1698" s="142" t="s">
        <v>5078</v>
      </c>
      <c r="E1698" s="84" t="s">
        <v>5085</v>
      </c>
      <c r="F1698" s="89"/>
      <c r="G1698" s="131"/>
      <c r="H1698" s="186" t="s">
        <v>1531</v>
      </c>
      <c r="I1698" s="125" t="s">
        <v>326</v>
      </c>
      <c r="J1698" s="125" t="s">
        <v>346</v>
      </c>
      <c r="K1698" s="125" t="s">
        <v>761</v>
      </c>
      <c r="L1698" s="125" t="s">
        <v>507</v>
      </c>
      <c r="M1698" s="125" t="s">
        <v>508</v>
      </c>
    </row>
    <row r="1699" spans="1:13" s="114" customFormat="1" ht="25.5">
      <c r="A1699" s="136">
        <v>1697</v>
      </c>
      <c r="B1699" s="125" t="s">
        <v>5086</v>
      </c>
      <c r="C1699" s="125" t="s">
        <v>5087</v>
      </c>
      <c r="D1699" s="142" t="s">
        <v>5088</v>
      </c>
      <c r="E1699" s="84" t="s">
        <v>5089</v>
      </c>
      <c r="F1699" s="89"/>
      <c r="G1699" s="131"/>
      <c r="H1699" s="186" t="s">
        <v>567</v>
      </c>
      <c r="I1699" s="125" t="s">
        <v>326</v>
      </c>
      <c r="J1699" s="125" t="s">
        <v>341</v>
      </c>
      <c r="K1699" s="125" t="s">
        <v>570</v>
      </c>
      <c r="L1699" s="125" t="s">
        <v>507</v>
      </c>
      <c r="M1699" s="125" t="s">
        <v>508</v>
      </c>
    </row>
    <row r="1700" spans="1:13" s="114" customFormat="1" ht="38.25">
      <c r="A1700" s="136">
        <v>1698</v>
      </c>
      <c r="B1700" s="125" t="s">
        <v>5090</v>
      </c>
      <c r="C1700" s="125" t="s">
        <v>5087</v>
      </c>
      <c r="D1700" s="142" t="s">
        <v>5088</v>
      </c>
      <c r="E1700" s="84" t="s">
        <v>5091</v>
      </c>
      <c r="F1700" s="89"/>
      <c r="G1700" s="131"/>
      <c r="H1700" s="186" t="s">
        <v>567</v>
      </c>
      <c r="I1700" s="125" t="s">
        <v>326</v>
      </c>
      <c r="J1700" s="125" t="s">
        <v>341</v>
      </c>
      <c r="K1700" s="125" t="s">
        <v>570</v>
      </c>
      <c r="L1700" s="125" t="s">
        <v>507</v>
      </c>
      <c r="M1700" s="125" t="s">
        <v>508</v>
      </c>
    </row>
    <row r="1701" spans="1:13" s="114" customFormat="1" ht="25.5">
      <c r="A1701" s="136">
        <v>1699</v>
      </c>
      <c r="B1701" s="125" t="s">
        <v>5092</v>
      </c>
      <c r="C1701" s="125" t="s">
        <v>5087</v>
      </c>
      <c r="D1701" s="142" t="s">
        <v>5088</v>
      </c>
      <c r="E1701" s="84" t="s">
        <v>5093</v>
      </c>
      <c r="F1701" s="89"/>
      <c r="G1701" s="131"/>
      <c r="H1701" s="186" t="s">
        <v>567</v>
      </c>
      <c r="I1701" s="125" t="s">
        <v>326</v>
      </c>
      <c r="J1701" s="125" t="s">
        <v>341</v>
      </c>
      <c r="K1701" s="125" t="s">
        <v>570</v>
      </c>
      <c r="L1701" s="125" t="s">
        <v>507</v>
      </c>
      <c r="M1701" s="125" t="s">
        <v>508</v>
      </c>
    </row>
    <row r="1702" spans="1:13" s="114" customFormat="1" ht="25.5">
      <c r="A1702" s="136">
        <v>1700</v>
      </c>
      <c r="B1702" s="125" t="s">
        <v>5094</v>
      </c>
      <c r="C1702" s="125" t="s">
        <v>5087</v>
      </c>
      <c r="D1702" s="142" t="s">
        <v>5088</v>
      </c>
      <c r="E1702" s="84" t="s">
        <v>5095</v>
      </c>
      <c r="F1702" s="89"/>
      <c r="G1702" s="131"/>
      <c r="H1702" s="186" t="s">
        <v>567</v>
      </c>
      <c r="I1702" s="125" t="s">
        <v>326</v>
      </c>
      <c r="J1702" s="125" t="s">
        <v>341</v>
      </c>
      <c r="K1702" s="125" t="s">
        <v>570</v>
      </c>
      <c r="L1702" s="125" t="s">
        <v>507</v>
      </c>
      <c r="M1702" s="125" t="s">
        <v>508</v>
      </c>
    </row>
    <row r="1703" spans="1:13" s="114" customFormat="1" ht="25.5">
      <c r="A1703" s="136">
        <v>1701</v>
      </c>
      <c r="B1703" s="125" t="s">
        <v>5096</v>
      </c>
      <c r="C1703" s="125" t="s">
        <v>5097</v>
      </c>
      <c r="D1703" s="142" t="s">
        <v>5098</v>
      </c>
      <c r="E1703" s="84" t="s">
        <v>5099</v>
      </c>
      <c r="F1703" s="89"/>
      <c r="G1703" s="131"/>
      <c r="H1703" s="186" t="s">
        <v>1024</v>
      </c>
      <c r="I1703" s="125" t="s">
        <v>326</v>
      </c>
      <c r="J1703" s="125" t="s">
        <v>341</v>
      </c>
      <c r="K1703" s="125" t="s">
        <v>580</v>
      </c>
      <c r="L1703" s="125" t="s">
        <v>507</v>
      </c>
      <c r="M1703" s="125" t="s">
        <v>508</v>
      </c>
    </row>
    <row r="1704" spans="1:13" s="114" customFormat="1" ht="25.5">
      <c r="A1704" s="136">
        <v>1702</v>
      </c>
      <c r="B1704" s="125" t="s">
        <v>5100</v>
      </c>
      <c r="C1704" s="125" t="s">
        <v>5097</v>
      </c>
      <c r="D1704" s="142" t="s">
        <v>5098</v>
      </c>
      <c r="E1704" s="84" t="s">
        <v>5101</v>
      </c>
      <c r="F1704" s="89"/>
      <c r="G1704" s="131"/>
      <c r="H1704" s="186" t="s">
        <v>1531</v>
      </c>
      <c r="I1704" s="125" t="s">
        <v>326</v>
      </c>
      <c r="J1704" s="125" t="s">
        <v>346</v>
      </c>
      <c r="K1704" s="125" t="s">
        <v>761</v>
      </c>
      <c r="L1704" s="125" t="s">
        <v>507</v>
      </c>
      <c r="M1704" s="125" t="s">
        <v>508</v>
      </c>
    </row>
    <row r="1705" spans="1:13" s="114" customFormat="1" ht="25.5">
      <c r="A1705" s="136">
        <v>1703</v>
      </c>
      <c r="B1705" s="125" t="s">
        <v>5102</v>
      </c>
      <c r="C1705" s="125" t="s">
        <v>5097</v>
      </c>
      <c r="D1705" s="142" t="s">
        <v>5098</v>
      </c>
      <c r="E1705" s="84" t="s">
        <v>5103</v>
      </c>
      <c r="F1705" s="89"/>
      <c r="G1705" s="131"/>
      <c r="H1705" s="186" t="s">
        <v>1007</v>
      </c>
      <c r="I1705" s="125" t="s">
        <v>326</v>
      </c>
      <c r="J1705" s="125" t="s">
        <v>352</v>
      </c>
      <c r="K1705" s="125" t="s">
        <v>526</v>
      </c>
      <c r="L1705" s="125" t="s">
        <v>507</v>
      </c>
      <c r="M1705" s="125" t="s">
        <v>508</v>
      </c>
    </row>
    <row r="1706" spans="1:13" s="114" customFormat="1" ht="25.5">
      <c r="A1706" s="136">
        <v>1704</v>
      </c>
      <c r="B1706" s="125" t="s">
        <v>5104</v>
      </c>
      <c r="C1706" s="125" t="s">
        <v>5097</v>
      </c>
      <c r="D1706" s="142" t="s">
        <v>5098</v>
      </c>
      <c r="E1706" s="84" t="s">
        <v>5105</v>
      </c>
      <c r="F1706" s="89"/>
      <c r="G1706" s="131"/>
      <c r="H1706" s="186" t="s">
        <v>1579</v>
      </c>
      <c r="I1706" s="125" t="s">
        <v>327</v>
      </c>
      <c r="J1706" s="125" t="s">
        <v>337</v>
      </c>
      <c r="K1706" s="125" t="s">
        <v>1440</v>
      </c>
      <c r="L1706" s="125" t="s">
        <v>507</v>
      </c>
      <c r="M1706" s="125" t="s">
        <v>508</v>
      </c>
    </row>
    <row r="1707" spans="1:13" s="114" customFormat="1" ht="25.5">
      <c r="A1707" s="136">
        <v>1705</v>
      </c>
      <c r="B1707" s="125" t="s">
        <v>5106</v>
      </c>
      <c r="C1707" s="125" t="s">
        <v>5107</v>
      </c>
      <c r="D1707" s="142" t="s">
        <v>5108</v>
      </c>
      <c r="E1707" s="84" t="s">
        <v>5109</v>
      </c>
      <c r="F1707" s="89"/>
      <c r="G1707" s="131"/>
      <c r="H1707" s="186" t="s">
        <v>2003</v>
      </c>
      <c r="I1707" s="125" t="s">
        <v>326</v>
      </c>
      <c r="J1707" s="125" t="s">
        <v>346</v>
      </c>
      <c r="K1707" s="125" t="s">
        <v>761</v>
      </c>
      <c r="L1707" s="125" t="s">
        <v>507</v>
      </c>
      <c r="M1707" s="125" t="s">
        <v>508</v>
      </c>
    </row>
    <row r="1708" spans="1:13" s="114" customFormat="1" ht="25.5">
      <c r="A1708" s="136">
        <v>1706</v>
      </c>
      <c r="B1708" s="136" t="s">
        <v>5110</v>
      </c>
      <c r="C1708" s="125" t="s">
        <v>5107</v>
      </c>
      <c r="D1708" s="142" t="s">
        <v>5108</v>
      </c>
      <c r="E1708" s="84" t="s">
        <v>5111</v>
      </c>
      <c r="F1708" s="89"/>
      <c r="G1708" s="131"/>
      <c r="H1708" s="186" t="s">
        <v>1041</v>
      </c>
      <c r="I1708" s="125" t="s">
        <v>326</v>
      </c>
      <c r="J1708" s="125" t="s">
        <v>352</v>
      </c>
      <c r="K1708" s="125" t="s">
        <v>1044</v>
      </c>
      <c r="L1708" s="125" t="s">
        <v>507</v>
      </c>
      <c r="M1708" s="125" t="s">
        <v>508</v>
      </c>
    </row>
    <row r="1709" spans="1:13" s="114" customFormat="1" ht="25.5">
      <c r="A1709" s="136">
        <v>1707</v>
      </c>
      <c r="B1709" s="125" t="s">
        <v>5112</v>
      </c>
      <c r="C1709" s="125" t="s">
        <v>5107</v>
      </c>
      <c r="D1709" s="142" t="s">
        <v>5108</v>
      </c>
      <c r="E1709" s="84" t="s">
        <v>5113</v>
      </c>
      <c r="F1709" s="89"/>
      <c r="G1709" s="131"/>
      <c r="H1709" s="186" t="s">
        <v>5059</v>
      </c>
      <c r="I1709" s="125" t="s">
        <v>326</v>
      </c>
      <c r="J1709" s="125" t="s">
        <v>352</v>
      </c>
      <c r="K1709" s="125" t="s">
        <v>597</v>
      </c>
      <c r="L1709" s="125" t="s">
        <v>507</v>
      </c>
      <c r="M1709" s="125" t="s">
        <v>508</v>
      </c>
    </row>
    <row r="1710" spans="1:13" s="114" customFormat="1" ht="38.25">
      <c r="A1710" s="136">
        <v>1708</v>
      </c>
      <c r="B1710" s="125" t="s">
        <v>5114</v>
      </c>
      <c r="C1710" s="125" t="s">
        <v>5115</v>
      </c>
      <c r="D1710" s="142" t="s">
        <v>5116</v>
      </c>
      <c r="E1710" s="84" t="s">
        <v>5117</v>
      </c>
      <c r="F1710" s="89"/>
      <c r="G1710" s="131"/>
      <c r="H1710" s="186" t="s">
        <v>523</v>
      </c>
      <c r="I1710" s="125" t="s">
        <v>326</v>
      </c>
      <c r="J1710" s="125" t="s">
        <v>352</v>
      </c>
      <c r="K1710" s="125" t="s">
        <v>526</v>
      </c>
      <c r="L1710" s="125" t="s">
        <v>507</v>
      </c>
      <c r="M1710" s="125" t="s">
        <v>508</v>
      </c>
    </row>
    <row r="1711" spans="1:13" s="114" customFormat="1" ht="25.5">
      <c r="A1711" s="136">
        <v>1709</v>
      </c>
      <c r="B1711" s="125" t="s">
        <v>5118</v>
      </c>
      <c r="C1711" s="125" t="s">
        <v>5115</v>
      </c>
      <c r="D1711" s="142" t="s">
        <v>5116</v>
      </c>
      <c r="E1711" s="84" t="s">
        <v>5119</v>
      </c>
      <c r="F1711" s="89"/>
      <c r="G1711" s="131"/>
      <c r="H1711" s="186" t="s">
        <v>817</v>
      </c>
      <c r="I1711" s="125" t="s">
        <v>326</v>
      </c>
      <c r="J1711" s="125" t="s">
        <v>352</v>
      </c>
      <c r="K1711" s="125" t="s">
        <v>526</v>
      </c>
      <c r="L1711" s="125" t="s">
        <v>507</v>
      </c>
      <c r="M1711" s="125" t="s">
        <v>508</v>
      </c>
    </row>
    <row r="1712" spans="1:13" s="114" customFormat="1" ht="25.5">
      <c r="A1712" s="136">
        <v>1710</v>
      </c>
      <c r="B1712" s="125" t="s">
        <v>5120</v>
      </c>
      <c r="C1712" s="125" t="s">
        <v>5115</v>
      </c>
      <c r="D1712" s="142" t="s">
        <v>5116</v>
      </c>
      <c r="E1712" s="84" t="s">
        <v>5121</v>
      </c>
      <c r="F1712" s="89"/>
      <c r="G1712" s="131"/>
      <c r="H1712" s="186" t="s">
        <v>889</v>
      </c>
      <c r="I1712" s="125" t="s">
        <v>326</v>
      </c>
      <c r="J1712" s="125" t="s">
        <v>352</v>
      </c>
      <c r="K1712" s="125" t="s">
        <v>526</v>
      </c>
      <c r="L1712" s="125" t="s">
        <v>507</v>
      </c>
      <c r="M1712" s="125" t="s">
        <v>508</v>
      </c>
    </row>
    <row r="1713" spans="1:13" s="114" customFormat="1" ht="25.5">
      <c r="A1713" s="136">
        <v>1711</v>
      </c>
      <c r="B1713" s="125" t="s">
        <v>5122</v>
      </c>
      <c r="C1713" s="125" t="s">
        <v>5115</v>
      </c>
      <c r="D1713" s="142" t="s">
        <v>5116</v>
      </c>
      <c r="E1713" s="84" t="s">
        <v>5123</v>
      </c>
      <c r="F1713" s="89"/>
      <c r="G1713" s="131"/>
      <c r="H1713" s="186" t="s">
        <v>1089</v>
      </c>
      <c r="I1713" s="125" t="s">
        <v>327</v>
      </c>
      <c r="J1713" s="125" t="s">
        <v>342</v>
      </c>
      <c r="K1713" s="125" t="s">
        <v>1090</v>
      </c>
      <c r="L1713" s="125" t="s">
        <v>507</v>
      </c>
      <c r="M1713" s="125" t="s">
        <v>508</v>
      </c>
    </row>
    <row r="1714" spans="1:13" s="114" customFormat="1" ht="25.5">
      <c r="A1714" s="136">
        <v>1712</v>
      </c>
      <c r="B1714" s="125" t="s">
        <v>5124</v>
      </c>
      <c r="C1714" s="136" t="s">
        <v>2488</v>
      </c>
      <c r="D1714" s="139" t="s">
        <v>5125</v>
      </c>
      <c r="E1714" s="84" t="s">
        <v>5126</v>
      </c>
      <c r="F1714" s="89"/>
      <c r="G1714" s="131"/>
      <c r="H1714" s="186" t="s">
        <v>4557</v>
      </c>
      <c r="I1714" s="125" t="s">
        <v>326</v>
      </c>
      <c r="J1714" s="125" t="s">
        <v>346</v>
      </c>
      <c r="K1714" s="125" t="s">
        <v>761</v>
      </c>
      <c r="L1714" s="125" t="s">
        <v>315</v>
      </c>
      <c r="M1714" s="125" t="s">
        <v>508</v>
      </c>
    </row>
    <row r="1715" spans="1:13" s="114" customFormat="1" ht="25.5">
      <c r="A1715" s="136">
        <v>1713</v>
      </c>
      <c r="B1715" s="125" t="s">
        <v>5127</v>
      </c>
      <c r="C1715" s="136" t="s">
        <v>2488</v>
      </c>
      <c r="D1715" s="139" t="s">
        <v>5125</v>
      </c>
      <c r="E1715" s="84" t="s">
        <v>5128</v>
      </c>
      <c r="F1715" s="89"/>
      <c r="G1715" s="131"/>
      <c r="H1715" s="186" t="s">
        <v>4529</v>
      </c>
      <c r="I1715" s="125" t="s">
        <v>326</v>
      </c>
      <c r="J1715" s="125" t="s">
        <v>341</v>
      </c>
      <c r="K1715" s="125" t="s">
        <v>580</v>
      </c>
      <c r="L1715" s="125" t="s">
        <v>315</v>
      </c>
      <c r="M1715" s="125" t="s">
        <v>508</v>
      </c>
    </row>
    <row r="1716" spans="1:13" s="114" customFormat="1" ht="25.5">
      <c r="A1716" s="136">
        <v>1714</v>
      </c>
      <c r="B1716" s="125" t="s">
        <v>4489</v>
      </c>
      <c r="C1716" s="136" t="s">
        <v>2519</v>
      </c>
      <c r="D1716" s="139" t="s">
        <v>5129</v>
      </c>
      <c r="E1716" s="84" t="s">
        <v>5130</v>
      </c>
      <c r="F1716" s="89"/>
      <c r="G1716" s="131"/>
      <c r="H1716" s="186" t="s">
        <v>5131</v>
      </c>
      <c r="I1716" s="125" t="s">
        <v>326</v>
      </c>
      <c r="J1716" s="125" t="s">
        <v>352</v>
      </c>
      <c r="K1716" s="125" t="s">
        <v>597</v>
      </c>
      <c r="L1716" s="125" t="s">
        <v>315</v>
      </c>
      <c r="M1716" s="125" t="s">
        <v>508</v>
      </c>
    </row>
    <row r="1717" spans="1:13" s="114" customFormat="1" ht="51">
      <c r="A1717" s="136">
        <v>1715</v>
      </c>
      <c r="B1717" s="125" t="s">
        <v>5132</v>
      </c>
      <c r="C1717" s="136" t="s">
        <v>2527</v>
      </c>
      <c r="D1717" s="139" t="s">
        <v>2496</v>
      </c>
      <c r="E1717" s="84" t="s">
        <v>5133</v>
      </c>
      <c r="F1717" s="89"/>
      <c r="G1717" s="131"/>
      <c r="H1717" s="186" t="s">
        <v>2708</v>
      </c>
      <c r="I1717" s="125" t="s">
        <v>326</v>
      </c>
      <c r="J1717" s="125" t="s">
        <v>331</v>
      </c>
      <c r="K1717" s="125" t="s">
        <v>530</v>
      </c>
      <c r="L1717" s="125" t="s">
        <v>315</v>
      </c>
      <c r="M1717" s="125" t="s">
        <v>508</v>
      </c>
    </row>
    <row r="1718" spans="1:13" s="114" customFormat="1" ht="25.5">
      <c r="A1718" s="136">
        <v>1716</v>
      </c>
      <c r="B1718" s="125" t="s">
        <v>5134</v>
      </c>
      <c r="C1718" s="136" t="s">
        <v>5135</v>
      </c>
      <c r="D1718" s="139" t="s">
        <v>5136</v>
      </c>
      <c r="E1718" s="84" t="s">
        <v>5137</v>
      </c>
      <c r="F1718" s="89"/>
      <c r="G1718" s="131"/>
      <c r="H1718" s="186" t="s">
        <v>760</v>
      </c>
      <c r="I1718" s="125" t="s">
        <v>326</v>
      </c>
      <c r="J1718" s="125" t="s">
        <v>346</v>
      </c>
      <c r="K1718" s="125" t="s">
        <v>761</v>
      </c>
      <c r="L1718" s="125" t="s">
        <v>315</v>
      </c>
      <c r="M1718" s="125" t="s">
        <v>508</v>
      </c>
    </row>
    <row r="1719" spans="1:13" s="114" customFormat="1" ht="25.5">
      <c r="A1719" s="136">
        <v>1717</v>
      </c>
      <c r="B1719" s="125" t="s">
        <v>4474</v>
      </c>
      <c r="C1719" s="136" t="s">
        <v>5135</v>
      </c>
      <c r="D1719" s="139" t="s">
        <v>5136</v>
      </c>
      <c r="E1719" s="84" t="s">
        <v>5138</v>
      </c>
      <c r="F1719" s="89"/>
      <c r="G1719" s="131"/>
      <c r="H1719" s="186" t="s">
        <v>5139</v>
      </c>
      <c r="I1719" s="125" t="s">
        <v>327</v>
      </c>
      <c r="J1719" s="125" t="s">
        <v>337</v>
      </c>
      <c r="K1719" s="125" t="s">
        <v>1071</v>
      </c>
      <c r="L1719" s="125" t="s">
        <v>315</v>
      </c>
      <c r="M1719" s="125" t="s">
        <v>508</v>
      </c>
    </row>
    <row r="1720" spans="1:13" s="114" customFormat="1" ht="25.5">
      <c r="A1720" s="136">
        <v>1718</v>
      </c>
      <c r="B1720" s="125" t="s">
        <v>5140</v>
      </c>
      <c r="C1720" s="136" t="s">
        <v>5141</v>
      </c>
      <c r="D1720" s="139" t="s">
        <v>5142</v>
      </c>
      <c r="E1720" s="84" t="s">
        <v>5143</v>
      </c>
      <c r="F1720" s="89"/>
      <c r="G1720" s="131"/>
      <c r="H1720" s="186" t="s">
        <v>4503</v>
      </c>
      <c r="I1720" s="125" t="s">
        <v>326</v>
      </c>
      <c r="J1720" s="125" t="s">
        <v>331</v>
      </c>
      <c r="K1720" s="125" t="s">
        <v>1178</v>
      </c>
      <c r="L1720" s="125" t="s">
        <v>315</v>
      </c>
      <c r="M1720" s="125" t="s">
        <v>508</v>
      </c>
    </row>
    <row r="1721" spans="1:13" s="114" customFormat="1" ht="51">
      <c r="A1721" s="136">
        <v>1719</v>
      </c>
      <c r="B1721" s="125" t="s">
        <v>5144</v>
      </c>
      <c r="C1721" s="136" t="s">
        <v>5141</v>
      </c>
      <c r="D1721" s="139" t="s">
        <v>5142</v>
      </c>
      <c r="E1721" s="84" t="s">
        <v>5145</v>
      </c>
      <c r="F1721" s="89"/>
      <c r="G1721" s="131"/>
      <c r="H1721" s="186" t="s">
        <v>2708</v>
      </c>
      <c r="I1721" s="125" t="s">
        <v>326</v>
      </c>
      <c r="J1721" s="125" t="s">
        <v>331</v>
      </c>
      <c r="K1721" s="125" t="s">
        <v>530</v>
      </c>
      <c r="L1721" s="125" t="s">
        <v>315</v>
      </c>
      <c r="M1721" s="125" t="s">
        <v>508</v>
      </c>
    </row>
    <row r="1722" spans="1:13" s="114" customFormat="1" ht="25.5">
      <c r="A1722" s="136">
        <v>1720</v>
      </c>
      <c r="B1722" s="125" t="s">
        <v>5146</v>
      </c>
      <c r="C1722" s="136" t="s">
        <v>5141</v>
      </c>
      <c r="D1722" s="139" t="s">
        <v>5142</v>
      </c>
      <c r="E1722" s="84" t="s">
        <v>5147</v>
      </c>
      <c r="F1722" s="89"/>
      <c r="G1722" s="131"/>
      <c r="H1722" s="186" t="s">
        <v>4503</v>
      </c>
      <c r="I1722" s="125" t="s">
        <v>326</v>
      </c>
      <c r="J1722" s="125" t="s">
        <v>331</v>
      </c>
      <c r="K1722" s="125" t="s">
        <v>1178</v>
      </c>
      <c r="L1722" s="125" t="s">
        <v>315</v>
      </c>
      <c r="M1722" s="125" t="s">
        <v>508</v>
      </c>
    </row>
    <row r="1723" spans="1:13" s="114" customFormat="1" ht="51">
      <c r="A1723" s="136">
        <v>1721</v>
      </c>
      <c r="B1723" s="125" t="s">
        <v>5148</v>
      </c>
      <c r="C1723" s="136" t="s">
        <v>5141</v>
      </c>
      <c r="D1723" s="139" t="s">
        <v>5142</v>
      </c>
      <c r="E1723" s="84" t="s">
        <v>5149</v>
      </c>
      <c r="F1723" s="89"/>
      <c r="G1723" s="131"/>
      <c r="H1723" s="186" t="s">
        <v>4510</v>
      </c>
      <c r="I1723" s="125" t="s">
        <v>326</v>
      </c>
      <c r="J1723" s="125" t="s">
        <v>331</v>
      </c>
      <c r="K1723" s="125" t="s">
        <v>530</v>
      </c>
      <c r="L1723" s="125" t="s">
        <v>315</v>
      </c>
      <c r="M1723" s="125" t="s">
        <v>508</v>
      </c>
    </row>
    <row r="1724" spans="1:13" s="114" customFormat="1" ht="25.5">
      <c r="A1724" s="136">
        <v>1722</v>
      </c>
      <c r="B1724" s="125" t="s">
        <v>5150</v>
      </c>
      <c r="C1724" s="136" t="s">
        <v>5141</v>
      </c>
      <c r="D1724" s="139" t="s">
        <v>5142</v>
      </c>
      <c r="E1724" s="84" t="s">
        <v>5151</v>
      </c>
      <c r="F1724" s="89"/>
      <c r="G1724" s="131"/>
      <c r="H1724" s="186" t="s">
        <v>658</v>
      </c>
      <c r="I1724" s="125" t="s">
        <v>326</v>
      </c>
      <c r="J1724" s="125" t="s">
        <v>346</v>
      </c>
      <c r="K1724" s="125" t="s">
        <v>659</v>
      </c>
      <c r="L1724" s="125" t="s">
        <v>315</v>
      </c>
      <c r="M1724" s="125" t="s">
        <v>508</v>
      </c>
    </row>
    <row r="1725" spans="1:13" s="114" customFormat="1" ht="25.5">
      <c r="A1725" s="136">
        <v>1723</v>
      </c>
      <c r="B1725" s="125" t="s">
        <v>5152</v>
      </c>
      <c r="C1725" s="136" t="s">
        <v>5153</v>
      </c>
      <c r="D1725" s="139" t="s">
        <v>5154</v>
      </c>
      <c r="E1725" s="84" t="s">
        <v>5155</v>
      </c>
      <c r="F1725" s="89"/>
      <c r="G1725" s="131"/>
      <c r="H1725" s="186" t="s">
        <v>4489</v>
      </c>
      <c r="I1725" s="125" t="s">
        <v>326</v>
      </c>
      <c r="J1725" s="125" t="s">
        <v>352</v>
      </c>
      <c r="K1725" s="125" t="s">
        <v>597</v>
      </c>
      <c r="L1725" s="125" t="s">
        <v>315</v>
      </c>
      <c r="M1725" s="125" t="s">
        <v>508</v>
      </c>
    </row>
    <row r="1726" spans="1:13" s="114" customFormat="1" ht="25.5">
      <c r="A1726" s="136">
        <v>1724</v>
      </c>
      <c r="B1726" s="125" t="s">
        <v>5156</v>
      </c>
      <c r="C1726" s="136" t="s">
        <v>5153</v>
      </c>
      <c r="D1726" s="139" t="s">
        <v>5154</v>
      </c>
      <c r="E1726" s="84" t="s">
        <v>5157</v>
      </c>
      <c r="F1726" s="89"/>
      <c r="G1726" s="131"/>
      <c r="H1726" s="186" t="s">
        <v>4490</v>
      </c>
      <c r="I1726" s="125" t="s">
        <v>326</v>
      </c>
      <c r="J1726" s="125" t="s">
        <v>341</v>
      </c>
      <c r="K1726" s="125" t="s">
        <v>1736</v>
      </c>
      <c r="L1726" s="125" t="s">
        <v>315</v>
      </c>
      <c r="M1726" s="125" t="s">
        <v>508</v>
      </c>
    </row>
    <row r="1727" spans="1:13" s="114" customFormat="1" ht="25.5">
      <c r="A1727" s="136">
        <v>1725</v>
      </c>
      <c r="B1727" s="125" t="s">
        <v>5158</v>
      </c>
      <c r="C1727" s="136" t="s">
        <v>5153</v>
      </c>
      <c r="D1727" s="139" t="s">
        <v>5154</v>
      </c>
      <c r="E1727" s="84" t="s">
        <v>5159</v>
      </c>
      <c r="F1727" s="89"/>
      <c r="G1727" s="131"/>
      <c r="H1727" s="186" t="s">
        <v>658</v>
      </c>
      <c r="I1727" s="125" t="s">
        <v>326</v>
      </c>
      <c r="J1727" s="125" t="s">
        <v>346</v>
      </c>
      <c r="K1727" s="125" t="s">
        <v>659</v>
      </c>
      <c r="L1727" s="125" t="s">
        <v>315</v>
      </c>
      <c r="M1727" s="125" t="s">
        <v>508</v>
      </c>
    </row>
    <row r="1728" spans="1:13" s="114" customFormat="1" ht="38.25">
      <c r="A1728" s="136">
        <v>1726</v>
      </c>
      <c r="B1728" s="125" t="s">
        <v>5160</v>
      </c>
      <c r="C1728" s="136" t="s">
        <v>5153</v>
      </c>
      <c r="D1728" s="139" t="s">
        <v>5154</v>
      </c>
      <c r="E1728" s="84" t="s">
        <v>5161</v>
      </c>
      <c r="F1728" s="89"/>
      <c r="G1728" s="131"/>
      <c r="H1728" s="186" t="s">
        <v>658</v>
      </c>
      <c r="I1728" s="125" t="s">
        <v>326</v>
      </c>
      <c r="J1728" s="125" t="s">
        <v>346</v>
      </c>
      <c r="K1728" s="125" t="s">
        <v>659</v>
      </c>
      <c r="L1728" s="125" t="s">
        <v>315</v>
      </c>
      <c r="M1728" s="125" t="s">
        <v>508</v>
      </c>
    </row>
    <row r="1729" spans="1:13" s="114" customFormat="1" ht="51">
      <c r="A1729" s="136">
        <v>1727</v>
      </c>
      <c r="B1729" s="125" t="s">
        <v>5162</v>
      </c>
      <c r="C1729" s="136" t="s">
        <v>5163</v>
      </c>
      <c r="D1729" s="139" t="s">
        <v>5164</v>
      </c>
      <c r="E1729" s="84" t="s">
        <v>4531</v>
      </c>
      <c r="F1729" s="89"/>
      <c r="G1729" s="131"/>
      <c r="H1729" s="186" t="s">
        <v>4530</v>
      </c>
      <c r="I1729" s="125" t="s">
        <v>326</v>
      </c>
      <c r="J1729" s="125" t="s">
        <v>331</v>
      </c>
      <c r="K1729" s="125" t="s">
        <v>530</v>
      </c>
      <c r="L1729" s="125" t="s">
        <v>315</v>
      </c>
      <c r="M1729" s="125" t="s">
        <v>508</v>
      </c>
    </row>
    <row r="1730" spans="1:13" s="114" customFormat="1" ht="51">
      <c r="A1730" s="136">
        <v>1728</v>
      </c>
      <c r="B1730" s="125" t="s">
        <v>5165</v>
      </c>
      <c r="C1730" s="136" t="s">
        <v>5163</v>
      </c>
      <c r="D1730" s="139" t="s">
        <v>5164</v>
      </c>
      <c r="E1730" s="84" t="s">
        <v>4534</v>
      </c>
      <c r="F1730" s="89"/>
      <c r="G1730" s="131"/>
      <c r="H1730" s="186" t="s">
        <v>4530</v>
      </c>
      <c r="I1730" s="125" t="s">
        <v>326</v>
      </c>
      <c r="J1730" s="125" t="s">
        <v>331</v>
      </c>
      <c r="K1730" s="125" t="s">
        <v>530</v>
      </c>
      <c r="L1730" s="125" t="s">
        <v>315</v>
      </c>
      <c r="M1730" s="125" t="s">
        <v>508</v>
      </c>
    </row>
    <row r="1731" spans="1:13" s="114" customFormat="1" ht="38.25">
      <c r="A1731" s="136">
        <v>1729</v>
      </c>
      <c r="B1731" s="125" t="s">
        <v>5166</v>
      </c>
      <c r="C1731" s="136" t="s">
        <v>5163</v>
      </c>
      <c r="D1731" s="139" t="s">
        <v>5164</v>
      </c>
      <c r="E1731" s="84" t="s">
        <v>4535</v>
      </c>
      <c r="F1731" s="89"/>
      <c r="G1731" s="131"/>
      <c r="H1731" s="186" t="s">
        <v>766</v>
      </c>
      <c r="I1731" s="125" t="s">
        <v>326</v>
      </c>
      <c r="J1731" s="125" t="s">
        <v>331</v>
      </c>
      <c r="K1731" s="125" t="s">
        <v>512</v>
      </c>
      <c r="L1731" s="125" t="s">
        <v>315</v>
      </c>
      <c r="M1731" s="125" t="s">
        <v>508</v>
      </c>
    </row>
    <row r="1732" spans="1:13" s="114" customFormat="1" ht="38.25">
      <c r="A1732" s="136">
        <v>1730</v>
      </c>
      <c r="B1732" s="125" t="s">
        <v>5167</v>
      </c>
      <c r="C1732" s="136" t="s">
        <v>5163</v>
      </c>
      <c r="D1732" s="139" t="s">
        <v>5164</v>
      </c>
      <c r="E1732" s="84" t="s">
        <v>5168</v>
      </c>
      <c r="F1732" s="89"/>
      <c r="G1732" s="131"/>
      <c r="H1732" s="186" t="s">
        <v>766</v>
      </c>
      <c r="I1732" s="125" t="s">
        <v>326</v>
      </c>
      <c r="J1732" s="125" t="s">
        <v>331</v>
      </c>
      <c r="K1732" s="125" t="s">
        <v>512</v>
      </c>
      <c r="L1732" s="125" t="s">
        <v>315</v>
      </c>
      <c r="M1732" s="125" t="s">
        <v>508</v>
      </c>
    </row>
    <row r="1733" spans="1:13" s="114" customFormat="1" ht="38.25">
      <c r="A1733" s="136">
        <v>1731</v>
      </c>
      <c r="B1733" s="125" t="s">
        <v>5169</v>
      </c>
      <c r="C1733" s="136" t="s">
        <v>5163</v>
      </c>
      <c r="D1733" s="139" t="s">
        <v>5164</v>
      </c>
      <c r="E1733" s="84" t="s">
        <v>5170</v>
      </c>
      <c r="F1733" s="89"/>
      <c r="G1733" s="131"/>
      <c r="H1733" s="186" t="s">
        <v>766</v>
      </c>
      <c r="I1733" s="125" t="s">
        <v>326</v>
      </c>
      <c r="J1733" s="125" t="s">
        <v>331</v>
      </c>
      <c r="K1733" s="125" t="s">
        <v>512</v>
      </c>
      <c r="L1733" s="125" t="s">
        <v>315</v>
      </c>
      <c r="M1733" s="125" t="s">
        <v>508</v>
      </c>
    </row>
    <row r="1734" spans="1:13" s="114" customFormat="1" ht="51">
      <c r="A1734" s="136">
        <v>1732</v>
      </c>
      <c r="B1734" s="125" t="s">
        <v>5171</v>
      </c>
      <c r="C1734" s="136" t="s">
        <v>5163</v>
      </c>
      <c r="D1734" s="139" t="s">
        <v>5164</v>
      </c>
      <c r="E1734" s="84" t="s">
        <v>5172</v>
      </c>
      <c r="F1734" s="89"/>
      <c r="G1734" s="131"/>
      <c r="H1734" s="186" t="s">
        <v>4530</v>
      </c>
      <c r="I1734" s="125" t="s">
        <v>326</v>
      </c>
      <c r="J1734" s="125" t="s">
        <v>331</v>
      </c>
      <c r="K1734" s="125" t="s">
        <v>530</v>
      </c>
      <c r="L1734" s="125" t="s">
        <v>315</v>
      </c>
      <c r="M1734" s="125" t="s">
        <v>508</v>
      </c>
    </row>
    <row r="1735" spans="1:13" s="114" customFormat="1" ht="51">
      <c r="A1735" s="136">
        <v>1733</v>
      </c>
      <c r="B1735" s="125" t="s">
        <v>5173</v>
      </c>
      <c r="C1735" s="136" t="s">
        <v>5163</v>
      </c>
      <c r="D1735" s="139" t="s">
        <v>5164</v>
      </c>
      <c r="E1735" s="84" t="s">
        <v>5174</v>
      </c>
      <c r="F1735" s="89"/>
      <c r="G1735" s="131"/>
      <c r="H1735" s="186" t="s">
        <v>4530</v>
      </c>
      <c r="I1735" s="125" t="s">
        <v>326</v>
      </c>
      <c r="J1735" s="125" t="s">
        <v>331</v>
      </c>
      <c r="K1735" s="125" t="s">
        <v>530</v>
      </c>
      <c r="L1735" s="125" t="s">
        <v>315</v>
      </c>
      <c r="M1735" s="125" t="s">
        <v>508</v>
      </c>
    </row>
    <row r="1736" spans="1:13" s="114" customFormat="1" ht="38.25">
      <c r="A1736" s="136">
        <v>1734</v>
      </c>
      <c r="B1736" s="125" t="s">
        <v>5175</v>
      </c>
      <c r="C1736" s="136" t="s">
        <v>5176</v>
      </c>
      <c r="D1736" s="139" t="s">
        <v>5177</v>
      </c>
      <c r="E1736" s="84" t="s">
        <v>5178</v>
      </c>
      <c r="F1736" s="89"/>
      <c r="G1736" s="131"/>
      <c r="H1736" s="186" t="s">
        <v>4474</v>
      </c>
      <c r="I1736" s="125" t="s">
        <v>327</v>
      </c>
      <c r="J1736" s="125" t="s">
        <v>337</v>
      </c>
      <c r="K1736" s="125" t="s">
        <v>1071</v>
      </c>
      <c r="L1736" s="125" t="s">
        <v>315</v>
      </c>
      <c r="M1736" s="125" t="s">
        <v>508</v>
      </c>
    </row>
    <row r="1737" spans="1:13" s="114" customFormat="1" ht="25.5">
      <c r="A1737" s="136">
        <v>1735</v>
      </c>
      <c r="B1737" s="125" t="s">
        <v>5179</v>
      </c>
      <c r="C1737" s="136" t="s">
        <v>5180</v>
      </c>
      <c r="D1737" s="139" t="s">
        <v>5181</v>
      </c>
      <c r="E1737" s="84" t="s">
        <v>5182</v>
      </c>
      <c r="F1737" s="89"/>
      <c r="G1737" s="131"/>
      <c r="H1737" s="186" t="s">
        <v>5183</v>
      </c>
      <c r="I1737" s="125" t="s">
        <v>326</v>
      </c>
      <c r="J1737" s="125" t="s">
        <v>346</v>
      </c>
      <c r="K1737" s="125" t="s">
        <v>761</v>
      </c>
      <c r="L1737" s="125" t="s">
        <v>315</v>
      </c>
      <c r="M1737" s="125" t="s">
        <v>508</v>
      </c>
    </row>
    <row r="1738" spans="1:13" s="114" customFormat="1" ht="25.5">
      <c r="A1738" s="136">
        <v>1736</v>
      </c>
      <c r="B1738" s="125" t="s">
        <v>5184</v>
      </c>
      <c r="C1738" s="136" t="s">
        <v>5185</v>
      </c>
      <c r="D1738" s="139" t="s">
        <v>5186</v>
      </c>
      <c r="E1738" s="84" t="s">
        <v>5187</v>
      </c>
      <c r="F1738" s="89"/>
      <c r="G1738" s="131"/>
      <c r="H1738" s="186" t="s">
        <v>4557</v>
      </c>
      <c r="I1738" s="125" t="s">
        <v>326</v>
      </c>
      <c r="J1738" s="125" t="s">
        <v>346</v>
      </c>
      <c r="K1738" s="125" t="s">
        <v>761</v>
      </c>
      <c r="L1738" s="125" t="s">
        <v>315</v>
      </c>
      <c r="M1738" s="125" t="s">
        <v>508</v>
      </c>
    </row>
    <row r="1739" spans="1:13" s="114" customFormat="1" ht="38.25">
      <c r="A1739" s="136">
        <v>1737</v>
      </c>
      <c r="B1739" s="125" t="s">
        <v>5188</v>
      </c>
      <c r="C1739" s="136" t="s">
        <v>2291</v>
      </c>
      <c r="D1739" s="139" t="s">
        <v>5189</v>
      </c>
      <c r="E1739" s="84" t="s">
        <v>5190</v>
      </c>
      <c r="F1739" s="89"/>
      <c r="G1739" s="131"/>
      <c r="H1739" s="186" t="s">
        <v>766</v>
      </c>
      <c r="I1739" s="125" t="s">
        <v>326</v>
      </c>
      <c r="J1739" s="125" t="s">
        <v>331</v>
      </c>
      <c r="K1739" s="125" t="s">
        <v>512</v>
      </c>
      <c r="L1739" s="125" t="s">
        <v>315</v>
      </c>
      <c r="M1739" s="125" t="s">
        <v>508</v>
      </c>
    </row>
    <row r="1740" spans="1:13" s="114" customFormat="1" ht="38.25">
      <c r="A1740" s="136">
        <v>1738</v>
      </c>
      <c r="B1740" s="125" t="s">
        <v>5191</v>
      </c>
      <c r="C1740" s="136" t="s">
        <v>2583</v>
      </c>
      <c r="D1740" s="139" t="s">
        <v>5192</v>
      </c>
      <c r="E1740" s="84" t="s">
        <v>5193</v>
      </c>
      <c r="F1740" s="89"/>
      <c r="G1740" s="131"/>
      <c r="H1740" s="186" t="s">
        <v>658</v>
      </c>
      <c r="I1740" s="125" t="s">
        <v>326</v>
      </c>
      <c r="J1740" s="125" t="s">
        <v>346</v>
      </c>
      <c r="K1740" s="125" t="s">
        <v>659</v>
      </c>
      <c r="L1740" s="125" t="s">
        <v>315</v>
      </c>
      <c r="M1740" s="125" t="s">
        <v>508</v>
      </c>
    </row>
    <row r="1741" spans="1:13" s="114" customFormat="1" ht="25.5">
      <c r="A1741" s="136">
        <v>1739</v>
      </c>
      <c r="B1741" s="125" t="s">
        <v>5194</v>
      </c>
      <c r="C1741" s="136" t="s">
        <v>2600</v>
      </c>
      <c r="D1741" s="139" t="s">
        <v>5195</v>
      </c>
      <c r="E1741" s="84" t="s">
        <v>5196</v>
      </c>
      <c r="F1741" s="89"/>
      <c r="G1741" s="131"/>
      <c r="H1741" s="186" t="s">
        <v>4489</v>
      </c>
      <c r="I1741" s="125" t="s">
        <v>326</v>
      </c>
      <c r="J1741" s="125" t="s">
        <v>352</v>
      </c>
      <c r="K1741" s="125" t="s">
        <v>597</v>
      </c>
      <c r="L1741" s="125" t="s">
        <v>315</v>
      </c>
      <c r="M1741" s="125" t="s">
        <v>508</v>
      </c>
    </row>
    <row r="1742" spans="1:13" s="114" customFormat="1" ht="51">
      <c r="A1742" s="136">
        <v>1740</v>
      </c>
      <c r="B1742" s="125" t="s">
        <v>5197</v>
      </c>
      <c r="C1742" s="136" t="s">
        <v>2608</v>
      </c>
      <c r="D1742" s="139" t="s">
        <v>5198</v>
      </c>
      <c r="E1742" s="84" t="s">
        <v>5199</v>
      </c>
      <c r="F1742" s="89"/>
      <c r="G1742" s="131"/>
      <c r="H1742" s="186" t="s">
        <v>760</v>
      </c>
      <c r="I1742" s="125" t="s">
        <v>326</v>
      </c>
      <c r="J1742" s="125" t="s">
        <v>346</v>
      </c>
      <c r="K1742" s="125" t="s">
        <v>761</v>
      </c>
      <c r="L1742" s="125" t="s">
        <v>315</v>
      </c>
      <c r="M1742" s="125" t="s">
        <v>508</v>
      </c>
    </row>
    <row r="1743" spans="1:13" s="114" customFormat="1" ht="25.5">
      <c r="A1743" s="136">
        <v>1741</v>
      </c>
      <c r="B1743" s="125" t="s">
        <v>5200</v>
      </c>
      <c r="C1743" s="136" t="s">
        <v>5201</v>
      </c>
      <c r="D1743" s="139" t="s">
        <v>5202</v>
      </c>
      <c r="E1743" s="84" t="s">
        <v>5203</v>
      </c>
      <c r="F1743" s="89"/>
      <c r="G1743" s="131"/>
      <c r="H1743" s="186" t="s">
        <v>760</v>
      </c>
      <c r="I1743" s="125" t="s">
        <v>326</v>
      </c>
      <c r="J1743" s="125" t="s">
        <v>346</v>
      </c>
      <c r="K1743" s="125" t="s">
        <v>761</v>
      </c>
      <c r="L1743" s="125" t="s">
        <v>315</v>
      </c>
      <c r="M1743" s="125" t="s">
        <v>508</v>
      </c>
    </row>
    <row r="1744" spans="1:13" s="114" customFormat="1" ht="51">
      <c r="A1744" s="136">
        <v>1742</v>
      </c>
      <c r="B1744" s="125" t="s">
        <v>5204</v>
      </c>
      <c r="C1744" s="136" t="s">
        <v>3329</v>
      </c>
      <c r="D1744" s="139" t="s">
        <v>5205</v>
      </c>
      <c r="E1744" s="84" t="s">
        <v>5206</v>
      </c>
      <c r="F1744" s="89"/>
      <c r="G1744" s="131"/>
      <c r="H1744" s="186" t="s">
        <v>2708</v>
      </c>
      <c r="I1744" s="125" t="s">
        <v>326</v>
      </c>
      <c r="J1744" s="125" t="s">
        <v>331</v>
      </c>
      <c r="K1744" s="125" t="s">
        <v>530</v>
      </c>
      <c r="L1744" s="125" t="s">
        <v>315</v>
      </c>
      <c r="M1744" s="125" t="s">
        <v>508</v>
      </c>
    </row>
    <row r="1745" spans="1:13" s="114" customFormat="1" ht="25.5">
      <c r="A1745" s="136">
        <v>1743</v>
      </c>
      <c r="B1745" s="136" t="s">
        <v>5207</v>
      </c>
      <c r="C1745" s="136">
        <v>2.2000000000000002</v>
      </c>
      <c r="D1745" s="139" t="s">
        <v>5208</v>
      </c>
      <c r="E1745" s="84" t="s">
        <v>5209</v>
      </c>
      <c r="F1745" s="113"/>
      <c r="G1745" s="131"/>
      <c r="H1745" s="186" t="s">
        <v>5210</v>
      </c>
      <c r="I1745" s="125" t="s">
        <v>326</v>
      </c>
      <c r="J1745" s="125" t="s">
        <v>346</v>
      </c>
      <c r="K1745" s="125" t="s">
        <v>761</v>
      </c>
      <c r="L1745" s="125" t="s">
        <v>507</v>
      </c>
      <c r="M1745" s="125" t="s">
        <v>508</v>
      </c>
    </row>
    <row r="1746" spans="1:13" s="114" customFormat="1" ht="38.25">
      <c r="A1746" s="136">
        <v>1744</v>
      </c>
      <c r="B1746" s="136" t="s">
        <v>5211</v>
      </c>
      <c r="C1746" s="136">
        <v>2.2000000000000002</v>
      </c>
      <c r="D1746" s="139" t="s">
        <v>5208</v>
      </c>
      <c r="E1746" s="84" t="s">
        <v>5212</v>
      </c>
      <c r="F1746" s="113"/>
      <c r="G1746" s="131"/>
      <c r="H1746" s="186" t="s">
        <v>5207</v>
      </c>
      <c r="I1746" s="125" t="s">
        <v>326</v>
      </c>
      <c r="J1746" s="125" t="s">
        <v>346</v>
      </c>
      <c r="K1746" s="125" t="s">
        <v>761</v>
      </c>
      <c r="L1746" s="125" t="s">
        <v>507</v>
      </c>
      <c r="M1746" s="125" t="s">
        <v>508</v>
      </c>
    </row>
    <row r="1747" spans="1:13" s="114" customFormat="1" ht="25.5">
      <c r="A1747" s="136">
        <v>1745</v>
      </c>
      <c r="B1747" s="136" t="s">
        <v>5213</v>
      </c>
      <c r="C1747" s="136">
        <v>2.2000000000000002</v>
      </c>
      <c r="D1747" s="139" t="s">
        <v>5208</v>
      </c>
      <c r="E1747" s="84" t="s">
        <v>5214</v>
      </c>
      <c r="F1747" s="113"/>
      <c r="G1747" s="131"/>
      <c r="H1747" s="186" t="s">
        <v>5207</v>
      </c>
      <c r="I1747" s="125" t="s">
        <v>326</v>
      </c>
      <c r="J1747" s="125" t="s">
        <v>346</v>
      </c>
      <c r="K1747" s="125" t="s">
        <v>761</v>
      </c>
      <c r="L1747" s="125" t="s">
        <v>507</v>
      </c>
      <c r="M1747" s="125" t="s">
        <v>508</v>
      </c>
    </row>
    <row r="1748" spans="1:13" s="114" customFormat="1" ht="25.5">
      <c r="A1748" s="136">
        <v>1746</v>
      </c>
      <c r="B1748" s="136" t="s">
        <v>5215</v>
      </c>
      <c r="C1748" s="136">
        <v>2.2000000000000002</v>
      </c>
      <c r="D1748" s="139" t="s">
        <v>5208</v>
      </c>
      <c r="E1748" s="84" t="s">
        <v>5216</v>
      </c>
      <c r="F1748" s="113"/>
      <c r="G1748" s="131"/>
      <c r="H1748" s="186" t="s">
        <v>5207</v>
      </c>
      <c r="I1748" s="125" t="s">
        <v>326</v>
      </c>
      <c r="J1748" s="125" t="s">
        <v>346</v>
      </c>
      <c r="K1748" s="125" t="s">
        <v>761</v>
      </c>
      <c r="L1748" s="125" t="s">
        <v>507</v>
      </c>
      <c r="M1748" s="125" t="s">
        <v>508</v>
      </c>
    </row>
    <row r="1749" spans="1:13" s="114" customFormat="1" ht="38.25">
      <c r="A1749" s="136">
        <v>1747</v>
      </c>
      <c r="B1749" s="136" t="s">
        <v>5217</v>
      </c>
      <c r="C1749" s="136">
        <v>2.2999999999999998</v>
      </c>
      <c r="D1749" s="139" t="s">
        <v>5218</v>
      </c>
      <c r="E1749" s="84" t="s">
        <v>5219</v>
      </c>
      <c r="F1749" s="113"/>
      <c r="G1749" s="131"/>
      <c r="H1749" s="186" t="s">
        <v>5207</v>
      </c>
      <c r="I1749" s="125" t="s">
        <v>326</v>
      </c>
      <c r="J1749" s="125" t="s">
        <v>346</v>
      </c>
      <c r="K1749" s="125" t="s">
        <v>761</v>
      </c>
      <c r="L1749" s="125" t="s">
        <v>507</v>
      </c>
      <c r="M1749" s="125" t="s">
        <v>508</v>
      </c>
    </row>
    <row r="1750" spans="1:13" s="114" customFormat="1" ht="38.25">
      <c r="A1750" s="136">
        <v>1748</v>
      </c>
      <c r="B1750" s="136" t="s">
        <v>5220</v>
      </c>
      <c r="C1750" s="136">
        <v>2.6</v>
      </c>
      <c r="D1750" s="139" t="s">
        <v>5221</v>
      </c>
      <c r="E1750" s="84" t="s">
        <v>5222</v>
      </c>
      <c r="F1750" s="113"/>
      <c r="G1750" s="131"/>
      <c r="H1750" s="186" t="s">
        <v>1579</v>
      </c>
      <c r="I1750" s="125" t="s">
        <v>327</v>
      </c>
      <c r="J1750" s="125" t="s">
        <v>337</v>
      </c>
      <c r="K1750" s="125" t="s">
        <v>1440</v>
      </c>
      <c r="L1750" s="125" t="s">
        <v>314</v>
      </c>
      <c r="M1750" s="125" t="s">
        <v>508</v>
      </c>
    </row>
    <row r="1751" spans="1:13" s="114" customFormat="1" ht="38.25">
      <c r="A1751" s="136">
        <v>1749</v>
      </c>
      <c r="B1751" s="136" t="s">
        <v>5223</v>
      </c>
      <c r="C1751" s="136">
        <v>2.6</v>
      </c>
      <c r="D1751" s="139" t="s">
        <v>5221</v>
      </c>
      <c r="E1751" s="84" t="s">
        <v>5224</v>
      </c>
      <c r="F1751" s="113"/>
      <c r="G1751" s="131"/>
      <c r="H1751" s="186" t="s">
        <v>1986</v>
      </c>
      <c r="I1751" s="125" t="s">
        <v>326</v>
      </c>
      <c r="J1751" s="125" t="s">
        <v>352</v>
      </c>
      <c r="K1751" s="125" t="s">
        <v>561</v>
      </c>
      <c r="L1751" s="125" t="s">
        <v>507</v>
      </c>
      <c r="M1751" s="125" t="s">
        <v>508</v>
      </c>
    </row>
    <row r="1752" spans="1:13" s="114" customFormat="1" ht="38.25">
      <c r="A1752" s="136">
        <v>1750</v>
      </c>
      <c r="B1752" s="136" t="s">
        <v>5225</v>
      </c>
      <c r="C1752" s="136">
        <v>2.6</v>
      </c>
      <c r="D1752" s="139" t="s">
        <v>5221</v>
      </c>
      <c r="E1752" s="84" t="s">
        <v>5226</v>
      </c>
      <c r="F1752" s="113"/>
      <c r="G1752" s="131"/>
      <c r="H1752" s="186" t="s">
        <v>5227</v>
      </c>
      <c r="I1752" s="125" t="s">
        <v>326</v>
      </c>
      <c r="J1752" s="125" t="s">
        <v>352</v>
      </c>
      <c r="K1752" s="125" t="s">
        <v>561</v>
      </c>
      <c r="L1752" s="125" t="s">
        <v>507</v>
      </c>
      <c r="M1752" s="125" t="s">
        <v>508</v>
      </c>
    </row>
    <row r="1753" spans="1:13" s="114" customFormat="1" ht="38.25">
      <c r="A1753" s="136">
        <v>1751</v>
      </c>
      <c r="B1753" s="136" t="s">
        <v>5228</v>
      </c>
      <c r="C1753" s="136">
        <v>2.6</v>
      </c>
      <c r="D1753" s="139" t="s">
        <v>5221</v>
      </c>
      <c r="E1753" s="84" t="s">
        <v>5229</v>
      </c>
      <c r="F1753" s="113"/>
      <c r="G1753" s="131"/>
      <c r="H1753" s="186" t="s">
        <v>5225</v>
      </c>
      <c r="I1753" s="125" t="s">
        <v>326</v>
      </c>
      <c r="J1753" s="125" t="s">
        <v>352</v>
      </c>
      <c r="K1753" s="125" t="s">
        <v>561</v>
      </c>
      <c r="L1753" s="125" t="s">
        <v>507</v>
      </c>
      <c r="M1753" s="125" t="s">
        <v>508</v>
      </c>
    </row>
    <row r="1754" spans="1:13" s="114" customFormat="1" ht="38.25">
      <c r="A1754" s="136">
        <v>1752</v>
      </c>
      <c r="B1754" s="136" t="s">
        <v>5230</v>
      </c>
      <c r="C1754" s="136">
        <v>2.6</v>
      </c>
      <c r="D1754" s="139" t="s">
        <v>5221</v>
      </c>
      <c r="E1754" s="84" t="s">
        <v>5231</v>
      </c>
      <c r="F1754" s="113"/>
      <c r="G1754" s="131"/>
      <c r="H1754" s="186" t="s">
        <v>5207</v>
      </c>
      <c r="I1754" s="125" t="s">
        <v>326</v>
      </c>
      <c r="J1754" s="125" t="s">
        <v>346</v>
      </c>
      <c r="K1754" s="125" t="s">
        <v>761</v>
      </c>
      <c r="L1754" s="125" t="s">
        <v>507</v>
      </c>
      <c r="M1754" s="125" t="s">
        <v>508</v>
      </c>
    </row>
    <row r="1755" spans="1:13" s="114" customFormat="1" ht="38.25">
      <c r="A1755" s="136">
        <v>1753</v>
      </c>
      <c r="B1755" s="136" t="s">
        <v>5232</v>
      </c>
      <c r="C1755" s="136" t="s">
        <v>5233</v>
      </c>
      <c r="D1755" s="139" t="s">
        <v>5234</v>
      </c>
      <c r="E1755" s="84" t="s">
        <v>5235</v>
      </c>
      <c r="F1755" s="113"/>
      <c r="G1755" s="131"/>
      <c r="H1755" s="186" t="s">
        <v>5236</v>
      </c>
      <c r="I1755" s="125" t="s">
        <v>326</v>
      </c>
      <c r="J1755" s="125" t="s">
        <v>346</v>
      </c>
      <c r="K1755" s="125" t="s">
        <v>761</v>
      </c>
      <c r="L1755" s="125" t="s">
        <v>507</v>
      </c>
      <c r="M1755" s="125" t="s">
        <v>508</v>
      </c>
    </row>
    <row r="1756" spans="1:13" s="114" customFormat="1" ht="51">
      <c r="A1756" s="136">
        <v>1754</v>
      </c>
      <c r="B1756" s="136" t="s">
        <v>5237</v>
      </c>
      <c r="C1756" s="136">
        <v>4.0999999999999996</v>
      </c>
      <c r="D1756" s="139" t="s">
        <v>5238</v>
      </c>
      <c r="E1756" s="84" t="s">
        <v>5239</v>
      </c>
      <c r="F1756" s="113"/>
      <c r="G1756" s="131"/>
      <c r="H1756" s="186" t="s">
        <v>1240</v>
      </c>
      <c r="I1756" s="125" t="s">
        <v>326</v>
      </c>
      <c r="J1756" s="125" t="s">
        <v>331</v>
      </c>
      <c r="K1756" s="125" t="s">
        <v>530</v>
      </c>
      <c r="L1756" s="125" t="s">
        <v>507</v>
      </c>
      <c r="M1756" s="125" t="s">
        <v>508</v>
      </c>
    </row>
    <row r="1757" spans="1:13" s="114" customFormat="1" ht="25.5">
      <c r="A1757" s="136">
        <v>1755</v>
      </c>
      <c r="B1757" s="136" t="s">
        <v>5240</v>
      </c>
      <c r="C1757" s="136">
        <v>4.0999999999999996</v>
      </c>
      <c r="D1757" s="139" t="s">
        <v>5238</v>
      </c>
      <c r="E1757" s="84" t="s">
        <v>5241</v>
      </c>
      <c r="F1757" s="113"/>
      <c r="G1757" s="131"/>
      <c r="H1757" s="186" t="s">
        <v>5242</v>
      </c>
      <c r="I1757" s="125" t="s">
        <v>326</v>
      </c>
      <c r="J1757" s="125" t="s">
        <v>346</v>
      </c>
      <c r="K1757" s="125" t="s">
        <v>761</v>
      </c>
      <c r="L1757" s="125" t="s">
        <v>507</v>
      </c>
      <c r="M1757" s="125" t="s">
        <v>508</v>
      </c>
    </row>
    <row r="1758" spans="1:13" s="114" customFormat="1" ht="38.25">
      <c r="A1758" s="136">
        <v>1756</v>
      </c>
      <c r="B1758" s="136" t="s">
        <v>5243</v>
      </c>
      <c r="C1758" s="136">
        <v>4.0999999999999996</v>
      </c>
      <c r="D1758" s="139" t="s">
        <v>5238</v>
      </c>
      <c r="E1758" s="84" t="s">
        <v>5244</v>
      </c>
      <c r="F1758" s="113"/>
      <c r="G1758" s="131"/>
      <c r="H1758" s="186" t="s">
        <v>5242</v>
      </c>
      <c r="I1758" s="125" t="s">
        <v>326</v>
      </c>
      <c r="J1758" s="125" t="s">
        <v>346</v>
      </c>
      <c r="K1758" s="125" t="s">
        <v>761</v>
      </c>
      <c r="L1758" s="125" t="s">
        <v>507</v>
      </c>
      <c r="M1758" s="125" t="s">
        <v>508</v>
      </c>
    </row>
    <row r="1759" spans="1:13" s="114" customFormat="1" ht="51">
      <c r="A1759" s="136">
        <v>1757</v>
      </c>
      <c r="B1759" s="136" t="s">
        <v>5245</v>
      </c>
      <c r="C1759" s="136">
        <v>4.0999999999999996</v>
      </c>
      <c r="D1759" s="139" t="s">
        <v>5238</v>
      </c>
      <c r="E1759" s="84" t="s">
        <v>5246</v>
      </c>
      <c r="F1759" s="113"/>
      <c r="G1759" s="131"/>
      <c r="H1759" s="186" t="s">
        <v>684</v>
      </c>
      <c r="I1759" s="125" t="s">
        <v>326</v>
      </c>
      <c r="J1759" s="125" t="s">
        <v>331</v>
      </c>
      <c r="K1759" s="125" t="s">
        <v>530</v>
      </c>
      <c r="L1759" s="125" t="s">
        <v>507</v>
      </c>
      <c r="M1759" s="125" t="s">
        <v>508</v>
      </c>
    </row>
    <row r="1760" spans="1:13" s="114" customFormat="1" ht="25.5">
      <c r="A1760" s="136">
        <v>1758</v>
      </c>
      <c r="B1760" s="136" t="s">
        <v>5247</v>
      </c>
      <c r="C1760" s="136">
        <v>4.0999999999999996</v>
      </c>
      <c r="D1760" s="139" t="s">
        <v>5238</v>
      </c>
      <c r="E1760" s="84" t="s">
        <v>5248</v>
      </c>
      <c r="F1760" s="113"/>
      <c r="G1760" s="131"/>
      <c r="H1760" s="186" t="s">
        <v>1531</v>
      </c>
      <c r="I1760" s="125" t="s">
        <v>326</v>
      </c>
      <c r="J1760" s="125" t="s">
        <v>346</v>
      </c>
      <c r="K1760" s="125" t="s">
        <v>761</v>
      </c>
      <c r="L1760" s="125" t="s">
        <v>507</v>
      </c>
      <c r="M1760" s="125" t="s">
        <v>508</v>
      </c>
    </row>
    <row r="1761" spans="1:13" s="114" customFormat="1" ht="38.25">
      <c r="A1761" s="136">
        <v>1759</v>
      </c>
      <c r="B1761" s="136" t="s">
        <v>5249</v>
      </c>
      <c r="C1761" s="136">
        <v>4.0999999999999996</v>
      </c>
      <c r="D1761" s="139" t="s">
        <v>5250</v>
      </c>
      <c r="E1761" s="84" t="s">
        <v>5251</v>
      </c>
      <c r="F1761" s="113"/>
      <c r="G1761" s="131"/>
      <c r="H1761" s="186" t="s">
        <v>5252</v>
      </c>
      <c r="I1761" s="125" t="s">
        <v>326</v>
      </c>
      <c r="J1761" s="125" t="s">
        <v>331</v>
      </c>
      <c r="K1761" s="125" t="s">
        <v>512</v>
      </c>
      <c r="L1761" s="125" t="s">
        <v>507</v>
      </c>
      <c r="M1761" s="125" t="s">
        <v>508</v>
      </c>
    </row>
    <row r="1762" spans="1:13" s="114" customFormat="1" ht="38.25">
      <c r="A1762" s="136">
        <v>1760</v>
      </c>
      <c r="B1762" s="136" t="s">
        <v>5253</v>
      </c>
      <c r="C1762" s="136">
        <v>4.0999999999999996</v>
      </c>
      <c r="D1762" s="139" t="s">
        <v>5250</v>
      </c>
      <c r="E1762" s="84" t="s">
        <v>5254</v>
      </c>
      <c r="F1762" s="113"/>
      <c r="G1762" s="131"/>
      <c r="H1762" s="186" t="s">
        <v>5249</v>
      </c>
      <c r="I1762" s="125" t="s">
        <v>326</v>
      </c>
      <c r="J1762" s="125" t="s">
        <v>331</v>
      </c>
      <c r="K1762" s="125" t="s">
        <v>512</v>
      </c>
      <c r="L1762" s="125" t="s">
        <v>507</v>
      </c>
      <c r="M1762" s="125" t="s">
        <v>508</v>
      </c>
    </row>
    <row r="1763" spans="1:13" s="114" customFormat="1" ht="38.25">
      <c r="A1763" s="136">
        <v>1761</v>
      </c>
      <c r="B1763" s="136" t="s">
        <v>5255</v>
      </c>
      <c r="C1763" s="136">
        <v>4.0999999999999996</v>
      </c>
      <c r="D1763" s="139" t="s">
        <v>5250</v>
      </c>
      <c r="E1763" s="84" t="s">
        <v>5256</v>
      </c>
      <c r="F1763" s="113"/>
      <c r="G1763" s="131"/>
      <c r="H1763" s="186" t="s">
        <v>5249</v>
      </c>
      <c r="I1763" s="125" t="s">
        <v>326</v>
      </c>
      <c r="J1763" s="125" t="s">
        <v>331</v>
      </c>
      <c r="K1763" s="125" t="s">
        <v>512</v>
      </c>
      <c r="L1763" s="125" t="s">
        <v>507</v>
      </c>
      <c r="M1763" s="125" t="s">
        <v>508</v>
      </c>
    </row>
    <row r="1764" spans="1:13" s="114" customFormat="1" ht="38.25">
      <c r="A1764" s="136">
        <v>1762</v>
      </c>
      <c r="B1764" s="136" t="s">
        <v>5257</v>
      </c>
      <c r="C1764" s="136">
        <v>4.0999999999999996</v>
      </c>
      <c r="D1764" s="139" t="s">
        <v>5250</v>
      </c>
      <c r="E1764" s="84" t="s">
        <v>5258</v>
      </c>
      <c r="F1764" s="113"/>
      <c r="G1764" s="131"/>
      <c r="H1764" s="186" t="s">
        <v>5249</v>
      </c>
      <c r="I1764" s="125" t="s">
        <v>326</v>
      </c>
      <c r="J1764" s="125" t="s">
        <v>331</v>
      </c>
      <c r="K1764" s="125" t="s">
        <v>512</v>
      </c>
      <c r="L1764" s="125" t="s">
        <v>507</v>
      </c>
      <c r="M1764" s="125" t="s">
        <v>508</v>
      </c>
    </row>
    <row r="1765" spans="1:13" s="114" customFormat="1" ht="38.25">
      <c r="A1765" s="136">
        <v>1763</v>
      </c>
      <c r="B1765" s="136" t="s">
        <v>5259</v>
      </c>
      <c r="C1765" s="136">
        <v>4.0999999999999996</v>
      </c>
      <c r="D1765" s="139" t="s">
        <v>5250</v>
      </c>
      <c r="E1765" s="84" t="s">
        <v>5260</v>
      </c>
      <c r="F1765" s="113"/>
      <c r="G1765" s="131"/>
      <c r="H1765" s="186" t="s">
        <v>5249</v>
      </c>
      <c r="I1765" s="125" t="s">
        <v>326</v>
      </c>
      <c r="J1765" s="125" t="s">
        <v>331</v>
      </c>
      <c r="K1765" s="125" t="s">
        <v>512</v>
      </c>
      <c r="L1765" s="125" t="s">
        <v>507</v>
      </c>
      <c r="M1765" s="125" t="s">
        <v>508</v>
      </c>
    </row>
    <row r="1766" spans="1:13" s="114" customFormat="1" ht="25.5">
      <c r="A1766" s="136">
        <v>1764</v>
      </c>
      <c r="B1766" s="136" t="s">
        <v>5242</v>
      </c>
      <c r="C1766" s="136">
        <v>4.0999999999999996</v>
      </c>
      <c r="D1766" s="139" t="s">
        <v>5250</v>
      </c>
      <c r="E1766" s="84" t="s">
        <v>5261</v>
      </c>
      <c r="F1766" s="113"/>
      <c r="G1766" s="131"/>
      <c r="H1766" s="186" t="s">
        <v>5262</v>
      </c>
      <c r="I1766" s="125" t="s">
        <v>326</v>
      </c>
      <c r="J1766" s="125" t="s">
        <v>346</v>
      </c>
      <c r="K1766" s="125" t="s">
        <v>761</v>
      </c>
      <c r="L1766" s="125" t="s">
        <v>507</v>
      </c>
      <c r="M1766" s="125" t="s">
        <v>508</v>
      </c>
    </row>
    <row r="1767" spans="1:13" s="114" customFormat="1" ht="25.5">
      <c r="A1767" s="136">
        <v>1765</v>
      </c>
      <c r="B1767" s="136" t="s">
        <v>5263</v>
      </c>
      <c r="C1767" s="136">
        <v>4.2</v>
      </c>
      <c r="D1767" s="139" t="s">
        <v>5264</v>
      </c>
      <c r="E1767" s="84" t="s">
        <v>5265</v>
      </c>
      <c r="F1767" s="113"/>
      <c r="G1767" s="131"/>
      <c r="H1767" s="186" t="s">
        <v>5232</v>
      </c>
      <c r="I1767" s="125" t="s">
        <v>326</v>
      </c>
      <c r="J1767" s="125" t="s">
        <v>346</v>
      </c>
      <c r="K1767" s="125" t="s">
        <v>761</v>
      </c>
      <c r="L1767" s="125" t="s">
        <v>507</v>
      </c>
      <c r="M1767" s="125" t="s">
        <v>508</v>
      </c>
    </row>
    <row r="1768" spans="1:13" s="114" customFormat="1" ht="25.5">
      <c r="A1768" s="136">
        <v>1766</v>
      </c>
      <c r="B1768" s="136" t="s">
        <v>5266</v>
      </c>
      <c r="C1768" s="136">
        <v>4.2</v>
      </c>
      <c r="D1768" s="139" t="s">
        <v>5264</v>
      </c>
      <c r="E1768" s="84" t="s">
        <v>5267</v>
      </c>
      <c r="F1768" s="113"/>
      <c r="G1768" s="131"/>
      <c r="H1768" s="186" t="s">
        <v>5232</v>
      </c>
      <c r="I1768" s="125" t="s">
        <v>326</v>
      </c>
      <c r="J1768" s="125" t="s">
        <v>346</v>
      </c>
      <c r="K1768" s="125" t="s">
        <v>761</v>
      </c>
      <c r="L1768" s="125" t="s">
        <v>507</v>
      </c>
      <c r="M1768" s="125" t="s">
        <v>508</v>
      </c>
    </row>
    <row r="1769" spans="1:13" s="114" customFormat="1" ht="38.25">
      <c r="A1769" s="136">
        <v>1767</v>
      </c>
      <c r="B1769" s="136" t="s">
        <v>5268</v>
      </c>
      <c r="C1769" s="136">
        <v>4.2</v>
      </c>
      <c r="D1769" s="139" t="s">
        <v>5264</v>
      </c>
      <c r="E1769" s="84" t="s">
        <v>5269</v>
      </c>
      <c r="F1769" s="113"/>
      <c r="G1769" s="131"/>
      <c r="H1769" s="186" t="s">
        <v>5270</v>
      </c>
      <c r="I1769" s="125" t="s">
        <v>326</v>
      </c>
      <c r="J1769" s="125" t="s">
        <v>352</v>
      </c>
      <c r="K1769" s="125" t="s">
        <v>597</v>
      </c>
      <c r="L1769" s="125" t="s">
        <v>507</v>
      </c>
      <c r="M1769" s="125" t="s">
        <v>508</v>
      </c>
    </row>
    <row r="1770" spans="1:13" s="114" customFormat="1" ht="38.25">
      <c r="A1770" s="136">
        <v>1768</v>
      </c>
      <c r="B1770" s="136" t="s">
        <v>5271</v>
      </c>
      <c r="C1770" s="136">
        <v>4.2</v>
      </c>
      <c r="D1770" s="139" t="s">
        <v>5264</v>
      </c>
      <c r="E1770" s="84" t="s">
        <v>5272</v>
      </c>
      <c r="F1770" s="113"/>
      <c r="G1770" s="131"/>
      <c r="H1770" s="186" t="s">
        <v>5232</v>
      </c>
      <c r="I1770" s="125" t="s">
        <v>326</v>
      </c>
      <c r="J1770" s="125" t="s">
        <v>346</v>
      </c>
      <c r="K1770" s="125" t="s">
        <v>761</v>
      </c>
      <c r="L1770" s="125" t="s">
        <v>507</v>
      </c>
      <c r="M1770" s="125" t="s">
        <v>508</v>
      </c>
    </row>
    <row r="1771" spans="1:13" s="114" customFormat="1" ht="25.5">
      <c r="A1771" s="136">
        <v>1769</v>
      </c>
      <c r="B1771" s="136" t="s">
        <v>5273</v>
      </c>
      <c r="C1771" s="136">
        <v>4.2</v>
      </c>
      <c r="D1771" s="139" t="s">
        <v>5264</v>
      </c>
      <c r="E1771" s="84" t="s">
        <v>5274</v>
      </c>
      <c r="F1771" s="113"/>
      <c r="G1771" s="131"/>
      <c r="H1771" s="186" t="s">
        <v>5232</v>
      </c>
      <c r="I1771" s="125" t="s">
        <v>326</v>
      </c>
      <c r="J1771" s="125" t="s">
        <v>346</v>
      </c>
      <c r="K1771" s="125" t="s">
        <v>761</v>
      </c>
      <c r="L1771" s="125" t="s">
        <v>507</v>
      </c>
      <c r="M1771" s="125" t="s">
        <v>508</v>
      </c>
    </row>
    <row r="1772" spans="1:13" s="114" customFormat="1" ht="38.25">
      <c r="A1772" s="136">
        <v>1770</v>
      </c>
      <c r="B1772" s="136" t="s">
        <v>5275</v>
      </c>
      <c r="C1772" s="136">
        <v>4.2</v>
      </c>
      <c r="D1772" s="139" t="s">
        <v>5264</v>
      </c>
      <c r="E1772" s="84" t="s">
        <v>5276</v>
      </c>
      <c r="F1772" s="113"/>
      <c r="G1772" s="131"/>
      <c r="H1772" s="186" t="s">
        <v>5232</v>
      </c>
      <c r="I1772" s="125" t="s">
        <v>326</v>
      </c>
      <c r="J1772" s="125" t="s">
        <v>346</v>
      </c>
      <c r="K1772" s="125" t="s">
        <v>761</v>
      </c>
      <c r="L1772" s="125" t="s">
        <v>507</v>
      </c>
      <c r="M1772" s="125" t="s">
        <v>508</v>
      </c>
    </row>
    <row r="1773" spans="1:13" s="114" customFormat="1" ht="25.5">
      <c r="A1773" s="136">
        <v>1771</v>
      </c>
      <c r="B1773" s="136" t="s">
        <v>5277</v>
      </c>
      <c r="C1773" s="136">
        <v>4.2</v>
      </c>
      <c r="D1773" s="139" t="s">
        <v>5264</v>
      </c>
      <c r="E1773" s="84" t="s">
        <v>5278</v>
      </c>
      <c r="F1773" s="113"/>
      <c r="G1773" s="131"/>
      <c r="H1773" s="186" t="s">
        <v>5232</v>
      </c>
      <c r="I1773" s="125" t="s">
        <v>326</v>
      </c>
      <c r="J1773" s="125" t="s">
        <v>346</v>
      </c>
      <c r="K1773" s="125" t="s">
        <v>761</v>
      </c>
      <c r="L1773" s="125" t="s">
        <v>507</v>
      </c>
      <c r="M1773" s="125" t="s">
        <v>508</v>
      </c>
    </row>
    <row r="1774" spans="1:13" s="114" customFormat="1" ht="25.5">
      <c r="A1774" s="136">
        <v>1772</v>
      </c>
      <c r="B1774" s="136" t="s">
        <v>5279</v>
      </c>
      <c r="C1774" s="136">
        <v>4.2</v>
      </c>
      <c r="D1774" s="139" t="s">
        <v>5264</v>
      </c>
      <c r="E1774" s="84" t="s">
        <v>5280</v>
      </c>
      <c r="F1774" s="113"/>
      <c r="G1774" s="131"/>
      <c r="H1774" s="186" t="s">
        <v>5232</v>
      </c>
      <c r="I1774" s="125" t="s">
        <v>326</v>
      </c>
      <c r="J1774" s="125" t="s">
        <v>346</v>
      </c>
      <c r="K1774" s="125" t="s">
        <v>761</v>
      </c>
      <c r="L1774" s="125" t="s">
        <v>507</v>
      </c>
      <c r="M1774" s="125" t="s">
        <v>508</v>
      </c>
    </row>
    <row r="1775" spans="1:13" s="114" customFormat="1" ht="25.5">
      <c r="A1775" s="136">
        <v>1773</v>
      </c>
      <c r="B1775" s="136" t="s">
        <v>5281</v>
      </c>
      <c r="C1775" s="136">
        <v>4.3</v>
      </c>
      <c r="D1775" s="139" t="s">
        <v>5282</v>
      </c>
      <c r="E1775" s="84" t="s">
        <v>5283</v>
      </c>
      <c r="F1775" s="113"/>
      <c r="G1775" s="131"/>
      <c r="H1775" s="186" t="s">
        <v>5242</v>
      </c>
      <c r="I1775" s="125" t="s">
        <v>326</v>
      </c>
      <c r="J1775" s="125" t="s">
        <v>346</v>
      </c>
      <c r="K1775" s="125" t="s">
        <v>761</v>
      </c>
      <c r="L1775" s="125" t="s">
        <v>507</v>
      </c>
      <c r="M1775" s="125" t="s">
        <v>508</v>
      </c>
    </row>
    <row r="1776" spans="1:13" s="114" customFormat="1" ht="38.25">
      <c r="A1776" s="136">
        <v>1774</v>
      </c>
      <c r="B1776" s="136" t="s">
        <v>5284</v>
      </c>
      <c r="C1776" s="136">
        <v>4.3</v>
      </c>
      <c r="D1776" s="139" t="s">
        <v>5282</v>
      </c>
      <c r="E1776" s="84" t="s">
        <v>5285</v>
      </c>
      <c r="F1776" s="113"/>
      <c r="G1776" s="131"/>
      <c r="H1776" s="186" t="s">
        <v>5242</v>
      </c>
      <c r="I1776" s="125" t="s">
        <v>326</v>
      </c>
      <c r="J1776" s="125" t="s">
        <v>346</v>
      </c>
      <c r="K1776" s="125" t="s">
        <v>761</v>
      </c>
      <c r="L1776" s="125" t="s">
        <v>507</v>
      </c>
      <c r="M1776" s="125" t="s">
        <v>508</v>
      </c>
    </row>
    <row r="1777" spans="1:13" s="114" customFormat="1" ht="25.5">
      <c r="A1777" s="136">
        <v>1775</v>
      </c>
      <c r="B1777" s="136" t="s">
        <v>5286</v>
      </c>
      <c r="C1777" s="136">
        <v>4.3</v>
      </c>
      <c r="D1777" s="139" t="s">
        <v>5282</v>
      </c>
      <c r="E1777" s="84" t="s">
        <v>5287</v>
      </c>
      <c r="F1777" s="113"/>
      <c r="G1777" s="131"/>
      <c r="H1777" s="186" t="s">
        <v>5268</v>
      </c>
      <c r="I1777" s="125" t="s">
        <v>326</v>
      </c>
      <c r="J1777" s="125" t="s">
        <v>352</v>
      </c>
      <c r="K1777" s="125" t="s">
        <v>597</v>
      </c>
      <c r="L1777" s="125" t="s">
        <v>507</v>
      </c>
      <c r="M1777" s="125" t="s">
        <v>508</v>
      </c>
    </row>
    <row r="1778" spans="1:13" s="114" customFormat="1" ht="38.25">
      <c r="A1778" s="136">
        <v>1776</v>
      </c>
      <c r="B1778" s="136" t="s">
        <v>5288</v>
      </c>
      <c r="C1778" s="136">
        <v>4.4000000000000004</v>
      </c>
      <c r="D1778" s="139" t="s">
        <v>5289</v>
      </c>
      <c r="E1778" s="84" t="s">
        <v>5290</v>
      </c>
      <c r="F1778" s="113"/>
      <c r="G1778" s="131"/>
      <c r="H1778" s="186" t="s">
        <v>5291</v>
      </c>
      <c r="I1778" s="125" t="s">
        <v>327</v>
      </c>
      <c r="J1778" s="125" t="s">
        <v>337</v>
      </c>
      <c r="K1778" s="125" t="s">
        <v>1071</v>
      </c>
      <c r="L1778" s="125" t="s">
        <v>314</v>
      </c>
      <c r="M1778" s="125" t="s">
        <v>508</v>
      </c>
    </row>
    <row r="1779" spans="1:13" s="114" customFormat="1" ht="51">
      <c r="A1779" s="136">
        <v>1777</v>
      </c>
      <c r="B1779" s="136" t="s">
        <v>5292</v>
      </c>
      <c r="C1779" s="136">
        <v>4.4000000000000004</v>
      </c>
      <c r="D1779" s="139" t="s">
        <v>5289</v>
      </c>
      <c r="E1779" s="84" t="s">
        <v>5293</v>
      </c>
      <c r="F1779" s="113"/>
      <c r="G1779" s="131"/>
      <c r="H1779" s="186" t="s">
        <v>5288</v>
      </c>
      <c r="I1779" s="125" t="s">
        <v>327</v>
      </c>
      <c r="J1779" s="125" t="s">
        <v>337</v>
      </c>
      <c r="K1779" s="125" t="s">
        <v>1071</v>
      </c>
      <c r="L1779" s="125" t="s">
        <v>314</v>
      </c>
      <c r="M1779" s="125" t="s">
        <v>508</v>
      </c>
    </row>
    <row r="1780" spans="1:13" s="114" customFormat="1" ht="38.25">
      <c r="A1780" s="136">
        <v>1778</v>
      </c>
      <c r="B1780" s="136" t="s">
        <v>5294</v>
      </c>
      <c r="C1780" s="136">
        <v>4.4000000000000004</v>
      </c>
      <c r="D1780" s="139" t="s">
        <v>5289</v>
      </c>
      <c r="E1780" s="84" t="s">
        <v>5295</v>
      </c>
      <c r="F1780" s="113"/>
      <c r="G1780" s="131"/>
      <c r="H1780" s="186" t="s">
        <v>1437</v>
      </c>
      <c r="I1780" s="125" t="s">
        <v>327</v>
      </c>
      <c r="J1780" s="125" t="s">
        <v>337</v>
      </c>
      <c r="K1780" s="125" t="s">
        <v>1440</v>
      </c>
      <c r="L1780" s="125" t="s">
        <v>314</v>
      </c>
      <c r="M1780" s="125" t="s">
        <v>508</v>
      </c>
    </row>
    <row r="1781" spans="1:13" s="114" customFormat="1" ht="38.25">
      <c r="A1781" s="136">
        <v>1779</v>
      </c>
      <c r="B1781" s="136" t="s">
        <v>5296</v>
      </c>
      <c r="C1781" s="136" t="s">
        <v>2650</v>
      </c>
      <c r="D1781" s="139" t="s">
        <v>5297</v>
      </c>
      <c r="E1781" s="84" t="s">
        <v>5298</v>
      </c>
      <c r="F1781" s="113"/>
      <c r="G1781" s="131"/>
      <c r="H1781" s="186" t="s">
        <v>5225</v>
      </c>
      <c r="I1781" s="125" t="s">
        <v>326</v>
      </c>
      <c r="J1781" s="125" t="s">
        <v>352</v>
      </c>
      <c r="K1781" s="125" t="s">
        <v>561</v>
      </c>
      <c r="L1781" s="125" t="s">
        <v>507</v>
      </c>
      <c r="M1781" s="125" t="s">
        <v>508</v>
      </c>
    </row>
    <row r="1782" spans="1:13" s="114" customFormat="1" ht="38.25">
      <c r="A1782" s="136">
        <v>1780</v>
      </c>
      <c r="B1782" s="136" t="s">
        <v>5299</v>
      </c>
      <c r="C1782" s="136" t="s">
        <v>2667</v>
      </c>
      <c r="D1782" s="139" t="s">
        <v>5300</v>
      </c>
      <c r="E1782" s="84" t="s">
        <v>5301</v>
      </c>
      <c r="F1782" s="113"/>
      <c r="G1782" s="131"/>
      <c r="H1782" s="186" t="s">
        <v>5225</v>
      </c>
      <c r="I1782" s="125" t="s">
        <v>326</v>
      </c>
      <c r="J1782" s="125" t="s">
        <v>352</v>
      </c>
      <c r="K1782" s="125" t="s">
        <v>561</v>
      </c>
      <c r="L1782" s="125" t="s">
        <v>507</v>
      </c>
      <c r="M1782" s="125" t="s">
        <v>508</v>
      </c>
    </row>
    <row r="1783" spans="1:13" s="114" customFormat="1" ht="25.5">
      <c r="A1783" s="136">
        <v>1781</v>
      </c>
      <c r="B1783" s="136" t="s">
        <v>5302</v>
      </c>
      <c r="C1783" s="136" t="s">
        <v>2667</v>
      </c>
      <c r="D1783" s="139" t="s">
        <v>5300</v>
      </c>
      <c r="E1783" s="84" t="s">
        <v>5303</v>
      </c>
      <c r="F1783" s="113"/>
      <c r="G1783" s="131"/>
      <c r="H1783" s="186" t="s">
        <v>5268</v>
      </c>
      <c r="I1783" s="125" t="s">
        <v>326</v>
      </c>
      <c r="J1783" s="125" t="s">
        <v>352</v>
      </c>
      <c r="K1783" s="125" t="s">
        <v>597</v>
      </c>
      <c r="L1783" s="125" t="s">
        <v>507</v>
      </c>
      <c r="M1783" s="125" t="s">
        <v>508</v>
      </c>
    </row>
    <row r="1784" spans="1:13" s="114" customFormat="1" ht="38.25">
      <c r="A1784" s="136">
        <v>1782</v>
      </c>
      <c r="B1784" s="136" t="s">
        <v>5304</v>
      </c>
      <c r="C1784" s="136" t="s">
        <v>2673</v>
      </c>
      <c r="D1784" s="139" t="s">
        <v>5305</v>
      </c>
      <c r="E1784" s="84" t="s">
        <v>5306</v>
      </c>
      <c r="F1784" s="113"/>
      <c r="G1784" s="131"/>
      <c r="H1784" s="186" t="s">
        <v>5225</v>
      </c>
      <c r="I1784" s="125" t="s">
        <v>326</v>
      </c>
      <c r="J1784" s="125" t="s">
        <v>352</v>
      </c>
      <c r="K1784" s="125" t="s">
        <v>561</v>
      </c>
      <c r="L1784" s="125" t="s">
        <v>507</v>
      </c>
      <c r="M1784" s="125" t="s">
        <v>508</v>
      </c>
    </row>
    <row r="1785" spans="1:13" s="114" customFormat="1" ht="38.25">
      <c r="A1785" s="136">
        <v>1783</v>
      </c>
      <c r="B1785" s="136" t="s">
        <v>5307</v>
      </c>
      <c r="C1785" s="136" t="s">
        <v>2673</v>
      </c>
      <c r="D1785" s="139" t="s">
        <v>5308</v>
      </c>
      <c r="E1785" s="84" t="s">
        <v>5309</v>
      </c>
      <c r="F1785" s="113"/>
      <c r="G1785" s="131"/>
      <c r="H1785" s="186" t="s">
        <v>5225</v>
      </c>
      <c r="I1785" s="125" t="s">
        <v>326</v>
      </c>
      <c r="J1785" s="125" t="s">
        <v>352</v>
      </c>
      <c r="K1785" s="125" t="s">
        <v>561</v>
      </c>
      <c r="L1785" s="125" t="s">
        <v>507</v>
      </c>
      <c r="M1785" s="125" t="s">
        <v>508</v>
      </c>
    </row>
    <row r="1786" spans="1:13" s="114" customFormat="1" ht="38.25">
      <c r="A1786" s="136">
        <v>1784</v>
      </c>
      <c r="B1786" s="136" t="s">
        <v>5310</v>
      </c>
      <c r="C1786" s="136" t="s">
        <v>2673</v>
      </c>
      <c r="D1786" s="139" t="s">
        <v>5308</v>
      </c>
      <c r="E1786" s="84" t="s">
        <v>5311</v>
      </c>
      <c r="F1786" s="113"/>
      <c r="G1786" s="131"/>
      <c r="H1786" s="186" t="s">
        <v>5225</v>
      </c>
      <c r="I1786" s="125" t="s">
        <v>326</v>
      </c>
      <c r="J1786" s="125" t="s">
        <v>352</v>
      </c>
      <c r="K1786" s="125" t="s">
        <v>561</v>
      </c>
      <c r="L1786" s="125" t="s">
        <v>507</v>
      </c>
      <c r="M1786" s="125" t="s">
        <v>508</v>
      </c>
    </row>
    <row r="1787" spans="1:13" s="114" customFormat="1" ht="38.25">
      <c r="A1787" s="136">
        <v>1785</v>
      </c>
      <c r="B1787" s="136" t="s">
        <v>5312</v>
      </c>
      <c r="C1787" s="136" t="s">
        <v>2673</v>
      </c>
      <c r="D1787" s="139" t="s">
        <v>5308</v>
      </c>
      <c r="E1787" s="84" t="s">
        <v>5313</v>
      </c>
      <c r="F1787" s="113"/>
      <c r="G1787" s="131"/>
      <c r="H1787" s="186" t="s">
        <v>5288</v>
      </c>
      <c r="I1787" s="125" t="s">
        <v>327</v>
      </c>
      <c r="J1787" s="125" t="s">
        <v>337</v>
      </c>
      <c r="K1787" s="125" t="s">
        <v>1071</v>
      </c>
      <c r="L1787" s="125" t="s">
        <v>314</v>
      </c>
      <c r="M1787" s="125" t="s">
        <v>508</v>
      </c>
    </row>
    <row r="1788" spans="1:13" s="114" customFormat="1" ht="38.25">
      <c r="A1788" s="136">
        <v>1786</v>
      </c>
      <c r="B1788" s="136" t="s">
        <v>5314</v>
      </c>
      <c r="C1788" s="136">
        <v>4.5999999999999996</v>
      </c>
      <c r="D1788" s="139" t="s">
        <v>5315</v>
      </c>
      <c r="E1788" s="84" t="s">
        <v>5316</v>
      </c>
      <c r="F1788" s="113"/>
      <c r="G1788" s="131"/>
      <c r="H1788" s="186" t="s">
        <v>5207</v>
      </c>
      <c r="I1788" s="125" t="s">
        <v>326</v>
      </c>
      <c r="J1788" s="125" t="s">
        <v>346</v>
      </c>
      <c r="K1788" s="125" t="s">
        <v>761</v>
      </c>
      <c r="L1788" s="125" t="s">
        <v>507</v>
      </c>
      <c r="M1788" s="125" t="s">
        <v>508</v>
      </c>
    </row>
    <row r="1789" spans="1:13" s="114" customFormat="1" ht="51">
      <c r="A1789" s="136">
        <v>1787</v>
      </c>
      <c r="B1789" s="136" t="s">
        <v>5317</v>
      </c>
      <c r="C1789" s="136">
        <v>4.5999999999999996</v>
      </c>
      <c r="D1789" s="139" t="s">
        <v>5318</v>
      </c>
      <c r="E1789" s="84" t="s">
        <v>5319</v>
      </c>
      <c r="F1789" s="113"/>
      <c r="G1789" s="131"/>
      <c r="H1789" s="186" t="s">
        <v>5207</v>
      </c>
      <c r="I1789" s="125" t="s">
        <v>326</v>
      </c>
      <c r="J1789" s="125" t="s">
        <v>346</v>
      </c>
      <c r="K1789" s="125" t="s">
        <v>761</v>
      </c>
      <c r="L1789" s="125" t="s">
        <v>507</v>
      </c>
      <c r="M1789" s="125" t="s">
        <v>508</v>
      </c>
    </row>
    <row r="1790" spans="1:13" s="114" customFormat="1" ht="51">
      <c r="A1790" s="136">
        <v>1788</v>
      </c>
      <c r="B1790" s="136" t="s">
        <v>5320</v>
      </c>
      <c r="C1790" s="136">
        <v>4.5999999999999996</v>
      </c>
      <c r="D1790" s="139" t="s">
        <v>5321</v>
      </c>
      <c r="E1790" s="84" t="s">
        <v>5322</v>
      </c>
      <c r="F1790" s="113"/>
      <c r="G1790" s="131"/>
      <c r="H1790" s="186" t="s">
        <v>5323</v>
      </c>
      <c r="I1790" s="125" t="s">
        <v>326</v>
      </c>
      <c r="J1790" s="125" t="s">
        <v>331</v>
      </c>
      <c r="K1790" s="125" t="s">
        <v>530</v>
      </c>
      <c r="L1790" s="125" t="s">
        <v>507</v>
      </c>
      <c r="M1790" s="125" t="s">
        <v>508</v>
      </c>
    </row>
    <row r="1791" spans="1:13" s="114" customFormat="1" ht="51">
      <c r="A1791" s="136">
        <v>1789</v>
      </c>
      <c r="B1791" s="136" t="s">
        <v>5324</v>
      </c>
      <c r="C1791" s="136">
        <v>4.5999999999999996</v>
      </c>
      <c r="D1791" s="139" t="s">
        <v>5321</v>
      </c>
      <c r="E1791" s="84" t="s">
        <v>5325</v>
      </c>
      <c r="F1791" s="113"/>
      <c r="G1791" s="131"/>
      <c r="H1791" s="186" t="s">
        <v>5320</v>
      </c>
      <c r="I1791" s="125" t="s">
        <v>326</v>
      </c>
      <c r="J1791" s="125" t="s">
        <v>331</v>
      </c>
      <c r="K1791" s="125" t="s">
        <v>530</v>
      </c>
      <c r="L1791" s="125" t="s">
        <v>507</v>
      </c>
      <c r="M1791" s="125" t="s">
        <v>508</v>
      </c>
    </row>
    <row r="1792" spans="1:13" s="114" customFormat="1" ht="38.25">
      <c r="A1792" s="136">
        <v>1790</v>
      </c>
      <c r="B1792" s="136" t="s">
        <v>5326</v>
      </c>
      <c r="C1792" s="136">
        <v>4.5999999999999996</v>
      </c>
      <c r="D1792" s="139" t="s">
        <v>5321</v>
      </c>
      <c r="E1792" s="84" t="s">
        <v>5327</v>
      </c>
      <c r="F1792" s="113"/>
      <c r="G1792" s="131"/>
      <c r="H1792" s="186" t="s">
        <v>5249</v>
      </c>
      <c r="I1792" s="125" t="s">
        <v>326</v>
      </c>
      <c r="J1792" s="125" t="s">
        <v>331</v>
      </c>
      <c r="K1792" s="125" t="s">
        <v>512</v>
      </c>
      <c r="L1792" s="125" t="s">
        <v>507</v>
      </c>
      <c r="M1792" s="125" t="s">
        <v>508</v>
      </c>
    </row>
    <row r="1793" spans="1:13" s="114" customFormat="1" ht="38.25">
      <c r="A1793" s="136">
        <v>1791</v>
      </c>
      <c r="B1793" s="136" t="s">
        <v>5328</v>
      </c>
      <c r="C1793" s="136">
        <v>4.7</v>
      </c>
      <c r="D1793" s="139" t="s">
        <v>5329</v>
      </c>
      <c r="E1793" s="84" t="s">
        <v>5330</v>
      </c>
      <c r="F1793" s="113"/>
      <c r="G1793" s="131"/>
      <c r="H1793" s="186" t="s">
        <v>653</v>
      </c>
      <c r="I1793" s="125" t="s">
        <v>326</v>
      </c>
      <c r="J1793" s="125" t="s">
        <v>331</v>
      </c>
      <c r="K1793" s="125" t="s">
        <v>506</v>
      </c>
      <c r="L1793" s="125" t="s">
        <v>507</v>
      </c>
      <c r="M1793" s="125" t="s">
        <v>508</v>
      </c>
    </row>
    <row r="1794" spans="1:13" s="114" customFormat="1" ht="38.25">
      <c r="A1794" s="136">
        <v>1792</v>
      </c>
      <c r="B1794" s="136" t="s">
        <v>5331</v>
      </c>
      <c r="C1794" s="136">
        <v>4.7</v>
      </c>
      <c r="D1794" s="139" t="s">
        <v>5329</v>
      </c>
      <c r="E1794" s="84" t="s">
        <v>5332</v>
      </c>
      <c r="F1794" s="113"/>
      <c r="G1794" s="131"/>
      <c r="H1794" s="186" t="s">
        <v>5288</v>
      </c>
      <c r="I1794" s="125" t="s">
        <v>327</v>
      </c>
      <c r="J1794" s="125" t="s">
        <v>337</v>
      </c>
      <c r="K1794" s="125" t="s">
        <v>1071</v>
      </c>
      <c r="L1794" s="125" t="s">
        <v>507</v>
      </c>
      <c r="M1794" s="125" t="s">
        <v>508</v>
      </c>
    </row>
    <row r="1795" spans="1:13" s="114" customFormat="1" ht="38.25">
      <c r="A1795" s="136">
        <v>1793</v>
      </c>
      <c r="B1795" s="136" t="s">
        <v>5333</v>
      </c>
      <c r="C1795" s="136">
        <v>4.7</v>
      </c>
      <c r="D1795" s="139" t="s">
        <v>5329</v>
      </c>
      <c r="E1795" s="84" t="s">
        <v>5334</v>
      </c>
      <c r="F1795" s="113"/>
      <c r="G1795" s="131"/>
      <c r="H1795" s="186" t="s">
        <v>1437</v>
      </c>
      <c r="I1795" s="125" t="s">
        <v>327</v>
      </c>
      <c r="J1795" s="125" t="s">
        <v>337</v>
      </c>
      <c r="K1795" s="125" t="s">
        <v>1440</v>
      </c>
      <c r="L1795" s="125" t="s">
        <v>507</v>
      </c>
      <c r="M1795" s="125" t="s">
        <v>508</v>
      </c>
    </row>
    <row r="1796" spans="1:13" s="114" customFormat="1" ht="38.25">
      <c r="A1796" s="136">
        <v>1794</v>
      </c>
      <c r="B1796" s="136" t="s">
        <v>5335</v>
      </c>
      <c r="C1796" s="136">
        <v>4.7</v>
      </c>
      <c r="D1796" s="139" t="s">
        <v>5329</v>
      </c>
      <c r="E1796" s="84" t="s">
        <v>5336</v>
      </c>
      <c r="F1796" s="113"/>
      <c r="G1796" s="131"/>
      <c r="H1796" s="186" t="s">
        <v>4807</v>
      </c>
      <c r="I1796" s="125" t="s">
        <v>326</v>
      </c>
      <c r="J1796" s="125" t="s">
        <v>346</v>
      </c>
      <c r="K1796" s="125" t="s">
        <v>1465</v>
      </c>
      <c r="L1796" s="125" t="s">
        <v>314</v>
      </c>
      <c r="M1796" s="125" t="s">
        <v>508</v>
      </c>
    </row>
    <row r="1797" spans="1:13" s="114" customFormat="1" ht="25.5">
      <c r="A1797" s="136">
        <v>1795</v>
      </c>
      <c r="B1797" s="136" t="s">
        <v>5337</v>
      </c>
      <c r="C1797" s="136">
        <v>5</v>
      </c>
      <c r="D1797" s="142" t="s">
        <v>5338</v>
      </c>
      <c r="E1797" s="84" t="s">
        <v>5339</v>
      </c>
      <c r="F1797" s="113"/>
      <c r="G1797" s="131"/>
      <c r="H1797" s="186" t="s">
        <v>5242</v>
      </c>
      <c r="I1797" s="125" t="s">
        <v>326</v>
      </c>
      <c r="J1797" s="125" t="s">
        <v>346</v>
      </c>
      <c r="K1797" s="125" t="s">
        <v>761</v>
      </c>
      <c r="L1797" s="125" t="s">
        <v>507</v>
      </c>
      <c r="M1797" s="125" t="s">
        <v>508</v>
      </c>
    </row>
    <row r="1798" spans="1:13" s="114" customFormat="1" ht="25.5">
      <c r="A1798" s="136">
        <v>1796</v>
      </c>
      <c r="B1798" s="136" t="s">
        <v>5340</v>
      </c>
      <c r="C1798" s="136">
        <v>5</v>
      </c>
      <c r="D1798" s="142" t="s">
        <v>5338</v>
      </c>
      <c r="E1798" s="84" t="s">
        <v>5341</v>
      </c>
      <c r="F1798" s="113"/>
      <c r="G1798" s="131"/>
      <c r="H1798" s="186" t="s">
        <v>5268</v>
      </c>
      <c r="I1798" s="125" t="s">
        <v>326</v>
      </c>
      <c r="J1798" s="125" t="s">
        <v>352</v>
      </c>
      <c r="K1798" s="125" t="s">
        <v>597</v>
      </c>
      <c r="L1798" s="125" t="s">
        <v>507</v>
      </c>
      <c r="M1798" s="125" t="s">
        <v>508</v>
      </c>
    </row>
    <row r="1799" spans="1:13" s="114" customFormat="1" ht="51">
      <c r="A1799" s="136">
        <v>1797</v>
      </c>
      <c r="B1799" s="136" t="s">
        <v>5342</v>
      </c>
      <c r="C1799" s="136">
        <v>5</v>
      </c>
      <c r="D1799" s="142" t="s">
        <v>5338</v>
      </c>
      <c r="E1799" s="84" t="s">
        <v>5343</v>
      </c>
      <c r="F1799" s="113"/>
      <c r="G1799" s="131"/>
      <c r="H1799" s="186" t="s">
        <v>5242</v>
      </c>
      <c r="I1799" s="125" t="s">
        <v>326</v>
      </c>
      <c r="J1799" s="125" t="s">
        <v>346</v>
      </c>
      <c r="K1799" s="125" t="s">
        <v>761</v>
      </c>
      <c r="L1799" s="125" t="s">
        <v>507</v>
      </c>
      <c r="M1799" s="125" t="s">
        <v>508</v>
      </c>
    </row>
    <row r="1800" spans="1:13" s="114" customFormat="1" ht="51">
      <c r="A1800" s="136">
        <v>1798</v>
      </c>
      <c r="B1800" s="136" t="s">
        <v>5344</v>
      </c>
      <c r="C1800" s="136">
        <v>5</v>
      </c>
      <c r="D1800" s="142" t="s">
        <v>5338</v>
      </c>
      <c r="E1800" s="84" t="s">
        <v>5345</v>
      </c>
      <c r="F1800" s="113"/>
      <c r="G1800" s="131"/>
      <c r="H1800" s="186" t="s">
        <v>5346</v>
      </c>
      <c r="I1800" s="125" t="s">
        <v>326</v>
      </c>
      <c r="J1800" s="125" t="s">
        <v>346</v>
      </c>
      <c r="K1800" s="125" t="s">
        <v>761</v>
      </c>
      <c r="L1800" s="125" t="s">
        <v>507</v>
      </c>
      <c r="M1800" s="125" t="s">
        <v>508</v>
      </c>
    </row>
    <row r="1801" spans="1:13" s="114" customFormat="1" ht="38.25">
      <c r="A1801" s="136">
        <v>1799</v>
      </c>
      <c r="B1801" s="136" t="s">
        <v>5347</v>
      </c>
      <c r="C1801" s="136">
        <v>5</v>
      </c>
      <c r="D1801" s="142" t="s">
        <v>5348</v>
      </c>
      <c r="E1801" s="84" t="s">
        <v>5349</v>
      </c>
      <c r="F1801" s="113"/>
      <c r="G1801" s="131"/>
      <c r="H1801" s="186" t="s">
        <v>5249</v>
      </c>
      <c r="I1801" s="125" t="s">
        <v>326</v>
      </c>
      <c r="J1801" s="125" t="s">
        <v>331</v>
      </c>
      <c r="K1801" s="125" t="s">
        <v>512</v>
      </c>
      <c r="L1801" s="125" t="s">
        <v>507</v>
      </c>
      <c r="M1801" s="125" t="s">
        <v>508</v>
      </c>
    </row>
    <row r="1802" spans="1:13" s="114" customFormat="1" ht="38.25">
      <c r="A1802" s="136">
        <v>1800</v>
      </c>
      <c r="B1802" s="136" t="s">
        <v>5350</v>
      </c>
      <c r="C1802" s="136">
        <v>5</v>
      </c>
      <c r="D1802" s="142" t="s">
        <v>5348</v>
      </c>
      <c r="E1802" s="84" t="s">
        <v>5351</v>
      </c>
      <c r="F1802" s="113"/>
      <c r="G1802" s="131"/>
      <c r="H1802" s="186" t="s">
        <v>5344</v>
      </c>
      <c r="I1802" s="125" t="s">
        <v>326</v>
      </c>
      <c r="J1802" s="125" t="s">
        <v>346</v>
      </c>
      <c r="K1802" s="125" t="s">
        <v>761</v>
      </c>
      <c r="L1802" s="125" t="s">
        <v>507</v>
      </c>
      <c r="M1802" s="125" t="s">
        <v>508</v>
      </c>
    </row>
    <row r="1803" spans="1:13" s="114" customFormat="1" ht="38.25">
      <c r="A1803" s="136">
        <v>1801</v>
      </c>
      <c r="B1803" s="129" t="s">
        <v>5352</v>
      </c>
      <c r="C1803" s="129" t="s">
        <v>5353</v>
      </c>
      <c r="D1803" s="142" t="s">
        <v>5354</v>
      </c>
      <c r="E1803" s="84" t="s">
        <v>5355</v>
      </c>
      <c r="F1803" s="113"/>
      <c r="G1803" s="131"/>
      <c r="H1803" s="186" t="s">
        <v>5356</v>
      </c>
      <c r="I1803" s="125" t="s">
        <v>326</v>
      </c>
      <c r="J1803" s="125" t="s">
        <v>331</v>
      </c>
      <c r="K1803" s="125" t="s">
        <v>1178</v>
      </c>
      <c r="L1803" s="125" t="s">
        <v>507</v>
      </c>
      <c r="M1803" s="125" t="s">
        <v>508</v>
      </c>
    </row>
    <row r="1804" spans="1:13" s="114" customFormat="1" ht="25.5">
      <c r="A1804" s="136">
        <v>1802</v>
      </c>
      <c r="B1804" s="136" t="s">
        <v>5357</v>
      </c>
      <c r="C1804" s="129" t="s">
        <v>5358</v>
      </c>
      <c r="D1804" s="142" t="s">
        <v>5359</v>
      </c>
      <c r="E1804" s="84" t="s">
        <v>5360</v>
      </c>
      <c r="F1804" s="113"/>
      <c r="G1804" s="131"/>
      <c r="H1804" s="186" t="s">
        <v>5352</v>
      </c>
      <c r="I1804" s="125" t="s">
        <v>326</v>
      </c>
      <c r="J1804" s="125" t="s">
        <v>331</v>
      </c>
      <c r="K1804" s="125" t="s">
        <v>1178</v>
      </c>
      <c r="L1804" s="125" t="s">
        <v>507</v>
      </c>
      <c r="M1804" s="125" t="s">
        <v>508</v>
      </c>
    </row>
    <row r="1805" spans="1:13" s="114" customFormat="1" ht="38.25">
      <c r="A1805" s="136">
        <v>1803</v>
      </c>
      <c r="B1805" s="129" t="s">
        <v>5361</v>
      </c>
      <c r="C1805" s="129" t="s">
        <v>5358</v>
      </c>
      <c r="D1805" s="142" t="s">
        <v>5359</v>
      </c>
      <c r="E1805" s="84" t="s">
        <v>5362</v>
      </c>
      <c r="F1805" s="113"/>
      <c r="G1805" s="131"/>
      <c r="H1805" s="186" t="s">
        <v>1983</v>
      </c>
      <c r="I1805" s="125" t="s">
        <v>326</v>
      </c>
      <c r="J1805" s="125" t="s">
        <v>341</v>
      </c>
      <c r="K1805" s="125" t="s">
        <v>570</v>
      </c>
      <c r="L1805" s="125" t="s">
        <v>507</v>
      </c>
      <c r="M1805" s="125" t="s">
        <v>508</v>
      </c>
    </row>
    <row r="1806" spans="1:13" s="114" customFormat="1" ht="38.25">
      <c r="A1806" s="136">
        <v>1804</v>
      </c>
      <c r="B1806" s="136" t="s">
        <v>5363</v>
      </c>
      <c r="C1806" s="129" t="s">
        <v>5358</v>
      </c>
      <c r="D1806" s="142" t="s">
        <v>5359</v>
      </c>
      <c r="E1806" s="84" t="s">
        <v>5364</v>
      </c>
      <c r="F1806" s="113"/>
      <c r="G1806" s="131"/>
      <c r="H1806" s="186" t="s">
        <v>5352</v>
      </c>
      <c r="I1806" s="125" t="s">
        <v>326</v>
      </c>
      <c r="J1806" s="125" t="s">
        <v>331</v>
      </c>
      <c r="K1806" s="125" t="s">
        <v>1178</v>
      </c>
      <c r="L1806" s="125" t="s">
        <v>507</v>
      </c>
      <c r="M1806" s="125" t="s">
        <v>508</v>
      </c>
    </row>
    <row r="1807" spans="1:13" s="114" customFormat="1" ht="51">
      <c r="A1807" s="136">
        <v>1805</v>
      </c>
      <c r="B1807" s="129" t="s">
        <v>5365</v>
      </c>
      <c r="C1807" s="150" t="s">
        <v>5358</v>
      </c>
      <c r="D1807" s="142" t="s">
        <v>5359</v>
      </c>
      <c r="E1807" s="84" t="s">
        <v>5366</v>
      </c>
      <c r="F1807" s="113"/>
      <c r="G1807" s="131"/>
      <c r="H1807" s="186" t="s">
        <v>5352</v>
      </c>
      <c r="I1807" s="125" t="s">
        <v>326</v>
      </c>
      <c r="J1807" s="125" t="s">
        <v>331</v>
      </c>
      <c r="K1807" s="125" t="s">
        <v>1178</v>
      </c>
      <c r="L1807" s="125" t="s">
        <v>507</v>
      </c>
      <c r="M1807" s="125" t="s">
        <v>508</v>
      </c>
    </row>
    <row r="1808" spans="1:13" s="114" customFormat="1" ht="25.5">
      <c r="A1808" s="136">
        <v>1806</v>
      </c>
      <c r="B1808" s="136" t="s">
        <v>5367</v>
      </c>
      <c r="C1808" s="129" t="s">
        <v>5358</v>
      </c>
      <c r="D1808" s="142" t="s">
        <v>5359</v>
      </c>
      <c r="E1808" s="84" t="s">
        <v>5368</v>
      </c>
      <c r="F1808" s="113"/>
      <c r="G1808" s="131"/>
      <c r="H1808" s="186" t="s">
        <v>5352</v>
      </c>
      <c r="I1808" s="125" t="s">
        <v>326</v>
      </c>
      <c r="J1808" s="125" t="s">
        <v>331</v>
      </c>
      <c r="K1808" s="125" t="s">
        <v>1178</v>
      </c>
      <c r="L1808" s="125" t="s">
        <v>507</v>
      </c>
      <c r="M1808" s="125" t="s">
        <v>508</v>
      </c>
    </row>
    <row r="1809" spans="1:13" s="114" customFormat="1" ht="38.25">
      <c r="A1809" s="136">
        <v>1807</v>
      </c>
      <c r="B1809" s="129" t="s">
        <v>5369</v>
      </c>
      <c r="C1809" s="150" t="s">
        <v>5358</v>
      </c>
      <c r="D1809" s="142" t="s">
        <v>5359</v>
      </c>
      <c r="E1809" s="84" t="s">
        <v>5370</v>
      </c>
      <c r="F1809" s="113"/>
      <c r="G1809" s="131"/>
      <c r="H1809" s="186" t="s">
        <v>653</v>
      </c>
      <c r="I1809" s="125" t="s">
        <v>326</v>
      </c>
      <c r="J1809" s="125" t="s">
        <v>331</v>
      </c>
      <c r="K1809" s="125" t="s">
        <v>506</v>
      </c>
      <c r="L1809" s="125" t="s">
        <v>507</v>
      </c>
      <c r="M1809" s="125" t="s">
        <v>508</v>
      </c>
    </row>
    <row r="1810" spans="1:13" s="114" customFormat="1" ht="25.5">
      <c r="A1810" s="136">
        <v>1808</v>
      </c>
      <c r="B1810" s="136" t="s">
        <v>5371</v>
      </c>
      <c r="C1810" s="129" t="s">
        <v>5358</v>
      </c>
      <c r="D1810" s="142" t="s">
        <v>5359</v>
      </c>
      <c r="E1810" s="84" t="s">
        <v>5372</v>
      </c>
      <c r="F1810" s="113"/>
      <c r="G1810" s="131"/>
      <c r="H1810" s="186" t="s">
        <v>5352</v>
      </c>
      <c r="I1810" s="125" t="s">
        <v>326</v>
      </c>
      <c r="J1810" s="125" t="s">
        <v>331</v>
      </c>
      <c r="K1810" s="125" t="s">
        <v>1178</v>
      </c>
      <c r="L1810" s="125" t="s">
        <v>507</v>
      </c>
      <c r="M1810" s="125" t="s">
        <v>508</v>
      </c>
    </row>
    <row r="1811" spans="1:13" s="114" customFormat="1" ht="38.25">
      <c r="A1811" s="136">
        <v>1809</v>
      </c>
      <c r="B1811" s="136" t="s">
        <v>5373</v>
      </c>
      <c r="C1811" s="129" t="s">
        <v>5358</v>
      </c>
      <c r="D1811" s="142" t="s">
        <v>5359</v>
      </c>
      <c r="E1811" s="84" t="s">
        <v>5374</v>
      </c>
      <c r="F1811" s="113"/>
      <c r="G1811" s="131"/>
      <c r="H1811" s="186" t="s">
        <v>5352</v>
      </c>
      <c r="I1811" s="125" t="s">
        <v>326</v>
      </c>
      <c r="J1811" s="125" t="s">
        <v>331</v>
      </c>
      <c r="K1811" s="125" t="s">
        <v>1178</v>
      </c>
      <c r="L1811" s="125" t="s">
        <v>507</v>
      </c>
      <c r="M1811" s="125" t="s">
        <v>508</v>
      </c>
    </row>
    <row r="1812" spans="1:13" s="114" customFormat="1" ht="25.5">
      <c r="A1812" s="136">
        <v>1810</v>
      </c>
      <c r="B1812" s="129" t="s">
        <v>5375</v>
      </c>
      <c r="C1812" s="129" t="s">
        <v>5358</v>
      </c>
      <c r="D1812" s="142" t="s">
        <v>5359</v>
      </c>
      <c r="E1812" s="84" t="s">
        <v>5376</v>
      </c>
      <c r="F1812" s="113"/>
      <c r="G1812" s="131"/>
      <c r="H1812" s="186" t="s">
        <v>4503</v>
      </c>
      <c r="I1812" s="125" t="s">
        <v>326</v>
      </c>
      <c r="J1812" s="125" t="s">
        <v>331</v>
      </c>
      <c r="K1812" s="125" t="s">
        <v>1178</v>
      </c>
      <c r="L1812" s="125" t="s">
        <v>315</v>
      </c>
      <c r="M1812" s="125" t="s">
        <v>508</v>
      </c>
    </row>
    <row r="1813" spans="1:13" s="114" customFormat="1" ht="38.25">
      <c r="A1813" s="136">
        <v>1811</v>
      </c>
      <c r="B1813" s="136" t="s">
        <v>5377</v>
      </c>
      <c r="C1813" s="129" t="s">
        <v>5358</v>
      </c>
      <c r="D1813" s="142" t="s">
        <v>5359</v>
      </c>
      <c r="E1813" s="84" t="s">
        <v>5378</v>
      </c>
      <c r="F1813" s="113"/>
      <c r="G1813" s="131"/>
      <c r="H1813" s="186" t="s">
        <v>3038</v>
      </c>
      <c r="I1813" s="125" t="s">
        <v>326</v>
      </c>
      <c r="J1813" s="125" t="s">
        <v>331</v>
      </c>
      <c r="K1813" s="125" t="s">
        <v>1178</v>
      </c>
      <c r="L1813" s="125" t="s">
        <v>507</v>
      </c>
      <c r="M1813" s="125" t="s">
        <v>508</v>
      </c>
    </row>
    <row r="1814" spans="1:13" s="114" customFormat="1" ht="38.25">
      <c r="A1814" s="136">
        <v>1812</v>
      </c>
      <c r="B1814" s="129" t="s">
        <v>5379</v>
      </c>
      <c r="C1814" s="129" t="s">
        <v>5358</v>
      </c>
      <c r="D1814" s="142" t="s">
        <v>5359</v>
      </c>
      <c r="E1814" s="84" t="s">
        <v>5380</v>
      </c>
      <c r="F1814" s="113"/>
      <c r="G1814" s="131"/>
      <c r="H1814" s="186" t="s">
        <v>1474</v>
      </c>
      <c r="I1814" s="125" t="s">
        <v>326</v>
      </c>
      <c r="J1814" s="125" t="s">
        <v>341</v>
      </c>
      <c r="K1814" s="125" t="s">
        <v>580</v>
      </c>
      <c r="L1814" s="125" t="s">
        <v>507</v>
      </c>
      <c r="M1814" s="125" t="s">
        <v>508</v>
      </c>
    </row>
    <row r="1815" spans="1:13" s="114" customFormat="1" ht="38.25">
      <c r="A1815" s="136">
        <v>1813</v>
      </c>
      <c r="B1815" s="136" t="s">
        <v>5381</v>
      </c>
      <c r="C1815" s="129" t="s">
        <v>5358</v>
      </c>
      <c r="D1815" s="142" t="s">
        <v>5359</v>
      </c>
      <c r="E1815" s="84" t="s">
        <v>5382</v>
      </c>
      <c r="F1815" s="113"/>
      <c r="G1815" s="131"/>
      <c r="H1815" s="186" t="s">
        <v>1474</v>
      </c>
      <c r="I1815" s="125" t="s">
        <v>326</v>
      </c>
      <c r="J1815" s="125" t="s">
        <v>341</v>
      </c>
      <c r="K1815" s="125" t="s">
        <v>580</v>
      </c>
      <c r="L1815" s="125" t="s">
        <v>507</v>
      </c>
      <c r="M1815" s="125" t="s">
        <v>508</v>
      </c>
    </row>
    <row r="1816" spans="1:13" s="114" customFormat="1" ht="25.5">
      <c r="A1816" s="136">
        <v>1814</v>
      </c>
      <c r="B1816" s="129" t="s">
        <v>5383</v>
      </c>
      <c r="C1816" s="129" t="s">
        <v>5358</v>
      </c>
      <c r="D1816" s="142" t="s">
        <v>5359</v>
      </c>
      <c r="E1816" s="84" t="s">
        <v>5384</v>
      </c>
      <c r="F1816" s="113"/>
      <c r="G1816" s="131"/>
      <c r="H1816" s="186" t="s">
        <v>1474</v>
      </c>
      <c r="I1816" s="125" t="s">
        <v>326</v>
      </c>
      <c r="J1816" s="125" t="s">
        <v>341</v>
      </c>
      <c r="K1816" s="125" t="s">
        <v>580</v>
      </c>
      <c r="L1816" s="125" t="s">
        <v>507</v>
      </c>
      <c r="M1816" s="125" t="s">
        <v>508</v>
      </c>
    </row>
    <row r="1817" spans="1:13" s="114" customFormat="1" ht="25.5">
      <c r="A1817" s="136">
        <v>1815</v>
      </c>
      <c r="B1817" s="136" t="s">
        <v>5385</v>
      </c>
      <c r="C1817" s="150" t="s">
        <v>5358</v>
      </c>
      <c r="D1817" s="142" t="s">
        <v>5359</v>
      </c>
      <c r="E1817" s="84" t="s">
        <v>5386</v>
      </c>
      <c r="F1817" s="113"/>
      <c r="G1817" s="131"/>
      <c r="H1817" s="186" t="s">
        <v>1474</v>
      </c>
      <c r="I1817" s="125" t="s">
        <v>326</v>
      </c>
      <c r="J1817" s="125" t="s">
        <v>341</v>
      </c>
      <c r="K1817" s="125" t="s">
        <v>580</v>
      </c>
      <c r="L1817" s="125" t="s">
        <v>507</v>
      </c>
      <c r="M1817" s="125" t="s">
        <v>508</v>
      </c>
    </row>
    <row r="1818" spans="1:13" s="114" customFormat="1" ht="38.25">
      <c r="A1818" s="136">
        <v>1816</v>
      </c>
      <c r="B1818" s="136" t="s">
        <v>5387</v>
      </c>
      <c r="C1818" s="129" t="s">
        <v>5388</v>
      </c>
      <c r="D1818" s="142" t="s">
        <v>5389</v>
      </c>
      <c r="E1818" s="84" t="s">
        <v>5390</v>
      </c>
      <c r="F1818" s="113"/>
      <c r="G1818" s="131"/>
      <c r="H1818" s="186" t="s">
        <v>5352</v>
      </c>
      <c r="I1818" s="125" t="s">
        <v>326</v>
      </c>
      <c r="J1818" s="125" t="s">
        <v>331</v>
      </c>
      <c r="K1818" s="125" t="s">
        <v>1178</v>
      </c>
      <c r="L1818" s="125" t="s">
        <v>507</v>
      </c>
      <c r="M1818" s="125" t="s">
        <v>508</v>
      </c>
    </row>
    <row r="1819" spans="1:13" s="114" customFormat="1" ht="25.5">
      <c r="A1819" s="136">
        <v>1817</v>
      </c>
      <c r="B1819" s="129" t="s">
        <v>5391</v>
      </c>
      <c r="C1819" s="150" t="s">
        <v>5388</v>
      </c>
      <c r="D1819" s="142" t="s">
        <v>5389</v>
      </c>
      <c r="E1819" s="84" t="s">
        <v>5392</v>
      </c>
      <c r="F1819" s="113"/>
      <c r="G1819" s="131"/>
      <c r="H1819" s="186" t="s">
        <v>3038</v>
      </c>
      <c r="I1819" s="125" t="s">
        <v>326</v>
      </c>
      <c r="J1819" s="125" t="s">
        <v>331</v>
      </c>
      <c r="K1819" s="125" t="s">
        <v>1178</v>
      </c>
      <c r="L1819" s="125" t="s">
        <v>507</v>
      </c>
      <c r="M1819" s="125" t="s">
        <v>508</v>
      </c>
    </row>
    <row r="1820" spans="1:13" s="114" customFormat="1" ht="25.5">
      <c r="A1820" s="136">
        <v>1818</v>
      </c>
      <c r="B1820" s="136" t="s">
        <v>5393</v>
      </c>
      <c r="C1820" s="129" t="s">
        <v>5388</v>
      </c>
      <c r="D1820" s="142" t="s">
        <v>5389</v>
      </c>
      <c r="E1820" s="84" t="s">
        <v>5394</v>
      </c>
      <c r="F1820" s="113"/>
      <c r="G1820" s="131"/>
      <c r="H1820" s="186" t="s">
        <v>5352</v>
      </c>
      <c r="I1820" s="125" t="s">
        <v>326</v>
      </c>
      <c r="J1820" s="125" t="s">
        <v>331</v>
      </c>
      <c r="K1820" s="125" t="s">
        <v>1178</v>
      </c>
      <c r="L1820" s="125" t="s">
        <v>507</v>
      </c>
      <c r="M1820" s="125" t="s">
        <v>508</v>
      </c>
    </row>
    <row r="1821" spans="1:13" s="114" customFormat="1" ht="38.25">
      <c r="A1821" s="136">
        <v>1819</v>
      </c>
      <c r="B1821" s="129" t="s">
        <v>5395</v>
      </c>
      <c r="C1821" s="129" t="s">
        <v>5396</v>
      </c>
      <c r="D1821" s="142" t="s">
        <v>5397</v>
      </c>
      <c r="E1821" s="84" t="s">
        <v>5398</v>
      </c>
      <c r="F1821" s="113"/>
      <c r="G1821" s="131"/>
      <c r="H1821" s="186" t="s">
        <v>5352</v>
      </c>
      <c r="I1821" s="125" t="s">
        <v>326</v>
      </c>
      <c r="J1821" s="125" t="s">
        <v>331</v>
      </c>
      <c r="K1821" s="125" t="s">
        <v>1178</v>
      </c>
      <c r="L1821" s="125" t="s">
        <v>507</v>
      </c>
      <c r="M1821" s="125" t="s">
        <v>508</v>
      </c>
    </row>
    <row r="1822" spans="1:13" s="114" customFormat="1" ht="25.5">
      <c r="A1822" s="136">
        <v>1820</v>
      </c>
      <c r="B1822" s="136" t="s">
        <v>5399</v>
      </c>
      <c r="C1822" s="129" t="s">
        <v>5396</v>
      </c>
      <c r="D1822" s="142" t="s">
        <v>5397</v>
      </c>
      <c r="E1822" s="84" t="s">
        <v>5400</v>
      </c>
      <c r="F1822" s="113"/>
      <c r="G1822" s="131"/>
      <c r="H1822" s="186" t="s">
        <v>1474</v>
      </c>
      <c r="I1822" s="125" t="s">
        <v>326</v>
      </c>
      <c r="J1822" s="125" t="s">
        <v>341</v>
      </c>
      <c r="K1822" s="125" t="s">
        <v>580</v>
      </c>
      <c r="L1822" s="125" t="s">
        <v>507</v>
      </c>
      <c r="M1822" s="125" t="s">
        <v>508</v>
      </c>
    </row>
    <row r="1823" spans="1:13" s="114" customFormat="1" ht="38.25">
      <c r="A1823" s="136">
        <v>1821</v>
      </c>
      <c r="B1823" s="129" t="s">
        <v>5401</v>
      </c>
      <c r="C1823" s="129" t="s">
        <v>5402</v>
      </c>
      <c r="D1823" s="142" t="s">
        <v>5403</v>
      </c>
      <c r="E1823" s="84" t="s">
        <v>5404</v>
      </c>
      <c r="F1823" s="113"/>
      <c r="G1823" s="131"/>
      <c r="H1823" s="186" t="s">
        <v>1796</v>
      </c>
      <c r="I1823" s="125" t="s">
        <v>326</v>
      </c>
      <c r="J1823" s="125" t="s">
        <v>352</v>
      </c>
      <c r="K1823" s="125" t="s">
        <v>597</v>
      </c>
      <c r="L1823" s="125" t="s">
        <v>507</v>
      </c>
      <c r="M1823" s="125" t="s">
        <v>508</v>
      </c>
    </row>
    <row r="1824" spans="1:13" s="114" customFormat="1" ht="25.5">
      <c r="A1824" s="136">
        <v>1822</v>
      </c>
      <c r="B1824" s="136" t="s">
        <v>5405</v>
      </c>
      <c r="C1824" s="129" t="s">
        <v>5402</v>
      </c>
      <c r="D1824" s="142" t="s">
        <v>5403</v>
      </c>
      <c r="E1824" s="84" t="s">
        <v>5406</v>
      </c>
      <c r="F1824" s="113"/>
      <c r="G1824" s="131"/>
      <c r="H1824" s="186" t="s">
        <v>1796</v>
      </c>
      <c r="I1824" s="125" t="s">
        <v>326</v>
      </c>
      <c r="J1824" s="125" t="s">
        <v>352</v>
      </c>
      <c r="K1824" s="125" t="s">
        <v>597</v>
      </c>
      <c r="L1824" s="125" t="s">
        <v>507</v>
      </c>
      <c r="M1824" s="125" t="s">
        <v>508</v>
      </c>
    </row>
    <row r="1825" spans="1:13" s="114" customFormat="1" ht="25.5">
      <c r="A1825" s="136">
        <v>1823</v>
      </c>
      <c r="B1825" s="129" t="s">
        <v>5407</v>
      </c>
      <c r="C1825" s="150" t="s">
        <v>5402</v>
      </c>
      <c r="D1825" s="142" t="s">
        <v>5403</v>
      </c>
      <c r="E1825" s="84" t="s">
        <v>5408</v>
      </c>
      <c r="F1825" s="113"/>
      <c r="G1825" s="131"/>
      <c r="H1825" s="186" t="s">
        <v>1796</v>
      </c>
      <c r="I1825" s="125" t="s">
        <v>326</v>
      </c>
      <c r="J1825" s="125" t="s">
        <v>352</v>
      </c>
      <c r="K1825" s="125" t="s">
        <v>597</v>
      </c>
      <c r="L1825" s="125" t="s">
        <v>507</v>
      </c>
      <c r="M1825" s="125" t="s">
        <v>508</v>
      </c>
    </row>
    <row r="1826" spans="1:13" s="114" customFormat="1" ht="51">
      <c r="A1826" s="136">
        <v>1824</v>
      </c>
      <c r="B1826" s="136" t="s">
        <v>5409</v>
      </c>
      <c r="C1826" s="129" t="s">
        <v>5402</v>
      </c>
      <c r="D1826" s="142" t="s">
        <v>5403</v>
      </c>
      <c r="E1826" s="84" t="s">
        <v>5410</v>
      </c>
      <c r="F1826" s="113"/>
      <c r="G1826" s="131"/>
      <c r="H1826" s="186" t="s">
        <v>1179</v>
      </c>
      <c r="I1826" s="125" t="s">
        <v>326</v>
      </c>
      <c r="J1826" s="125" t="s">
        <v>331</v>
      </c>
      <c r="K1826" s="125" t="s">
        <v>530</v>
      </c>
      <c r="L1826" s="125" t="s">
        <v>507</v>
      </c>
      <c r="M1826" s="125" t="s">
        <v>508</v>
      </c>
    </row>
    <row r="1827" spans="1:13" s="114" customFormat="1" ht="25.5">
      <c r="A1827" s="136">
        <v>1825</v>
      </c>
      <c r="B1827" s="129" t="s">
        <v>5411</v>
      </c>
      <c r="C1827" s="129" t="s">
        <v>5402</v>
      </c>
      <c r="D1827" s="142" t="s">
        <v>5403</v>
      </c>
      <c r="E1827" s="84" t="s">
        <v>5412</v>
      </c>
      <c r="F1827" s="113"/>
      <c r="G1827" s="131"/>
      <c r="H1827" s="186" t="s">
        <v>1983</v>
      </c>
      <c r="I1827" s="125" t="s">
        <v>326</v>
      </c>
      <c r="J1827" s="125" t="s">
        <v>341</v>
      </c>
      <c r="K1827" s="125" t="s">
        <v>570</v>
      </c>
      <c r="L1827" s="125" t="s">
        <v>507</v>
      </c>
      <c r="M1827" s="125" t="s">
        <v>508</v>
      </c>
    </row>
    <row r="1828" spans="1:13" s="114" customFormat="1" ht="51">
      <c r="A1828" s="136">
        <v>1826</v>
      </c>
      <c r="B1828" s="129" t="s">
        <v>5413</v>
      </c>
      <c r="C1828" s="129" t="s">
        <v>5402</v>
      </c>
      <c r="D1828" s="142" t="s">
        <v>5403</v>
      </c>
      <c r="E1828" s="84" t="s">
        <v>5414</v>
      </c>
      <c r="F1828" s="113"/>
      <c r="G1828" s="131"/>
      <c r="H1828" s="186" t="s">
        <v>3038</v>
      </c>
      <c r="I1828" s="125" t="s">
        <v>326</v>
      </c>
      <c r="J1828" s="125" t="s">
        <v>331</v>
      </c>
      <c r="K1828" s="125" t="s">
        <v>1178</v>
      </c>
      <c r="L1828" s="125" t="s">
        <v>507</v>
      </c>
      <c r="M1828" s="125" t="s">
        <v>508</v>
      </c>
    </row>
    <row r="1829" spans="1:13" s="114" customFormat="1" ht="38.25">
      <c r="A1829" s="136">
        <v>1827</v>
      </c>
      <c r="B1829" s="129" t="s">
        <v>5415</v>
      </c>
      <c r="C1829" s="129" t="s">
        <v>5416</v>
      </c>
      <c r="D1829" s="142" t="s">
        <v>5417</v>
      </c>
      <c r="E1829" s="84" t="s">
        <v>5418</v>
      </c>
      <c r="F1829" s="113"/>
      <c r="G1829" s="131"/>
      <c r="H1829" s="186" t="s">
        <v>5352</v>
      </c>
      <c r="I1829" s="125" t="s">
        <v>326</v>
      </c>
      <c r="J1829" s="125" t="s">
        <v>331</v>
      </c>
      <c r="K1829" s="125" t="s">
        <v>1178</v>
      </c>
      <c r="L1829" s="125" t="s">
        <v>507</v>
      </c>
      <c r="M1829" s="125" t="s">
        <v>508</v>
      </c>
    </row>
    <row r="1830" spans="1:13" s="114" customFormat="1" ht="25.5">
      <c r="A1830" s="136">
        <v>1828</v>
      </c>
      <c r="B1830" s="136" t="s">
        <v>5419</v>
      </c>
      <c r="C1830" s="129" t="s">
        <v>5420</v>
      </c>
      <c r="D1830" s="142" t="s">
        <v>5421</v>
      </c>
      <c r="E1830" s="84" t="s">
        <v>5422</v>
      </c>
      <c r="F1830" s="113"/>
      <c r="G1830" s="131"/>
      <c r="H1830" s="186" t="s">
        <v>5423</v>
      </c>
      <c r="I1830" s="125" t="s">
        <v>326</v>
      </c>
      <c r="J1830" s="125" t="s">
        <v>331</v>
      </c>
      <c r="K1830" s="125" t="s">
        <v>1178</v>
      </c>
      <c r="L1830" s="125" t="s">
        <v>507</v>
      </c>
      <c r="M1830" s="125" t="s">
        <v>508</v>
      </c>
    </row>
    <row r="1831" spans="1:13" s="114" customFormat="1" ht="38.25">
      <c r="A1831" s="136">
        <v>1829</v>
      </c>
      <c r="B1831" s="136" t="s">
        <v>5424</v>
      </c>
      <c r="C1831" s="129" t="s">
        <v>5420</v>
      </c>
      <c r="D1831" s="142" t="s">
        <v>5421</v>
      </c>
      <c r="E1831" s="84" t="s">
        <v>5425</v>
      </c>
      <c r="F1831" s="113"/>
      <c r="G1831" s="131"/>
      <c r="H1831" s="186" t="s">
        <v>5419</v>
      </c>
      <c r="I1831" s="125" t="s">
        <v>326</v>
      </c>
      <c r="J1831" s="125" t="s">
        <v>331</v>
      </c>
      <c r="K1831" s="125" t="s">
        <v>1178</v>
      </c>
      <c r="L1831" s="125" t="s">
        <v>507</v>
      </c>
      <c r="M1831" s="125" t="s">
        <v>508</v>
      </c>
    </row>
    <row r="1832" spans="1:13" s="114" customFormat="1" ht="25.5">
      <c r="A1832" s="136">
        <v>1830</v>
      </c>
      <c r="B1832" s="129" t="s">
        <v>5426</v>
      </c>
      <c r="C1832" s="129" t="s">
        <v>5427</v>
      </c>
      <c r="D1832" s="142" t="s">
        <v>5428</v>
      </c>
      <c r="E1832" s="84" t="s">
        <v>5429</v>
      </c>
      <c r="F1832" s="113"/>
      <c r="G1832" s="131"/>
      <c r="H1832" s="186" t="s">
        <v>5430</v>
      </c>
      <c r="I1832" s="125" t="s">
        <v>326</v>
      </c>
      <c r="J1832" s="125" t="s">
        <v>341</v>
      </c>
      <c r="K1832" s="125" t="s">
        <v>580</v>
      </c>
      <c r="L1832" s="125" t="s">
        <v>507</v>
      </c>
      <c r="M1832" s="125" t="s">
        <v>508</v>
      </c>
    </row>
    <row r="1833" spans="1:13" s="114" customFormat="1" ht="25.5">
      <c r="A1833" s="136">
        <v>1831</v>
      </c>
      <c r="B1833" s="136" t="s">
        <v>5431</v>
      </c>
      <c r="C1833" s="129" t="s">
        <v>5427</v>
      </c>
      <c r="D1833" s="142" t="s">
        <v>5428</v>
      </c>
      <c r="E1833" s="84" t="s">
        <v>5432</v>
      </c>
      <c r="F1833" s="113"/>
      <c r="G1833" s="131"/>
      <c r="H1833" s="186" t="s">
        <v>896</v>
      </c>
      <c r="I1833" s="125" t="s">
        <v>326</v>
      </c>
      <c r="J1833" s="125" t="s">
        <v>341</v>
      </c>
      <c r="K1833" s="125" t="s">
        <v>580</v>
      </c>
      <c r="L1833" s="125" t="s">
        <v>507</v>
      </c>
      <c r="M1833" s="125" t="s">
        <v>508</v>
      </c>
    </row>
    <row r="1834" spans="1:13" s="114" customFormat="1" ht="25.5">
      <c r="A1834" s="136">
        <v>1832</v>
      </c>
      <c r="B1834" s="129" t="s">
        <v>5433</v>
      </c>
      <c r="C1834" s="129" t="s">
        <v>5427</v>
      </c>
      <c r="D1834" s="142" t="s">
        <v>5428</v>
      </c>
      <c r="E1834" s="84" t="s">
        <v>5434</v>
      </c>
      <c r="F1834" s="113"/>
      <c r="G1834" s="131"/>
      <c r="H1834" s="186" t="s">
        <v>3038</v>
      </c>
      <c r="I1834" s="125" t="s">
        <v>326</v>
      </c>
      <c r="J1834" s="125" t="s">
        <v>331</v>
      </c>
      <c r="K1834" s="125" t="s">
        <v>1178</v>
      </c>
      <c r="L1834" s="125" t="s">
        <v>507</v>
      </c>
      <c r="M1834" s="125" t="s">
        <v>508</v>
      </c>
    </row>
    <row r="1835" spans="1:13" s="114" customFormat="1" ht="25.5">
      <c r="A1835" s="136">
        <v>1833</v>
      </c>
      <c r="B1835" s="129" t="s">
        <v>5435</v>
      </c>
      <c r="C1835" s="129" t="s">
        <v>5436</v>
      </c>
      <c r="D1835" s="142" t="s">
        <v>5437</v>
      </c>
      <c r="E1835" s="84" t="s">
        <v>5438</v>
      </c>
      <c r="F1835" s="113"/>
      <c r="G1835" s="131"/>
      <c r="H1835" s="186" t="s">
        <v>5419</v>
      </c>
      <c r="I1835" s="125" t="s">
        <v>326</v>
      </c>
      <c r="J1835" s="125" t="s">
        <v>331</v>
      </c>
      <c r="K1835" s="125" t="s">
        <v>1178</v>
      </c>
      <c r="L1835" s="125" t="s">
        <v>507</v>
      </c>
      <c r="M1835" s="125" t="s">
        <v>508</v>
      </c>
    </row>
    <row r="1836" spans="1:13" s="114" customFormat="1" ht="38.25">
      <c r="A1836" s="136">
        <v>1834</v>
      </c>
      <c r="B1836" s="136" t="s">
        <v>5439</v>
      </c>
      <c r="C1836" s="129" t="s">
        <v>5440</v>
      </c>
      <c r="D1836" s="142" t="s">
        <v>5441</v>
      </c>
      <c r="E1836" s="84" t="s">
        <v>5442</v>
      </c>
      <c r="F1836" s="113"/>
      <c r="G1836" s="131"/>
      <c r="H1836" s="186" t="s">
        <v>5419</v>
      </c>
      <c r="I1836" s="125" t="s">
        <v>326</v>
      </c>
      <c r="J1836" s="125" t="s">
        <v>331</v>
      </c>
      <c r="K1836" s="125" t="s">
        <v>1178</v>
      </c>
      <c r="L1836" s="125" t="s">
        <v>507</v>
      </c>
      <c r="M1836" s="125" t="s">
        <v>508</v>
      </c>
    </row>
    <row r="1837" spans="1:13" s="114" customFormat="1" ht="25.5">
      <c r="A1837" s="136">
        <v>1835</v>
      </c>
      <c r="B1837" s="136" t="s">
        <v>5443</v>
      </c>
      <c r="C1837" s="129" t="s">
        <v>5440</v>
      </c>
      <c r="D1837" s="142" t="s">
        <v>5441</v>
      </c>
      <c r="E1837" s="84" t="s">
        <v>5444</v>
      </c>
      <c r="F1837" s="113"/>
      <c r="G1837" s="131"/>
      <c r="H1837" s="186" t="s">
        <v>5419</v>
      </c>
      <c r="I1837" s="125" t="s">
        <v>326</v>
      </c>
      <c r="J1837" s="125" t="s">
        <v>331</v>
      </c>
      <c r="K1837" s="125" t="s">
        <v>1178</v>
      </c>
      <c r="L1837" s="125" t="s">
        <v>507</v>
      </c>
      <c r="M1837" s="125" t="s">
        <v>508</v>
      </c>
    </row>
    <row r="1838" spans="1:13" s="114" customFormat="1" ht="25.5">
      <c r="A1838" s="136">
        <v>1836</v>
      </c>
      <c r="B1838" s="129" t="s">
        <v>5445</v>
      </c>
      <c r="C1838" s="129" t="s">
        <v>5440</v>
      </c>
      <c r="D1838" s="142" t="s">
        <v>5441</v>
      </c>
      <c r="E1838" s="84" t="s">
        <v>5446</v>
      </c>
      <c r="F1838" s="113"/>
      <c r="G1838" s="131"/>
      <c r="H1838" s="186" t="s">
        <v>5419</v>
      </c>
      <c r="I1838" s="125" t="s">
        <v>326</v>
      </c>
      <c r="J1838" s="125" t="s">
        <v>331</v>
      </c>
      <c r="K1838" s="125" t="s">
        <v>1178</v>
      </c>
      <c r="L1838" s="125" t="s">
        <v>507</v>
      </c>
      <c r="M1838" s="125" t="s">
        <v>508</v>
      </c>
    </row>
    <row r="1839" spans="1:13" s="114" customFormat="1" ht="38.25">
      <c r="A1839" s="136">
        <v>1837</v>
      </c>
      <c r="B1839" s="136" t="s">
        <v>5447</v>
      </c>
      <c r="C1839" s="129" t="s">
        <v>5440</v>
      </c>
      <c r="D1839" s="142" t="s">
        <v>5441</v>
      </c>
      <c r="E1839" s="84" t="s">
        <v>5448</v>
      </c>
      <c r="F1839" s="113"/>
      <c r="G1839" s="131"/>
      <c r="H1839" s="186" t="s">
        <v>5419</v>
      </c>
      <c r="I1839" s="125" t="s">
        <v>326</v>
      </c>
      <c r="J1839" s="125" t="s">
        <v>331</v>
      </c>
      <c r="K1839" s="125" t="s">
        <v>1178</v>
      </c>
      <c r="L1839" s="125" t="s">
        <v>507</v>
      </c>
      <c r="M1839" s="125" t="s">
        <v>508</v>
      </c>
    </row>
    <row r="1840" spans="1:13" s="114" customFormat="1" ht="51">
      <c r="A1840" s="136">
        <v>1838</v>
      </c>
      <c r="B1840" s="136" t="s">
        <v>5449</v>
      </c>
      <c r="C1840" s="129" t="s">
        <v>5450</v>
      </c>
      <c r="D1840" s="142" t="s">
        <v>5451</v>
      </c>
      <c r="E1840" s="84" t="s">
        <v>5452</v>
      </c>
      <c r="F1840" s="113"/>
      <c r="G1840" s="131"/>
      <c r="H1840" s="186" t="s">
        <v>5426</v>
      </c>
      <c r="I1840" s="125" t="s">
        <v>326</v>
      </c>
      <c r="J1840" s="125" t="s">
        <v>341</v>
      </c>
      <c r="K1840" s="125" t="s">
        <v>580</v>
      </c>
      <c r="L1840" s="125" t="s">
        <v>507</v>
      </c>
      <c r="M1840" s="125" t="s">
        <v>508</v>
      </c>
    </row>
    <row r="1841" spans="1:13" s="114" customFormat="1" ht="38.25">
      <c r="A1841" s="136">
        <v>1839</v>
      </c>
      <c r="B1841" s="129" t="s">
        <v>5453</v>
      </c>
      <c r="C1841" s="129" t="s">
        <v>5454</v>
      </c>
      <c r="D1841" s="142" t="s">
        <v>5455</v>
      </c>
      <c r="E1841" s="84" t="s">
        <v>5456</v>
      </c>
      <c r="F1841" s="113"/>
      <c r="G1841" s="131"/>
      <c r="H1841" s="186" t="s">
        <v>1481</v>
      </c>
      <c r="I1841" s="125" t="s">
        <v>326</v>
      </c>
      <c r="J1841" s="125" t="s">
        <v>341</v>
      </c>
      <c r="K1841" s="125" t="s">
        <v>1482</v>
      </c>
      <c r="L1841" s="125" t="s">
        <v>507</v>
      </c>
      <c r="M1841" s="125" t="s">
        <v>508</v>
      </c>
    </row>
    <row r="1842" spans="1:13" s="114" customFormat="1" ht="25.5">
      <c r="A1842" s="136">
        <v>1840</v>
      </c>
      <c r="B1842" s="136" t="s">
        <v>5457</v>
      </c>
      <c r="C1842" s="129" t="s">
        <v>5454</v>
      </c>
      <c r="D1842" s="142" t="s">
        <v>5455</v>
      </c>
      <c r="E1842" s="84" t="s">
        <v>5458</v>
      </c>
      <c r="F1842" s="113"/>
      <c r="G1842" s="131"/>
      <c r="H1842" s="186" t="s">
        <v>5426</v>
      </c>
      <c r="I1842" s="125" t="s">
        <v>326</v>
      </c>
      <c r="J1842" s="125" t="s">
        <v>341</v>
      </c>
      <c r="K1842" s="125" t="s">
        <v>580</v>
      </c>
      <c r="L1842" s="125" t="s">
        <v>507</v>
      </c>
      <c r="M1842" s="125" t="s">
        <v>508</v>
      </c>
    </row>
    <row r="1843" spans="1:13" s="114" customFormat="1" ht="51">
      <c r="A1843" s="136">
        <v>1841</v>
      </c>
      <c r="B1843" s="129" t="s">
        <v>5459</v>
      </c>
      <c r="C1843" s="129" t="s">
        <v>5454</v>
      </c>
      <c r="D1843" s="142" t="s">
        <v>5455</v>
      </c>
      <c r="E1843" s="84" t="s">
        <v>5460</v>
      </c>
      <c r="F1843" s="113"/>
      <c r="G1843" s="131"/>
      <c r="H1843" s="186" t="s">
        <v>5461</v>
      </c>
      <c r="I1843" s="125" t="s">
        <v>326</v>
      </c>
      <c r="J1843" s="125" t="s">
        <v>331</v>
      </c>
      <c r="K1843" s="125" t="s">
        <v>530</v>
      </c>
      <c r="L1843" s="125" t="s">
        <v>507</v>
      </c>
      <c r="M1843" s="125" t="s">
        <v>508</v>
      </c>
    </row>
    <row r="1844" spans="1:13" s="114" customFormat="1" ht="38.25">
      <c r="A1844" s="136">
        <v>1842</v>
      </c>
      <c r="B1844" s="129" t="s">
        <v>5462</v>
      </c>
      <c r="C1844" s="129" t="s">
        <v>5463</v>
      </c>
      <c r="D1844" s="142" t="s">
        <v>5464</v>
      </c>
      <c r="E1844" s="84" t="s">
        <v>5465</v>
      </c>
      <c r="F1844" s="113"/>
      <c r="G1844" s="131"/>
      <c r="H1844" s="186" t="s">
        <v>1650</v>
      </c>
      <c r="I1844" s="125" t="s">
        <v>326</v>
      </c>
      <c r="J1844" s="125" t="s">
        <v>341</v>
      </c>
      <c r="K1844" s="125" t="s">
        <v>580</v>
      </c>
      <c r="L1844" s="125" t="s">
        <v>507</v>
      </c>
      <c r="M1844" s="125" t="s">
        <v>508</v>
      </c>
    </row>
    <row r="1845" spans="1:13" s="114" customFormat="1" ht="38.25">
      <c r="A1845" s="136">
        <v>1843</v>
      </c>
      <c r="B1845" s="136" t="s">
        <v>5466</v>
      </c>
      <c r="C1845" s="129" t="s">
        <v>5467</v>
      </c>
      <c r="D1845" s="142" t="s">
        <v>5468</v>
      </c>
      <c r="E1845" s="84" t="s">
        <v>5469</v>
      </c>
      <c r="F1845" s="113"/>
      <c r="G1845" s="131"/>
      <c r="H1845" s="186" t="s">
        <v>5352</v>
      </c>
      <c r="I1845" s="125" t="s">
        <v>326</v>
      </c>
      <c r="J1845" s="125" t="s">
        <v>331</v>
      </c>
      <c r="K1845" s="125" t="s">
        <v>1178</v>
      </c>
      <c r="L1845" s="125" t="s">
        <v>507</v>
      </c>
      <c r="M1845" s="125" t="s">
        <v>508</v>
      </c>
    </row>
    <row r="1846" spans="1:13" s="114" customFormat="1" ht="51">
      <c r="A1846" s="136">
        <v>1844</v>
      </c>
      <c r="B1846" s="129" t="s">
        <v>5470</v>
      </c>
      <c r="C1846" s="129" t="s">
        <v>5471</v>
      </c>
      <c r="D1846" s="142" t="s">
        <v>5472</v>
      </c>
      <c r="E1846" s="84" t="s">
        <v>5473</v>
      </c>
      <c r="F1846" s="113"/>
      <c r="G1846" s="131"/>
      <c r="H1846" s="186" t="s">
        <v>1148</v>
      </c>
      <c r="I1846" s="125" t="s">
        <v>326</v>
      </c>
      <c r="J1846" s="125" t="s">
        <v>331</v>
      </c>
      <c r="K1846" s="125" t="s">
        <v>530</v>
      </c>
      <c r="L1846" s="125" t="s">
        <v>507</v>
      </c>
      <c r="M1846" s="125" t="s">
        <v>508</v>
      </c>
    </row>
    <row r="1847" spans="1:13" s="114" customFormat="1" ht="25.5">
      <c r="A1847" s="136">
        <v>1845</v>
      </c>
      <c r="B1847" s="129" t="s">
        <v>5474</v>
      </c>
      <c r="C1847" s="129" t="s">
        <v>5475</v>
      </c>
      <c r="D1847" s="142" t="s">
        <v>5476</v>
      </c>
      <c r="E1847" s="84" t="s">
        <v>5477</v>
      </c>
      <c r="F1847" s="113"/>
      <c r="G1847" s="131"/>
      <c r="H1847" s="186" t="s">
        <v>5478</v>
      </c>
      <c r="I1847" s="125" t="s">
        <v>326</v>
      </c>
      <c r="J1847" s="125" t="s">
        <v>331</v>
      </c>
      <c r="K1847" s="125" t="s">
        <v>1178</v>
      </c>
      <c r="L1847" s="125" t="s">
        <v>507</v>
      </c>
      <c r="M1847" s="125" t="s">
        <v>508</v>
      </c>
    </row>
    <row r="1848" spans="1:13" s="114" customFormat="1" ht="38.25">
      <c r="A1848" s="136">
        <v>1846</v>
      </c>
      <c r="B1848" s="136" t="s">
        <v>5479</v>
      </c>
      <c r="C1848" s="129" t="s">
        <v>3325</v>
      </c>
      <c r="D1848" s="142" t="s">
        <v>5305</v>
      </c>
      <c r="E1848" s="84" t="s">
        <v>5480</v>
      </c>
      <c r="F1848" s="113"/>
      <c r="G1848" s="131"/>
      <c r="H1848" s="186" t="s">
        <v>653</v>
      </c>
      <c r="I1848" s="125" t="s">
        <v>326</v>
      </c>
      <c r="J1848" s="125" t="s">
        <v>331</v>
      </c>
      <c r="K1848" s="125" t="s">
        <v>506</v>
      </c>
      <c r="L1848" s="125" t="s">
        <v>507</v>
      </c>
      <c r="M1848" s="125" t="s">
        <v>508</v>
      </c>
    </row>
    <row r="1849" spans="1:13" s="114" customFormat="1" ht="51">
      <c r="A1849" s="136">
        <v>1847</v>
      </c>
      <c r="B1849" s="136" t="s">
        <v>5481</v>
      </c>
      <c r="C1849" s="129" t="s">
        <v>3325</v>
      </c>
      <c r="D1849" s="142" t="s">
        <v>5305</v>
      </c>
      <c r="E1849" s="84" t="s">
        <v>5482</v>
      </c>
      <c r="F1849" s="113"/>
      <c r="G1849" s="131"/>
      <c r="H1849" s="186" t="s">
        <v>1148</v>
      </c>
      <c r="I1849" s="125" t="s">
        <v>326</v>
      </c>
      <c r="J1849" s="125" t="s">
        <v>331</v>
      </c>
      <c r="K1849" s="125" t="s">
        <v>530</v>
      </c>
      <c r="L1849" s="125" t="s">
        <v>507</v>
      </c>
      <c r="M1849" s="125" t="s">
        <v>508</v>
      </c>
    </row>
    <row r="1850" spans="1:13" s="114" customFormat="1" ht="38.25">
      <c r="A1850" s="136">
        <v>1848</v>
      </c>
      <c r="B1850" s="129" t="s">
        <v>5483</v>
      </c>
      <c r="C1850" s="129" t="s">
        <v>3325</v>
      </c>
      <c r="D1850" s="142" t="s">
        <v>5305</v>
      </c>
      <c r="E1850" s="84" t="s">
        <v>5484</v>
      </c>
      <c r="F1850" s="113"/>
      <c r="G1850" s="131"/>
      <c r="H1850" s="186" t="s">
        <v>653</v>
      </c>
      <c r="I1850" s="125" t="s">
        <v>326</v>
      </c>
      <c r="J1850" s="125" t="s">
        <v>331</v>
      </c>
      <c r="K1850" s="125" t="s">
        <v>506</v>
      </c>
      <c r="L1850" s="125" t="s">
        <v>507</v>
      </c>
      <c r="M1850" s="125" t="s">
        <v>508</v>
      </c>
    </row>
    <row r="1851" spans="1:13" s="114" customFormat="1" ht="51">
      <c r="A1851" s="136">
        <v>1849</v>
      </c>
      <c r="B1851" s="136" t="s">
        <v>5485</v>
      </c>
      <c r="C1851" s="129" t="s">
        <v>3325</v>
      </c>
      <c r="D1851" s="142" t="s">
        <v>5305</v>
      </c>
      <c r="E1851" s="84" t="s">
        <v>5486</v>
      </c>
      <c r="F1851" s="113"/>
      <c r="G1851" s="131"/>
      <c r="H1851" s="186" t="s">
        <v>608</v>
      </c>
      <c r="I1851" s="125" t="s">
        <v>326</v>
      </c>
      <c r="J1851" s="125" t="s">
        <v>331</v>
      </c>
      <c r="K1851" s="125" t="s">
        <v>530</v>
      </c>
      <c r="L1851" s="125" t="s">
        <v>507</v>
      </c>
      <c r="M1851" s="125" t="s">
        <v>508</v>
      </c>
    </row>
    <row r="1852" spans="1:13" s="114" customFormat="1" ht="38.25">
      <c r="A1852" s="136">
        <v>1850</v>
      </c>
      <c r="B1852" s="136" t="s">
        <v>5487</v>
      </c>
      <c r="C1852" s="129" t="s">
        <v>3325</v>
      </c>
      <c r="D1852" s="142" t="s">
        <v>5305</v>
      </c>
      <c r="E1852" s="84" t="s">
        <v>5488</v>
      </c>
      <c r="F1852" s="113"/>
      <c r="G1852" s="131"/>
      <c r="H1852" s="186" t="s">
        <v>653</v>
      </c>
      <c r="I1852" s="125" t="s">
        <v>326</v>
      </c>
      <c r="J1852" s="125" t="s">
        <v>331</v>
      </c>
      <c r="K1852" s="125" t="s">
        <v>506</v>
      </c>
      <c r="L1852" s="125" t="s">
        <v>507</v>
      </c>
      <c r="M1852" s="125" t="s">
        <v>508</v>
      </c>
    </row>
    <row r="1853" spans="1:13" s="114" customFormat="1" ht="51">
      <c r="A1853" s="136">
        <v>1851</v>
      </c>
      <c r="B1853" s="136" t="s">
        <v>1263</v>
      </c>
      <c r="C1853" s="129" t="s">
        <v>5489</v>
      </c>
      <c r="D1853" s="142" t="s">
        <v>5490</v>
      </c>
      <c r="E1853" s="84" t="s">
        <v>5491</v>
      </c>
      <c r="F1853" s="113"/>
      <c r="G1853" s="131"/>
      <c r="H1853" s="186" t="s">
        <v>5492</v>
      </c>
      <c r="I1853" s="125" t="s">
        <v>326</v>
      </c>
      <c r="J1853" s="125" t="s">
        <v>331</v>
      </c>
      <c r="K1853" s="125" t="s">
        <v>530</v>
      </c>
      <c r="L1853" s="125" t="s">
        <v>507</v>
      </c>
      <c r="M1853" s="125" t="s">
        <v>508</v>
      </c>
    </row>
    <row r="1854" spans="1:13" s="114" customFormat="1" ht="51">
      <c r="A1854" s="136">
        <v>1852</v>
      </c>
      <c r="B1854" s="136" t="s">
        <v>5493</v>
      </c>
      <c r="C1854" s="129" t="s">
        <v>5489</v>
      </c>
      <c r="D1854" s="142" t="s">
        <v>5490</v>
      </c>
      <c r="E1854" s="84" t="s">
        <v>5494</v>
      </c>
      <c r="F1854" s="113"/>
      <c r="G1854" s="131"/>
      <c r="H1854" s="186" t="s">
        <v>1263</v>
      </c>
      <c r="I1854" s="125" t="s">
        <v>326</v>
      </c>
      <c r="J1854" s="125" t="s">
        <v>331</v>
      </c>
      <c r="K1854" s="125" t="s">
        <v>530</v>
      </c>
      <c r="L1854" s="125" t="s">
        <v>507</v>
      </c>
      <c r="M1854" s="125" t="s">
        <v>508</v>
      </c>
    </row>
    <row r="1855" spans="1:13" s="114" customFormat="1" ht="25.5">
      <c r="A1855" s="136">
        <v>1853</v>
      </c>
      <c r="B1855" s="129" t="s">
        <v>5495</v>
      </c>
      <c r="C1855" s="129" t="s">
        <v>5489</v>
      </c>
      <c r="D1855" s="142" t="s">
        <v>5490</v>
      </c>
      <c r="E1855" s="84" t="s">
        <v>5496</v>
      </c>
      <c r="F1855" s="113"/>
      <c r="G1855" s="131"/>
      <c r="H1855" s="186" t="s">
        <v>596</v>
      </c>
      <c r="I1855" s="125" t="s">
        <v>326</v>
      </c>
      <c r="J1855" s="125" t="s">
        <v>352</v>
      </c>
      <c r="K1855" s="125" t="s">
        <v>597</v>
      </c>
      <c r="L1855" s="125" t="s">
        <v>507</v>
      </c>
      <c r="M1855" s="125" t="s">
        <v>508</v>
      </c>
    </row>
    <row r="1856" spans="1:13" s="114" customFormat="1" ht="51">
      <c r="A1856" s="136">
        <v>1854</v>
      </c>
      <c r="B1856" s="129" t="s">
        <v>5497</v>
      </c>
      <c r="C1856" s="129" t="s">
        <v>5489</v>
      </c>
      <c r="D1856" s="142" t="s">
        <v>5490</v>
      </c>
      <c r="E1856" s="84" t="s">
        <v>5498</v>
      </c>
      <c r="F1856" s="113"/>
      <c r="G1856" s="131"/>
      <c r="H1856" s="186" t="s">
        <v>1263</v>
      </c>
      <c r="I1856" s="125" t="s">
        <v>326</v>
      </c>
      <c r="J1856" s="125" t="s">
        <v>331</v>
      </c>
      <c r="K1856" s="125" t="s">
        <v>530</v>
      </c>
      <c r="L1856" s="125" t="s">
        <v>507</v>
      </c>
      <c r="M1856" s="125" t="s">
        <v>508</v>
      </c>
    </row>
    <row r="1857" spans="1:13" s="114" customFormat="1" ht="51">
      <c r="A1857" s="136">
        <v>1855</v>
      </c>
      <c r="B1857" s="136" t="s">
        <v>5499</v>
      </c>
      <c r="C1857" s="129" t="s">
        <v>5489</v>
      </c>
      <c r="D1857" s="142" t="s">
        <v>5490</v>
      </c>
      <c r="E1857" s="84" t="s">
        <v>5500</v>
      </c>
      <c r="F1857" s="113"/>
      <c r="G1857" s="131"/>
      <c r="H1857" s="186" t="s">
        <v>1263</v>
      </c>
      <c r="I1857" s="125" t="s">
        <v>326</v>
      </c>
      <c r="J1857" s="125" t="s">
        <v>331</v>
      </c>
      <c r="K1857" s="125" t="s">
        <v>530</v>
      </c>
      <c r="L1857" s="125" t="s">
        <v>507</v>
      </c>
      <c r="M1857" s="125" t="s">
        <v>508</v>
      </c>
    </row>
    <row r="1858" spans="1:13" s="114" customFormat="1" ht="51">
      <c r="A1858" s="136">
        <v>1856</v>
      </c>
      <c r="B1858" s="129" t="s">
        <v>5501</v>
      </c>
      <c r="C1858" s="129" t="s">
        <v>5489</v>
      </c>
      <c r="D1858" s="142" t="s">
        <v>5502</v>
      </c>
      <c r="E1858" s="84" t="s">
        <v>5503</v>
      </c>
      <c r="F1858" s="113"/>
      <c r="G1858" s="131"/>
      <c r="H1858" s="186" t="s">
        <v>1263</v>
      </c>
      <c r="I1858" s="125" t="s">
        <v>326</v>
      </c>
      <c r="J1858" s="125" t="s">
        <v>331</v>
      </c>
      <c r="K1858" s="125" t="s">
        <v>530</v>
      </c>
      <c r="L1858" s="125" t="s">
        <v>507</v>
      </c>
      <c r="M1858" s="125" t="s">
        <v>508</v>
      </c>
    </row>
    <row r="1859" spans="1:13" s="114" customFormat="1" ht="51">
      <c r="A1859" s="136">
        <v>1857</v>
      </c>
      <c r="B1859" s="136" t="s">
        <v>5504</v>
      </c>
      <c r="C1859" s="129" t="s">
        <v>5489</v>
      </c>
      <c r="D1859" s="142" t="s">
        <v>5502</v>
      </c>
      <c r="E1859" s="84" t="s">
        <v>5505</v>
      </c>
      <c r="F1859" s="113"/>
      <c r="G1859" s="131"/>
      <c r="H1859" s="186" t="s">
        <v>1263</v>
      </c>
      <c r="I1859" s="125" t="s">
        <v>326</v>
      </c>
      <c r="J1859" s="125" t="s">
        <v>331</v>
      </c>
      <c r="K1859" s="125" t="s">
        <v>530</v>
      </c>
      <c r="L1859" s="125" t="s">
        <v>507</v>
      </c>
      <c r="M1859" s="125" t="s">
        <v>508</v>
      </c>
    </row>
    <row r="1860" spans="1:13" s="114" customFormat="1" ht="51">
      <c r="A1860" s="136">
        <v>1858</v>
      </c>
      <c r="B1860" s="129" t="s">
        <v>5506</v>
      </c>
      <c r="C1860" s="129" t="s">
        <v>5489</v>
      </c>
      <c r="D1860" s="142" t="s">
        <v>5490</v>
      </c>
      <c r="E1860" s="84" t="s">
        <v>5507</v>
      </c>
      <c r="F1860" s="113"/>
      <c r="G1860" s="131"/>
      <c r="H1860" s="186" t="s">
        <v>1263</v>
      </c>
      <c r="I1860" s="125" t="s">
        <v>326</v>
      </c>
      <c r="J1860" s="125" t="s">
        <v>331</v>
      </c>
      <c r="K1860" s="125" t="s">
        <v>530</v>
      </c>
      <c r="L1860" s="125" t="s">
        <v>507</v>
      </c>
      <c r="M1860" s="125" t="s">
        <v>508</v>
      </c>
    </row>
    <row r="1861" spans="1:13" s="114" customFormat="1" ht="51">
      <c r="A1861" s="136">
        <v>1859</v>
      </c>
      <c r="B1861" s="136" t="s">
        <v>5508</v>
      </c>
      <c r="C1861" s="129" t="s">
        <v>5489</v>
      </c>
      <c r="D1861" s="142" t="s">
        <v>5490</v>
      </c>
      <c r="E1861" s="84" t="s">
        <v>5509</v>
      </c>
      <c r="F1861" s="113"/>
      <c r="G1861" s="131"/>
      <c r="H1861" s="186" t="s">
        <v>1263</v>
      </c>
      <c r="I1861" s="125" t="s">
        <v>326</v>
      </c>
      <c r="J1861" s="125" t="s">
        <v>331</v>
      </c>
      <c r="K1861" s="125" t="s">
        <v>530</v>
      </c>
      <c r="L1861" s="125" t="s">
        <v>507</v>
      </c>
      <c r="M1861" s="125" t="s">
        <v>508</v>
      </c>
    </row>
    <row r="1862" spans="1:13" s="114" customFormat="1" ht="51">
      <c r="A1862" s="136">
        <v>1860</v>
      </c>
      <c r="B1862" s="129" t="s">
        <v>5510</v>
      </c>
      <c r="C1862" s="129" t="s">
        <v>5489</v>
      </c>
      <c r="D1862" s="142" t="s">
        <v>5490</v>
      </c>
      <c r="E1862" s="84" t="s">
        <v>5511</v>
      </c>
      <c r="F1862" s="113"/>
      <c r="G1862" s="131"/>
      <c r="H1862" s="186" t="s">
        <v>1263</v>
      </c>
      <c r="I1862" s="125" t="s">
        <v>326</v>
      </c>
      <c r="J1862" s="125" t="s">
        <v>331</v>
      </c>
      <c r="K1862" s="125" t="s">
        <v>530</v>
      </c>
      <c r="L1862" s="125" t="s">
        <v>507</v>
      </c>
      <c r="M1862" s="125" t="s">
        <v>508</v>
      </c>
    </row>
    <row r="1863" spans="1:13" s="114" customFormat="1" ht="51">
      <c r="A1863" s="136">
        <v>1861</v>
      </c>
      <c r="B1863" s="136" t="s">
        <v>5512</v>
      </c>
      <c r="C1863" s="129" t="s">
        <v>5489</v>
      </c>
      <c r="D1863" s="142" t="s">
        <v>5490</v>
      </c>
      <c r="E1863" s="84" t="s">
        <v>5513</v>
      </c>
      <c r="F1863" s="113"/>
      <c r="G1863" s="131"/>
      <c r="H1863" s="186" t="s">
        <v>1263</v>
      </c>
      <c r="I1863" s="125" t="s">
        <v>326</v>
      </c>
      <c r="J1863" s="125" t="s">
        <v>331</v>
      </c>
      <c r="K1863" s="125" t="s">
        <v>530</v>
      </c>
      <c r="L1863" s="125" t="s">
        <v>507</v>
      </c>
      <c r="M1863" s="125" t="s">
        <v>508</v>
      </c>
    </row>
    <row r="1864" spans="1:13" s="114" customFormat="1" ht="25.5">
      <c r="A1864" s="136">
        <v>1862</v>
      </c>
      <c r="B1864" s="129" t="s">
        <v>5514</v>
      </c>
      <c r="C1864" s="129" t="s">
        <v>5489</v>
      </c>
      <c r="D1864" s="142" t="s">
        <v>5490</v>
      </c>
      <c r="E1864" s="84" t="s">
        <v>5515</v>
      </c>
      <c r="F1864" s="113"/>
      <c r="G1864" s="131"/>
      <c r="H1864" s="186" t="s">
        <v>596</v>
      </c>
      <c r="I1864" s="125" t="s">
        <v>326</v>
      </c>
      <c r="J1864" s="125" t="s">
        <v>352</v>
      </c>
      <c r="K1864" s="125" t="s">
        <v>597</v>
      </c>
      <c r="L1864" s="125" t="s">
        <v>507</v>
      </c>
      <c r="M1864" s="125" t="s">
        <v>508</v>
      </c>
    </row>
    <row r="1865" spans="1:13" s="114" customFormat="1" ht="51">
      <c r="A1865" s="136">
        <v>1863</v>
      </c>
      <c r="B1865" s="136" t="s">
        <v>5516</v>
      </c>
      <c r="C1865" s="129" t="s">
        <v>5517</v>
      </c>
      <c r="D1865" s="142" t="s">
        <v>5518</v>
      </c>
      <c r="E1865" s="84" t="s">
        <v>5519</v>
      </c>
      <c r="F1865" s="113"/>
      <c r="G1865" s="131"/>
      <c r="H1865" s="186" t="s">
        <v>596</v>
      </c>
      <c r="I1865" s="125" t="s">
        <v>326</v>
      </c>
      <c r="J1865" s="125" t="s">
        <v>352</v>
      </c>
      <c r="K1865" s="125" t="s">
        <v>597</v>
      </c>
      <c r="L1865" s="125" t="s">
        <v>507</v>
      </c>
      <c r="M1865" s="125" t="s">
        <v>508</v>
      </c>
    </row>
    <row r="1866" spans="1:13" s="114" customFormat="1" ht="25.5">
      <c r="A1866" s="136">
        <v>1864</v>
      </c>
      <c r="B1866" s="129" t="s">
        <v>5520</v>
      </c>
      <c r="C1866" s="129" t="s">
        <v>5517</v>
      </c>
      <c r="D1866" s="142" t="s">
        <v>5518</v>
      </c>
      <c r="E1866" s="84" t="s">
        <v>5521</v>
      </c>
      <c r="F1866" s="113"/>
      <c r="G1866" s="131"/>
      <c r="H1866" s="186" t="s">
        <v>896</v>
      </c>
      <c r="I1866" s="125" t="s">
        <v>326</v>
      </c>
      <c r="J1866" s="125" t="s">
        <v>341</v>
      </c>
      <c r="K1866" s="125" t="s">
        <v>580</v>
      </c>
      <c r="L1866" s="125" t="s">
        <v>507</v>
      </c>
      <c r="M1866" s="125" t="s">
        <v>508</v>
      </c>
    </row>
    <row r="1867" spans="1:13" s="114" customFormat="1" ht="38.25">
      <c r="A1867" s="136">
        <v>1865</v>
      </c>
      <c r="B1867" s="136" t="s">
        <v>5522</v>
      </c>
      <c r="C1867" s="129" t="s">
        <v>5523</v>
      </c>
      <c r="D1867" s="142" t="s">
        <v>5524</v>
      </c>
      <c r="E1867" s="84" t="s">
        <v>5525</v>
      </c>
      <c r="F1867" s="113"/>
      <c r="G1867" s="131"/>
      <c r="H1867" s="186" t="s">
        <v>596</v>
      </c>
      <c r="I1867" s="125" t="s">
        <v>326</v>
      </c>
      <c r="J1867" s="125" t="s">
        <v>352</v>
      </c>
      <c r="K1867" s="125" t="s">
        <v>597</v>
      </c>
      <c r="L1867" s="125" t="s">
        <v>507</v>
      </c>
      <c r="M1867" s="125" t="s">
        <v>508</v>
      </c>
    </row>
    <row r="1868" spans="1:13" s="114" customFormat="1" ht="38.25">
      <c r="A1868" s="136">
        <v>1866</v>
      </c>
      <c r="B1868" s="136" t="s">
        <v>5526</v>
      </c>
      <c r="C1868" s="129" t="s">
        <v>5527</v>
      </c>
      <c r="D1868" s="142" t="s">
        <v>5528</v>
      </c>
      <c r="E1868" s="84" t="s">
        <v>5529</v>
      </c>
      <c r="F1868" s="113"/>
      <c r="G1868" s="131"/>
      <c r="H1868" s="186" t="s">
        <v>1221</v>
      </c>
      <c r="I1868" s="125" t="s">
        <v>326</v>
      </c>
      <c r="J1868" s="125" t="s">
        <v>331</v>
      </c>
      <c r="K1868" s="125" t="s">
        <v>1178</v>
      </c>
      <c r="L1868" s="125" t="s">
        <v>507</v>
      </c>
      <c r="M1868" s="125" t="s">
        <v>508</v>
      </c>
    </row>
    <row r="1869" spans="1:13" s="114" customFormat="1" ht="51">
      <c r="A1869" s="136">
        <v>1867</v>
      </c>
      <c r="B1869" s="136" t="s">
        <v>5530</v>
      </c>
      <c r="C1869" s="129" t="s">
        <v>5527</v>
      </c>
      <c r="D1869" s="142" t="s">
        <v>5528</v>
      </c>
      <c r="E1869" s="84" t="s">
        <v>5531</v>
      </c>
      <c r="F1869" s="113"/>
      <c r="G1869" s="131"/>
      <c r="H1869" s="186" t="s">
        <v>501</v>
      </c>
      <c r="I1869" s="125" t="s">
        <v>326</v>
      </c>
      <c r="J1869" s="125" t="s">
        <v>331</v>
      </c>
      <c r="K1869" s="125" t="s">
        <v>506</v>
      </c>
      <c r="L1869" s="125" t="s">
        <v>507</v>
      </c>
      <c r="M1869" s="125" t="s">
        <v>508</v>
      </c>
    </row>
    <row r="1870" spans="1:13" s="114" customFormat="1" ht="51">
      <c r="A1870" s="136">
        <v>1868</v>
      </c>
      <c r="B1870" s="129" t="s">
        <v>5532</v>
      </c>
      <c r="C1870" s="129" t="s">
        <v>5527</v>
      </c>
      <c r="D1870" s="142" t="s">
        <v>5528</v>
      </c>
      <c r="E1870" s="84" t="s">
        <v>5533</v>
      </c>
      <c r="F1870" s="113"/>
      <c r="G1870" s="131"/>
      <c r="H1870" s="186" t="s">
        <v>1148</v>
      </c>
      <c r="I1870" s="125" t="s">
        <v>326</v>
      </c>
      <c r="J1870" s="125" t="s">
        <v>331</v>
      </c>
      <c r="K1870" s="125" t="s">
        <v>530</v>
      </c>
      <c r="L1870" s="125" t="s">
        <v>507</v>
      </c>
      <c r="M1870" s="125" t="s">
        <v>508</v>
      </c>
    </row>
    <row r="1871" spans="1:13" s="114" customFormat="1" ht="25.5">
      <c r="A1871" s="136">
        <v>1869</v>
      </c>
      <c r="B1871" s="136" t="s">
        <v>5534</v>
      </c>
      <c r="C1871" s="129" t="s">
        <v>5535</v>
      </c>
      <c r="D1871" s="142" t="s">
        <v>5536</v>
      </c>
      <c r="E1871" s="84" t="s">
        <v>5537</v>
      </c>
      <c r="F1871" s="113"/>
      <c r="G1871" s="131"/>
      <c r="H1871" s="186" t="s">
        <v>1209</v>
      </c>
      <c r="I1871" s="125" t="s">
        <v>326</v>
      </c>
      <c r="J1871" s="125" t="s">
        <v>331</v>
      </c>
      <c r="K1871" s="125" t="s">
        <v>1178</v>
      </c>
      <c r="L1871" s="125" t="s">
        <v>507</v>
      </c>
      <c r="M1871" s="125" t="s">
        <v>508</v>
      </c>
    </row>
    <row r="1872" spans="1:13" s="114" customFormat="1" ht="38.25">
      <c r="A1872" s="136">
        <v>1870</v>
      </c>
      <c r="B1872" s="129" t="s">
        <v>5538</v>
      </c>
      <c r="C1872" s="129" t="s">
        <v>5535</v>
      </c>
      <c r="D1872" s="142" t="s">
        <v>5536</v>
      </c>
      <c r="E1872" s="84" t="s">
        <v>5539</v>
      </c>
      <c r="F1872" s="113"/>
      <c r="G1872" s="131"/>
      <c r="H1872" s="186" t="s">
        <v>5540</v>
      </c>
      <c r="I1872" s="125" t="s">
        <v>326</v>
      </c>
      <c r="J1872" s="125" t="s">
        <v>331</v>
      </c>
      <c r="K1872" s="125" t="s">
        <v>1178</v>
      </c>
      <c r="L1872" s="125" t="s">
        <v>507</v>
      </c>
      <c r="M1872" s="125" t="s">
        <v>508</v>
      </c>
    </row>
    <row r="1873" spans="1:13" s="114" customFormat="1" ht="51">
      <c r="A1873" s="136">
        <v>1871</v>
      </c>
      <c r="B1873" s="136" t="s">
        <v>5541</v>
      </c>
      <c r="C1873" s="150" t="s">
        <v>5535</v>
      </c>
      <c r="D1873" s="142" t="s">
        <v>5536</v>
      </c>
      <c r="E1873" s="84" t="s">
        <v>5542</v>
      </c>
      <c r="F1873" s="113"/>
      <c r="G1873" s="131"/>
      <c r="H1873" s="186" t="s">
        <v>5419</v>
      </c>
      <c r="I1873" s="125" t="s">
        <v>326</v>
      </c>
      <c r="J1873" s="125" t="s">
        <v>331</v>
      </c>
      <c r="K1873" s="125" t="s">
        <v>1178</v>
      </c>
      <c r="L1873" s="125" t="s">
        <v>507</v>
      </c>
      <c r="M1873" s="125" t="s">
        <v>508</v>
      </c>
    </row>
    <row r="1874" spans="1:13" s="114" customFormat="1" ht="25.5">
      <c r="A1874" s="136">
        <v>1872</v>
      </c>
      <c r="B1874" s="129" t="s">
        <v>5543</v>
      </c>
      <c r="C1874" s="129" t="s">
        <v>5535</v>
      </c>
      <c r="D1874" s="142" t="s">
        <v>5536</v>
      </c>
      <c r="E1874" s="84" t="s">
        <v>5544</v>
      </c>
      <c r="F1874" s="113"/>
      <c r="G1874" s="131"/>
      <c r="H1874" s="186" t="s">
        <v>3038</v>
      </c>
      <c r="I1874" s="125" t="s">
        <v>326</v>
      </c>
      <c r="J1874" s="125" t="s">
        <v>331</v>
      </c>
      <c r="K1874" s="125" t="s">
        <v>1178</v>
      </c>
      <c r="L1874" s="125" t="s">
        <v>507</v>
      </c>
      <c r="M1874" s="125" t="s">
        <v>508</v>
      </c>
    </row>
    <row r="1875" spans="1:13" s="114" customFormat="1" ht="25.5">
      <c r="A1875" s="136">
        <v>1873</v>
      </c>
      <c r="B1875" s="129" t="s">
        <v>5545</v>
      </c>
      <c r="C1875" s="129" t="s">
        <v>5535</v>
      </c>
      <c r="D1875" s="142" t="s">
        <v>5536</v>
      </c>
      <c r="E1875" s="84" t="s">
        <v>5546</v>
      </c>
      <c r="F1875" s="113"/>
      <c r="G1875" s="131"/>
      <c r="H1875" s="186" t="s">
        <v>1175</v>
      </c>
      <c r="I1875" s="125" t="s">
        <v>326</v>
      </c>
      <c r="J1875" s="125" t="s">
        <v>331</v>
      </c>
      <c r="K1875" s="125" t="s">
        <v>1178</v>
      </c>
      <c r="L1875" s="125" t="s">
        <v>507</v>
      </c>
      <c r="M1875" s="125" t="s">
        <v>508</v>
      </c>
    </row>
    <row r="1876" spans="1:13" s="114" customFormat="1" ht="25.5">
      <c r="A1876" s="136">
        <v>1874</v>
      </c>
      <c r="B1876" s="136" t="s">
        <v>5547</v>
      </c>
      <c r="C1876" s="129" t="s">
        <v>5535</v>
      </c>
      <c r="D1876" s="142" t="s">
        <v>5536</v>
      </c>
      <c r="E1876" s="84" t="s">
        <v>5548</v>
      </c>
      <c r="F1876" s="113"/>
      <c r="G1876" s="131"/>
      <c r="H1876" s="186" t="s">
        <v>5419</v>
      </c>
      <c r="I1876" s="125" t="s">
        <v>326</v>
      </c>
      <c r="J1876" s="125" t="s">
        <v>331</v>
      </c>
      <c r="K1876" s="125" t="s">
        <v>1178</v>
      </c>
      <c r="L1876" s="125" t="s">
        <v>507</v>
      </c>
      <c r="M1876" s="125" t="s">
        <v>508</v>
      </c>
    </row>
    <row r="1877" spans="1:13" s="114" customFormat="1" ht="38.25">
      <c r="A1877" s="136">
        <v>1875</v>
      </c>
      <c r="B1877" s="129" t="s">
        <v>5549</v>
      </c>
      <c r="C1877" s="129" t="s">
        <v>5535</v>
      </c>
      <c r="D1877" s="142" t="s">
        <v>5536</v>
      </c>
      <c r="E1877" s="84" t="s">
        <v>5550</v>
      </c>
      <c r="F1877" s="113"/>
      <c r="G1877" s="131"/>
      <c r="H1877" s="186" t="s">
        <v>1175</v>
      </c>
      <c r="I1877" s="125" t="s">
        <v>326</v>
      </c>
      <c r="J1877" s="125" t="s">
        <v>331</v>
      </c>
      <c r="K1877" s="125" t="s">
        <v>1178</v>
      </c>
      <c r="L1877" s="125" t="s">
        <v>507</v>
      </c>
      <c r="M1877" s="125" t="s">
        <v>508</v>
      </c>
    </row>
    <row r="1878" spans="1:13" s="114" customFormat="1" ht="38.25">
      <c r="A1878" s="136">
        <v>1876</v>
      </c>
      <c r="B1878" s="136" t="s">
        <v>5551</v>
      </c>
      <c r="C1878" s="129" t="s">
        <v>5552</v>
      </c>
      <c r="D1878" s="142" t="s">
        <v>5553</v>
      </c>
      <c r="E1878" s="84" t="s">
        <v>5554</v>
      </c>
      <c r="F1878" s="113"/>
      <c r="G1878" s="131"/>
      <c r="H1878" s="186" t="s">
        <v>501</v>
      </c>
      <c r="I1878" s="125" t="s">
        <v>326</v>
      </c>
      <c r="J1878" s="125" t="s">
        <v>331</v>
      </c>
      <c r="K1878" s="125" t="s">
        <v>506</v>
      </c>
      <c r="L1878" s="125" t="s">
        <v>507</v>
      </c>
      <c r="M1878" s="125" t="s">
        <v>508</v>
      </c>
    </row>
    <row r="1879" spans="1:13" s="114" customFormat="1" ht="38.25">
      <c r="A1879" s="136">
        <v>1877</v>
      </c>
      <c r="B1879" s="136" t="s">
        <v>4186</v>
      </c>
      <c r="C1879" s="129" t="s">
        <v>5555</v>
      </c>
      <c r="D1879" s="142" t="s">
        <v>5556</v>
      </c>
      <c r="E1879" s="84" t="s">
        <v>5557</v>
      </c>
      <c r="F1879" s="113"/>
      <c r="G1879" s="131"/>
      <c r="H1879" s="186" t="s">
        <v>5558</v>
      </c>
      <c r="I1879" s="125" t="s">
        <v>326</v>
      </c>
      <c r="J1879" s="125" t="s">
        <v>331</v>
      </c>
      <c r="K1879" s="125" t="s">
        <v>1178</v>
      </c>
      <c r="L1879" s="125" t="s">
        <v>507</v>
      </c>
      <c r="M1879" s="125" t="s">
        <v>508</v>
      </c>
    </row>
    <row r="1880" spans="1:13" s="114" customFormat="1" ht="38.25">
      <c r="A1880" s="136">
        <v>1878</v>
      </c>
      <c r="B1880" s="129" t="s">
        <v>5559</v>
      </c>
      <c r="C1880" s="129" t="s">
        <v>5560</v>
      </c>
      <c r="D1880" s="142" t="s">
        <v>5561</v>
      </c>
      <c r="E1880" s="84" t="s">
        <v>5562</v>
      </c>
      <c r="F1880" s="113"/>
      <c r="G1880" s="131"/>
      <c r="H1880" s="186" t="s">
        <v>1175</v>
      </c>
      <c r="I1880" s="125" t="s">
        <v>326</v>
      </c>
      <c r="J1880" s="125" t="s">
        <v>331</v>
      </c>
      <c r="K1880" s="125" t="s">
        <v>1178</v>
      </c>
      <c r="L1880" s="125" t="s">
        <v>507</v>
      </c>
      <c r="M1880" s="125" t="s">
        <v>508</v>
      </c>
    </row>
    <row r="1881" spans="1:13" s="114" customFormat="1" ht="25.5">
      <c r="A1881" s="136">
        <v>1879</v>
      </c>
      <c r="B1881" s="136" t="s">
        <v>5563</v>
      </c>
      <c r="C1881" s="129" t="s">
        <v>5560</v>
      </c>
      <c r="D1881" s="142" t="s">
        <v>5561</v>
      </c>
      <c r="E1881" s="84" t="s">
        <v>5564</v>
      </c>
      <c r="F1881" s="113"/>
      <c r="G1881" s="131"/>
      <c r="H1881" s="186" t="s">
        <v>4186</v>
      </c>
      <c r="I1881" s="125" t="s">
        <v>326</v>
      </c>
      <c r="J1881" s="125" t="s">
        <v>331</v>
      </c>
      <c r="K1881" s="125" t="s">
        <v>1178</v>
      </c>
      <c r="L1881" s="125" t="s">
        <v>507</v>
      </c>
      <c r="M1881" s="125" t="s">
        <v>508</v>
      </c>
    </row>
    <row r="1882" spans="1:13" s="114" customFormat="1" ht="38.25">
      <c r="A1882" s="136">
        <v>1880</v>
      </c>
      <c r="B1882" s="129" t="s">
        <v>5565</v>
      </c>
      <c r="C1882" s="129" t="s">
        <v>5560</v>
      </c>
      <c r="D1882" s="142" t="s">
        <v>5561</v>
      </c>
      <c r="E1882" s="84" t="s">
        <v>5566</v>
      </c>
      <c r="F1882" s="113"/>
      <c r="G1882" s="131"/>
      <c r="H1882" s="186" t="s">
        <v>5540</v>
      </c>
      <c r="I1882" s="125" t="s">
        <v>326</v>
      </c>
      <c r="J1882" s="125" t="s">
        <v>331</v>
      </c>
      <c r="K1882" s="125" t="s">
        <v>1178</v>
      </c>
      <c r="L1882" s="125" t="s">
        <v>507</v>
      </c>
      <c r="M1882" s="125" t="s">
        <v>508</v>
      </c>
    </row>
    <row r="1883" spans="1:13" s="114" customFormat="1" ht="38.25">
      <c r="A1883" s="136">
        <v>1881</v>
      </c>
      <c r="B1883" s="136" t="s">
        <v>5567</v>
      </c>
      <c r="C1883" s="129" t="s">
        <v>5560</v>
      </c>
      <c r="D1883" s="142" t="s">
        <v>5561</v>
      </c>
      <c r="E1883" s="84" t="s">
        <v>5568</v>
      </c>
      <c r="F1883" s="113"/>
      <c r="G1883" s="131"/>
      <c r="H1883" s="186" t="s">
        <v>5540</v>
      </c>
      <c r="I1883" s="125" t="s">
        <v>326</v>
      </c>
      <c r="J1883" s="125" t="s">
        <v>331</v>
      </c>
      <c r="K1883" s="125" t="s">
        <v>1178</v>
      </c>
      <c r="L1883" s="125" t="s">
        <v>507</v>
      </c>
      <c r="M1883" s="125" t="s">
        <v>508</v>
      </c>
    </row>
    <row r="1884" spans="1:13" s="114" customFormat="1" ht="25.5">
      <c r="A1884" s="136">
        <v>1882</v>
      </c>
      <c r="B1884" s="136" t="s">
        <v>5569</v>
      </c>
      <c r="C1884" s="129" t="s">
        <v>5570</v>
      </c>
      <c r="D1884" s="142" t="s">
        <v>5571</v>
      </c>
      <c r="E1884" s="84" t="s">
        <v>5572</v>
      </c>
      <c r="F1884" s="113"/>
      <c r="G1884" s="131"/>
      <c r="H1884" s="186" t="s">
        <v>5540</v>
      </c>
      <c r="I1884" s="125" t="s">
        <v>326</v>
      </c>
      <c r="J1884" s="125" t="s">
        <v>331</v>
      </c>
      <c r="K1884" s="125" t="s">
        <v>1178</v>
      </c>
      <c r="L1884" s="125" t="s">
        <v>507</v>
      </c>
      <c r="M1884" s="125" t="s">
        <v>508</v>
      </c>
    </row>
    <row r="1885" spans="1:13" s="114" customFormat="1" ht="25.5">
      <c r="A1885" s="136">
        <v>1883</v>
      </c>
      <c r="B1885" s="129" t="s">
        <v>5540</v>
      </c>
      <c r="C1885" s="129" t="s">
        <v>5570</v>
      </c>
      <c r="D1885" s="142" t="s">
        <v>5571</v>
      </c>
      <c r="E1885" s="84" t="s">
        <v>5573</v>
      </c>
      <c r="F1885" s="113"/>
      <c r="G1885" s="131"/>
      <c r="H1885" s="186" t="s">
        <v>5574</v>
      </c>
      <c r="I1885" s="125" t="s">
        <v>326</v>
      </c>
      <c r="J1885" s="125" t="s">
        <v>331</v>
      </c>
      <c r="K1885" s="125" t="s">
        <v>1178</v>
      </c>
      <c r="L1885" s="125" t="s">
        <v>507</v>
      </c>
      <c r="M1885" s="125" t="s">
        <v>508</v>
      </c>
    </row>
    <row r="1886" spans="1:13" s="114" customFormat="1" ht="38.25">
      <c r="A1886" s="136">
        <v>1884</v>
      </c>
      <c r="B1886" s="136" t="s">
        <v>5575</v>
      </c>
      <c r="C1886" s="129">
        <v>6.2</v>
      </c>
      <c r="D1886" s="142" t="s">
        <v>5576</v>
      </c>
      <c r="E1886" s="84" t="s">
        <v>5577</v>
      </c>
      <c r="F1886" s="113"/>
      <c r="G1886" s="131"/>
      <c r="H1886" s="186" t="s">
        <v>5540</v>
      </c>
      <c r="I1886" s="125" t="s">
        <v>326</v>
      </c>
      <c r="J1886" s="125" t="s">
        <v>331</v>
      </c>
      <c r="K1886" s="125" t="s">
        <v>1178</v>
      </c>
      <c r="L1886" s="125" t="s">
        <v>507</v>
      </c>
      <c r="M1886" s="125" t="s">
        <v>508</v>
      </c>
    </row>
    <row r="1887" spans="1:13" s="114" customFormat="1" ht="25.5">
      <c r="A1887" s="136">
        <v>1885</v>
      </c>
      <c r="B1887" s="136" t="s">
        <v>5578</v>
      </c>
      <c r="C1887" s="129" t="s">
        <v>5570</v>
      </c>
      <c r="D1887" s="142" t="s">
        <v>5571</v>
      </c>
      <c r="E1887" s="84" t="s">
        <v>5579</v>
      </c>
      <c r="F1887" s="113"/>
      <c r="G1887" s="131"/>
      <c r="H1887" s="186" t="s">
        <v>5540</v>
      </c>
      <c r="I1887" s="125" t="s">
        <v>326</v>
      </c>
      <c r="J1887" s="125" t="s">
        <v>331</v>
      </c>
      <c r="K1887" s="125" t="s">
        <v>1178</v>
      </c>
      <c r="L1887" s="125" t="s">
        <v>507</v>
      </c>
      <c r="M1887" s="125" t="s">
        <v>508</v>
      </c>
    </row>
    <row r="1888" spans="1:13" s="114" customFormat="1" ht="38.25">
      <c r="A1888" s="136">
        <v>1886</v>
      </c>
      <c r="B1888" s="136" t="s">
        <v>5580</v>
      </c>
      <c r="C1888" s="129" t="s">
        <v>5570</v>
      </c>
      <c r="D1888" s="142" t="s">
        <v>5571</v>
      </c>
      <c r="E1888" s="84" t="s">
        <v>5581</v>
      </c>
      <c r="F1888" s="113"/>
      <c r="G1888" s="131"/>
      <c r="H1888" s="186" t="s">
        <v>5540</v>
      </c>
      <c r="I1888" s="125" t="s">
        <v>326</v>
      </c>
      <c r="J1888" s="125" t="s">
        <v>331</v>
      </c>
      <c r="K1888" s="125" t="s">
        <v>1178</v>
      </c>
      <c r="L1888" s="125" t="s">
        <v>507</v>
      </c>
      <c r="M1888" s="125" t="s">
        <v>508</v>
      </c>
    </row>
    <row r="1889" spans="1:13" s="114" customFormat="1" ht="25.5">
      <c r="A1889" s="136">
        <v>1887</v>
      </c>
      <c r="B1889" s="129" t="s">
        <v>5582</v>
      </c>
      <c r="C1889" s="129" t="s">
        <v>5570</v>
      </c>
      <c r="D1889" s="142" t="s">
        <v>5571</v>
      </c>
      <c r="E1889" s="84" t="s">
        <v>5583</v>
      </c>
      <c r="F1889" s="113"/>
      <c r="G1889" s="131"/>
      <c r="H1889" s="186" t="s">
        <v>5540</v>
      </c>
      <c r="I1889" s="125" t="s">
        <v>326</v>
      </c>
      <c r="J1889" s="125" t="s">
        <v>331</v>
      </c>
      <c r="K1889" s="125" t="s">
        <v>1178</v>
      </c>
      <c r="L1889" s="125" t="s">
        <v>507</v>
      </c>
      <c r="M1889" s="125" t="s">
        <v>508</v>
      </c>
    </row>
    <row r="1890" spans="1:13" s="114" customFormat="1" ht="38.25">
      <c r="A1890" s="136">
        <v>1888</v>
      </c>
      <c r="B1890" s="136" t="s">
        <v>5584</v>
      </c>
      <c r="C1890" s="129" t="s">
        <v>5570</v>
      </c>
      <c r="D1890" s="142" t="s">
        <v>5571</v>
      </c>
      <c r="E1890" s="84" t="s">
        <v>5585</v>
      </c>
      <c r="F1890" s="113"/>
      <c r="G1890" s="131"/>
      <c r="H1890" s="186" t="s">
        <v>5540</v>
      </c>
      <c r="I1890" s="125" t="s">
        <v>326</v>
      </c>
      <c r="J1890" s="125" t="s">
        <v>331</v>
      </c>
      <c r="K1890" s="125" t="s">
        <v>1178</v>
      </c>
      <c r="L1890" s="125" t="s">
        <v>507</v>
      </c>
      <c r="M1890" s="125" t="s">
        <v>508</v>
      </c>
    </row>
    <row r="1891" spans="1:13" s="114" customFormat="1" ht="25.5">
      <c r="A1891" s="136">
        <v>1889</v>
      </c>
      <c r="B1891" s="129" t="s">
        <v>5586</v>
      </c>
      <c r="C1891" s="129" t="s">
        <v>5570</v>
      </c>
      <c r="D1891" s="142" t="s">
        <v>5571</v>
      </c>
      <c r="E1891" s="84" t="s">
        <v>5587</v>
      </c>
      <c r="F1891" s="113"/>
      <c r="G1891" s="131"/>
      <c r="H1891" s="186" t="s">
        <v>5540</v>
      </c>
      <c r="I1891" s="125" t="s">
        <v>326</v>
      </c>
      <c r="J1891" s="125" t="s">
        <v>331</v>
      </c>
      <c r="K1891" s="125" t="s">
        <v>1178</v>
      </c>
      <c r="L1891" s="125" t="s">
        <v>507</v>
      </c>
      <c r="M1891" s="125" t="s">
        <v>508</v>
      </c>
    </row>
    <row r="1892" spans="1:13" s="114" customFormat="1" ht="25.5">
      <c r="A1892" s="136">
        <v>1890</v>
      </c>
      <c r="B1892" s="136" t="s">
        <v>5588</v>
      </c>
      <c r="C1892" s="129">
        <v>7</v>
      </c>
      <c r="D1892" s="142" t="s">
        <v>5589</v>
      </c>
      <c r="E1892" s="84" t="s">
        <v>5590</v>
      </c>
      <c r="F1892" s="113"/>
      <c r="G1892" s="131"/>
      <c r="H1892" s="186" t="s">
        <v>896</v>
      </c>
      <c r="I1892" s="125" t="s">
        <v>326</v>
      </c>
      <c r="J1892" s="125" t="s">
        <v>341</v>
      </c>
      <c r="K1892" s="125" t="s">
        <v>580</v>
      </c>
      <c r="L1892" s="125" t="s">
        <v>507</v>
      </c>
      <c r="M1892" s="125" t="s">
        <v>508</v>
      </c>
    </row>
    <row r="1893" spans="1:13" s="114" customFormat="1" ht="51">
      <c r="A1893" s="136">
        <v>1891</v>
      </c>
      <c r="B1893" s="129" t="s">
        <v>5591</v>
      </c>
      <c r="C1893" s="129">
        <v>7</v>
      </c>
      <c r="D1893" s="142" t="s">
        <v>5589</v>
      </c>
      <c r="E1893" s="84" t="s">
        <v>5592</v>
      </c>
      <c r="F1893" s="113"/>
      <c r="G1893" s="131"/>
      <c r="H1893" s="186" t="s">
        <v>5593</v>
      </c>
      <c r="I1893" s="125" t="s">
        <v>326</v>
      </c>
      <c r="J1893" s="125" t="s">
        <v>331</v>
      </c>
      <c r="K1893" s="125" t="s">
        <v>530</v>
      </c>
      <c r="L1893" s="125" t="s">
        <v>507</v>
      </c>
      <c r="M1893" s="125" t="s">
        <v>508</v>
      </c>
    </row>
    <row r="1894" spans="1:13" s="114" customFormat="1" ht="51">
      <c r="A1894" s="136">
        <v>1892</v>
      </c>
      <c r="B1894" s="136" t="s">
        <v>5594</v>
      </c>
      <c r="C1894" s="129">
        <v>7</v>
      </c>
      <c r="D1894" s="142" t="s">
        <v>5589</v>
      </c>
      <c r="E1894" s="84" t="s">
        <v>5595</v>
      </c>
      <c r="F1894" s="113"/>
      <c r="G1894" s="131"/>
      <c r="H1894" s="186" t="s">
        <v>5591</v>
      </c>
      <c r="I1894" s="125" t="s">
        <v>326</v>
      </c>
      <c r="J1894" s="125" t="s">
        <v>331</v>
      </c>
      <c r="K1894" s="125" t="s">
        <v>530</v>
      </c>
      <c r="L1894" s="125" t="s">
        <v>507</v>
      </c>
      <c r="M1894" s="125" t="s">
        <v>508</v>
      </c>
    </row>
    <row r="1895" spans="1:13" s="114" customFormat="1" ht="51">
      <c r="A1895" s="136">
        <v>1893</v>
      </c>
      <c r="B1895" s="129" t="s">
        <v>5596</v>
      </c>
      <c r="C1895" s="129">
        <v>7</v>
      </c>
      <c r="D1895" s="142" t="s">
        <v>5589</v>
      </c>
      <c r="E1895" s="84" t="s">
        <v>5597</v>
      </c>
      <c r="F1895" s="113"/>
      <c r="G1895" s="131"/>
      <c r="H1895" s="186" t="s">
        <v>527</v>
      </c>
      <c r="I1895" s="125" t="s">
        <v>326</v>
      </c>
      <c r="J1895" s="125" t="s">
        <v>331</v>
      </c>
      <c r="K1895" s="125" t="s">
        <v>530</v>
      </c>
      <c r="L1895" s="125" t="s">
        <v>507</v>
      </c>
      <c r="M1895" s="125" t="s">
        <v>508</v>
      </c>
    </row>
    <row r="1896" spans="1:13" s="114" customFormat="1" ht="51">
      <c r="A1896" s="136">
        <v>1894</v>
      </c>
      <c r="B1896" s="136" t="s">
        <v>5598</v>
      </c>
      <c r="C1896" s="129">
        <v>7</v>
      </c>
      <c r="D1896" s="142" t="s">
        <v>5589</v>
      </c>
      <c r="E1896" s="84" t="s">
        <v>5599</v>
      </c>
      <c r="F1896" s="113"/>
      <c r="G1896" s="131"/>
      <c r="H1896" s="186" t="s">
        <v>527</v>
      </c>
      <c r="I1896" s="125" t="s">
        <v>326</v>
      </c>
      <c r="J1896" s="125" t="s">
        <v>331</v>
      </c>
      <c r="K1896" s="125" t="s">
        <v>530</v>
      </c>
      <c r="L1896" s="125" t="s">
        <v>507</v>
      </c>
      <c r="M1896" s="125" t="s">
        <v>508</v>
      </c>
    </row>
    <row r="1897" spans="1:13" s="114" customFormat="1" ht="51">
      <c r="A1897" s="136">
        <v>1895</v>
      </c>
      <c r="B1897" s="129" t="s">
        <v>5600</v>
      </c>
      <c r="C1897" s="129">
        <v>7</v>
      </c>
      <c r="D1897" s="142" t="s">
        <v>5589</v>
      </c>
      <c r="E1897" s="84" t="s">
        <v>5601</v>
      </c>
      <c r="F1897" s="113"/>
      <c r="G1897" s="131"/>
      <c r="H1897" s="186" t="s">
        <v>684</v>
      </c>
      <c r="I1897" s="125" t="s">
        <v>326</v>
      </c>
      <c r="J1897" s="125" t="s">
        <v>331</v>
      </c>
      <c r="K1897" s="125" t="s">
        <v>530</v>
      </c>
      <c r="L1897" s="125" t="s">
        <v>507</v>
      </c>
      <c r="M1897" s="125" t="s">
        <v>508</v>
      </c>
    </row>
    <row r="1898" spans="1:13" s="114" customFormat="1" ht="25.5">
      <c r="A1898" s="136">
        <v>1896</v>
      </c>
      <c r="B1898" s="136" t="s">
        <v>5602</v>
      </c>
      <c r="C1898" s="129">
        <v>7</v>
      </c>
      <c r="D1898" s="142" t="s">
        <v>5589</v>
      </c>
      <c r="E1898" s="84" t="s">
        <v>5603</v>
      </c>
      <c r="F1898" s="113"/>
      <c r="G1898" s="131"/>
      <c r="H1898" s="186" t="s">
        <v>596</v>
      </c>
      <c r="I1898" s="125" t="s">
        <v>326</v>
      </c>
      <c r="J1898" s="125" t="s">
        <v>352</v>
      </c>
      <c r="K1898" s="125" t="s">
        <v>597</v>
      </c>
      <c r="L1898" s="125" t="s">
        <v>507</v>
      </c>
      <c r="M1898" s="125" t="s">
        <v>508</v>
      </c>
    </row>
    <row r="1899" spans="1:13" s="114" customFormat="1" ht="51">
      <c r="A1899" s="136">
        <v>1897</v>
      </c>
      <c r="B1899" s="129" t="s">
        <v>5604</v>
      </c>
      <c r="C1899" s="129">
        <v>7</v>
      </c>
      <c r="D1899" s="142" t="s">
        <v>5589</v>
      </c>
      <c r="E1899" s="84" t="s">
        <v>5605</v>
      </c>
      <c r="F1899" s="113"/>
      <c r="G1899" s="131"/>
      <c r="H1899" s="186" t="s">
        <v>690</v>
      </c>
      <c r="I1899" s="125" t="s">
        <v>326</v>
      </c>
      <c r="J1899" s="125" t="s">
        <v>331</v>
      </c>
      <c r="K1899" s="125" t="s">
        <v>530</v>
      </c>
      <c r="L1899" s="125" t="s">
        <v>507</v>
      </c>
      <c r="M1899" s="125" t="s">
        <v>508</v>
      </c>
    </row>
    <row r="1900" spans="1:13" s="114" customFormat="1" ht="51">
      <c r="A1900" s="136">
        <v>1898</v>
      </c>
      <c r="B1900" s="136" t="s">
        <v>5606</v>
      </c>
      <c r="C1900" s="129">
        <v>7</v>
      </c>
      <c r="D1900" s="142" t="s">
        <v>5589</v>
      </c>
      <c r="E1900" s="84" t="s">
        <v>5607</v>
      </c>
      <c r="F1900" s="113"/>
      <c r="G1900" s="131"/>
      <c r="H1900" s="186" t="s">
        <v>596</v>
      </c>
      <c r="I1900" s="125" t="s">
        <v>326</v>
      </c>
      <c r="J1900" s="125" t="s">
        <v>352</v>
      </c>
      <c r="K1900" s="125" t="s">
        <v>597</v>
      </c>
      <c r="L1900" s="125" t="s">
        <v>507</v>
      </c>
      <c r="M1900" s="125" t="s">
        <v>508</v>
      </c>
    </row>
    <row r="1901" spans="1:13" s="114" customFormat="1" ht="51">
      <c r="A1901" s="136">
        <v>1899</v>
      </c>
      <c r="B1901" s="136" t="s">
        <v>5608</v>
      </c>
      <c r="C1901" s="129" t="s">
        <v>5609</v>
      </c>
      <c r="D1901" s="142" t="s">
        <v>5610</v>
      </c>
      <c r="E1901" s="84" t="s">
        <v>5611</v>
      </c>
      <c r="F1901" s="113"/>
      <c r="G1901" s="131"/>
      <c r="H1901" s="186" t="s">
        <v>3785</v>
      </c>
      <c r="I1901" s="125" t="s">
        <v>326</v>
      </c>
      <c r="J1901" s="125" t="s">
        <v>331</v>
      </c>
      <c r="K1901" s="125" t="s">
        <v>530</v>
      </c>
      <c r="L1901" s="125" t="s">
        <v>507</v>
      </c>
      <c r="M1901" s="125" t="s">
        <v>508</v>
      </c>
    </row>
    <row r="1902" spans="1:13" s="114" customFormat="1" ht="51">
      <c r="A1902" s="136">
        <v>1900</v>
      </c>
      <c r="B1902" s="129" t="s">
        <v>5612</v>
      </c>
      <c r="C1902" s="129" t="s">
        <v>5609</v>
      </c>
      <c r="D1902" s="142" t="s">
        <v>5610</v>
      </c>
      <c r="E1902" s="84" t="s">
        <v>5613</v>
      </c>
      <c r="F1902" s="113"/>
      <c r="G1902" s="131"/>
      <c r="H1902" s="186" t="s">
        <v>3785</v>
      </c>
      <c r="I1902" s="125" t="s">
        <v>326</v>
      </c>
      <c r="J1902" s="125" t="s">
        <v>331</v>
      </c>
      <c r="K1902" s="125" t="s">
        <v>530</v>
      </c>
      <c r="L1902" s="125" t="s">
        <v>507</v>
      </c>
      <c r="M1902" s="125" t="s">
        <v>508</v>
      </c>
    </row>
    <row r="1903" spans="1:13" s="114" customFormat="1" ht="51">
      <c r="A1903" s="136">
        <v>1901</v>
      </c>
      <c r="B1903" s="136" t="s">
        <v>5614</v>
      </c>
      <c r="C1903" s="129" t="s">
        <v>5609</v>
      </c>
      <c r="D1903" s="142" t="s">
        <v>5610</v>
      </c>
      <c r="E1903" s="84" t="s">
        <v>5615</v>
      </c>
      <c r="F1903" s="113"/>
      <c r="G1903" s="131"/>
      <c r="H1903" s="186" t="s">
        <v>3785</v>
      </c>
      <c r="I1903" s="125" t="s">
        <v>326</v>
      </c>
      <c r="J1903" s="125" t="s">
        <v>331</v>
      </c>
      <c r="K1903" s="125" t="s">
        <v>530</v>
      </c>
      <c r="L1903" s="125" t="s">
        <v>507</v>
      </c>
      <c r="M1903" s="125" t="s">
        <v>508</v>
      </c>
    </row>
    <row r="1904" spans="1:13" s="114" customFormat="1" ht="51">
      <c r="A1904" s="136">
        <v>1902</v>
      </c>
      <c r="B1904" s="129" t="s">
        <v>5616</v>
      </c>
      <c r="C1904" s="129" t="s">
        <v>5609</v>
      </c>
      <c r="D1904" s="142" t="s">
        <v>5610</v>
      </c>
      <c r="E1904" s="84" t="s">
        <v>5617</v>
      </c>
      <c r="F1904" s="113"/>
      <c r="G1904" s="131"/>
      <c r="H1904" s="186" t="s">
        <v>3785</v>
      </c>
      <c r="I1904" s="125" t="s">
        <v>326</v>
      </c>
      <c r="J1904" s="125" t="s">
        <v>331</v>
      </c>
      <c r="K1904" s="125" t="s">
        <v>530</v>
      </c>
      <c r="L1904" s="125" t="s">
        <v>507</v>
      </c>
      <c r="M1904" s="125" t="s">
        <v>508</v>
      </c>
    </row>
    <row r="1905" spans="1:13" s="114" customFormat="1" ht="51">
      <c r="A1905" s="136">
        <v>1903</v>
      </c>
      <c r="B1905" s="136" t="s">
        <v>5618</v>
      </c>
      <c r="C1905" s="129" t="s">
        <v>5619</v>
      </c>
      <c r="D1905" s="142" t="s">
        <v>5620</v>
      </c>
      <c r="E1905" s="84" t="s">
        <v>5621</v>
      </c>
      <c r="F1905" s="113"/>
      <c r="G1905" s="131"/>
      <c r="H1905" s="186" t="s">
        <v>1299</v>
      </c>
      <c r="I1905" s="125" t="s">
        <v>326</v>
      </c>
      <c r="J1905" s="125" t="s">
        <v>331</v>
      </c>
      <c r="K1905" s="125" t="s">
        <v>530</v>
      </c>
      <c r="L1905" s="125" t="s">
        <v>507</v>
      </c>
      <c r="M1905" s="125" t="s">
        <v>508</v>
      </c>
    </row>
    <row r="1906" spans="1:13" s="114" customFormat="1" ht="51">
      <c r="A1906" s="136">
        <v>1904</v>
      </c>
      <c r="B1906" s="129" t="s">
        <v>5622</v>
      </c>
      <c r="C1906" s="129" t="s">
        <v>5619</v>
      </c>
      <c r="D1906" s="142" t="s">
        <v>5620</v>
      </c>
      <c r="E1906" s="84" t="s">
        <v>5623</v>
      </c>
      <c r="F1906" s="113"/>
      <c r="G1906" s="131"/>
      <c r="H1906" s="186" t="s">
        <v>1299</v>
      </c>
      <c r="I1906" s="125" t="s">
        <v>326</v>
      </c>
      <c r="J1906" s="125" t="s">
        <v>331</v>
      </c>
      <c r="K1906" s="125" t="s">
        <v>530</v>
      </c>
      <c r="L1906" s="125" t="s">
        <v>507</v>
      </c>
      <c r="M1906" s="125" t="s">
        <v>508</v>
      </c>
    </row>
    <row r="1907" spans="1:13" s="114" customFormat="1" ht="51">
      <c r="A1907" s="136">
        <v>1905</v>
      </c>
      <c r="B1907" s="129" t="s">
        <v>5624</v>
      </c>
      <c r="C1907" s="129" t="s">
        <v>5619</v>
      </c>
      <c r="D1907" s="142" t="s">
        <v>5620</v>
      </c>
      <c r="E1907" s="84" t="s">
        <v>5625</v>
      </c>
      <c r="F1907" s="113"/>
      <c r="G1907" s="131"/>
      <c r="H1907" s="186" t="s">
        <v>1299</v>
      </c>
      <c r="I1907" s="125" t="s">
        <v>326</v>
      </c>
      <c r="J1907" s="125" t="s">
        <v>331</v>
      </c>
      <c r="K1907" s="125" t="s">
        <v>530</v>
      </c>
      <c r="L1907" s="125" t="s">
        <v>507</v>
      </c>
      <c r="M1907" s="125" t="s">
        <v>508</v>
      </c>
    </row>
    <row r="1908" spans="1:13" s="114" customFormat="1" ht="51">
      <c r="A1908" s="136">
        <v>1906</v>
      </c>
      <c r="B1908" s="129" t="s">
        <v>5626</v>
      </c>
      <c r="C1908" s="129" t="s">
        <v>5627</v>
      </c>
      <c r="D1908" s="142" t="s">
        <v>5628</v>
      </c>
      <c r="E1908" s="84" t="s">
        <v>5629</v>
      </c>
      <c r="F1908" s="113"/>
      <c r="G1908" s="131"/>
      <c r="H1908" s="186" t="s">
        <v>1299</v>
      </c>
      <c r="I1908" s="125" t="s">
        <v>326</v>
      </c>
      <c r="J1908" s="125" t="s">
        <v>331</v>
      </c>
      <c r="K1908" s="125" t="s">
        <v>530</v>
      </c>
      <c r="L1908" s="125" t="s">
        <v>507</v>
      </c>
      <c r="M1908" s="125" t="s">
        <v>508</v>
      </c>
    </row>
    <row r="1909" spans="1:13" s="114" customFormat="1" ht="25.5">
      <c r="A1909" s="136">
        <v>1907</v>
      </c>
      <c r="B1909" s="136" t="s">
        <v>5630</v>
      </c>
      <c r="C1909" s="129" t="s">
        <v>5631</v>
      </c>
      <c r="D1909" s="142" t="s">
        <v>5632</v>
      </c>
      <c r="E1909" s="84" t="s">
        <v>5633</v>
      </c>
      <c r="F1909" s="113"/>
      <c r="G1909" s="131"/>
      <c r="H1909" s="186" t="s">
        <v>5352</v>
      </c>
      <c r="I1909" s="125" t="s">
        <v>326</v>
      </c>
      <c r="J1909" s="125" t="s">
        <v>331</v>
      </c>
      <c r="K1909" s="125" t="s">
        <v>1178</v>
      </c>
      <c r="L1909" s="125" t="s">
        <v>507</v>
      </c>
      <c r="M1909" s="125" t="s">
        <v>508</v>
      </c>
    </row>
    <row r="1910" spans="1:13" s="114" customFormat="1" ht="25.5">
      <c r="A1910" s="136">
        <v>1908</v>
      </c>
      <c r="B1910" s="129" t="s">
        <v>5634</v>
      </c>
      <c r="C1910" s="129" t="s">
        <v>5631</v>
      </c>
      <c r="D1910" s="142" t="s">
        <v>5632</v>
      </c>
      <c r="E1910" s="84" t="s">
        <v>5635</v>
      </c>
      <c r="F1910" s="113"/>
      <c r="G1910" s="131"/>
      <c r="H1910" s="186" t="s">
        <v>1237</v>
      </c>
      <c r="I1910" s="125" t="s">
        <v>326</v>
      </c>
      <c r="J1910" s="125" t="s">
        <v>331</v>
      </c>
      <c r="K1910" s="125" t="s">
        <v>1178</v>
      </c>
      <c r="L1910" s="125" t="s">
        <v>507</v>
      </c>
      <c r="M1910" s="125" t="s">
        <v>508</v>
      </c>
    </row>
    <row r="1911" spans="1:13" s="114" customFormat="1" ht="51">
      <c r="A1911" s="136">
        <v>1909</v>
      </c>
      <c r="B1911" s="136" t="s">
        <v>5636</v>
      </c>
      <c r="C1911" s="129" t="s">
        <v>5637</v>
      </c>
      <c r="D1911" s="142" t="s">
        <v>5638</v>
      </c>
      <c r="E1911" s="84" t="s">
        <v>5639</v>
      </c>
      <c r="F1911" s="113"/>
      <c r="G1911" s="131"/>
      <c r="H1911" s="186" t="s">
        <v>1179</v>
      </c>
      <c r="I1911" s="125" t="s">
        <v>326</v>
      </c>
      <c r="J1911" s="125" t="s">
        <v>331</v>
      </c>
      <c r="K1911" s="125" t="s">
        <v>530</v>
      </c>
      <c r="L1911" s="125" t="s">
        <v>507</v>
      </c>
      <c r="M1911" s="125" t="s">
        <v>508</v>
      </c>
    </row>
    <row r="1912" spans="1:13" s="114" customFormat="1" ht="51">
      <c r="A1912" s="136">
        <v>1910</v>
      </c>
      <c r="B1912" s="136" t="s">
        <v>5640</v>
      </c>
      <c r="C1912" s="129" t="s">
        <v>5637</v>
      </c>
      <c r="D1912" s="142" t="s">
        <v>5638</v>
      </c>
      <c r="E1912" s="84" t="s">
        <v>5641</v>
      </c>
      <c r="F1912" s="113"/>
      <c r="G1912" s="131"/>
      <c r="H1912" s="186" t="s">
        <v>2708</v>
      </c>
      <c r="I1912" s="125" t="s">
        <v>326</v>
      </c>
      <c r="J1912" s="125" t="s">
        <v>331</v>
      </c>
      <c r="K1912" s="125" t="s">
        <v>530</v>
      </c>
      <c r="L1912" s="125" t="s">
        <v>315</v>
      </c>
      <c r="M1912" s="125" t="s">
        <v>508</v>
      </c>
    </row>
    <row r="1913" spans="1:13" s="114" customFormat="1" ht="38.25">
      <c r="A1913" s="136">
        <v>1911</v>
      </c>
      <c r="B1913" s="136" t="s">
        <v>5642</v>
      </c>
      <c r="C1913" s="129">
        <v>10.4</v>
      </c>
      <c r="D1913" s="142" t="s">
        <v>5643</v>
      </c>
      <c r="E1913" s="84" t="s">
        <v>5644</v>
      </c>
      <c r="F1913" s="113"/>
      <c r="G1913" s="131"/>
      <c r="H1913" s="186" t="s">
        <v>653</v>
      </c>
      <c r="I1913" s="125" t="s">
        <v>326</v>
      </c>
      <c r="J1913" s="125" t="s">
        <v>331</v>
      </c>
      <c r="K1913" s="125" t="s">
        <v>506</v>
      </c>
      <c r="L1913" s="125" t="s">
        <v>507</v>
      </c>
      <c r="M1913" s="125" t="s">
        <v>508</v>
      </c>
    </row>
    <row r="1914" spans="1:13" s="114" customFormat="1" ht="38.25">
      <c r="A1914" s="136">
        <v>1912</v>
      </c>
      <c r="B1914" s="136" t="s">
        <v>5645</v>
      </c>
      <c r="C1914" s="129" t="s">
        <v>5646</v>
      </c>
      <c r="D1914" s="142" t="s">
        <v>5647</v>
      </c>
      <c r="E1914" s="84" t="s">
        <v>5648</v>
      </c>
      <c r="F1914" s="113"/>
      <c r="G1914" s="131"/>
      <c r="H1914" s="186" t="s">
        <v>1221</v>
      </c>
      <c r="I1914" s="125" t="s">
        <v>326</v>
      </c>
      <c r="J1914" s="125" t="s">
        <v>331</v>
      </c>
      <c r="K1914" s="125" t="s">
        <v>1178</v>
      </c>
      <c r="L1914" s="125" t="s">
        <v>507</v>
      </c>
      <c r="M1914" s="125" t="s">
        <v>508</v>
      </c>
    </row>
    <row r="1915" spans="1:13" s="114" customFormat="1" ht="25.5">
      <c r="A1915" s="136">
        <v>1913</v>
      </c>
      <c r="B1915" s="129" t="s">
        <v>5649</v>
      </c>
      <c r="C1915" s="129" t="s">
        <v>4436</v>
      </c>
      <c r="D1915" s="142" t="s">
        <v>5650</v>
      </c>
      <c r="E1915" s="84" t="s">
        <v>5651</v>
      </c>
      <c r="F1915" s="113"/>
      <c r="G1915" s="131"/>
      <c r="H1915" s="186" t="s">
        <v>1221</v>
      </c>
      <c r="I1915" s="125" t="s">
        <v>326</v>
      </c>
      <c r="J1915" s="125" t="s">
        <v>331</v>
      </c>
      <c r="K1915" s="125" t="s">
        <v>1178</v>
      </c>
      <c r="L1915" s="125" t="s">
        <v>507</v>
      </c>
      <c r="M1915" s="125" t="s">
        <v>508</v>
      </c>
    </row>
    <row r="1916" spans="1:13" s="114" customFormat="1" ht="25.5">
      <c r="A1916" s="136">
        <v>1914</v>
      </c>
      <c r="B1916" s="136" t="s">
        <v>5652</v>
      </c>
      <c r="C1916" s="129" t="s">
        <v>4436</v>
      </c>
      <c r="D1916" s="142" t="s">
        <v>5650</v>
      </c>
      <c r="E1916" s="84" t="s">
        <v>5653</v>
      </c>
      <c r="F1916" s="113"/>
      <c r="G1916" s="131"/>
      <c r="H1916" s="186" t="s">
        <v>1221</v>
      </c>
      <c r="I1916" s="125" t="s">
        <v>326</v>
      </c>
      <c r="J1916" s="125" t="s">
        <v>331</v>
      </c>
      <c r="K1916" s="125" t="s">
        <v>1178</v>
      </c>
      <c r="L1916" s="125" t="s">
        <v>507</v>
      </c>
      <c r="M1916" s="125" t="s">
        <v>508</v>
      </c>
    </row>
    <row r="1917" spans="1:13" s="114" customFormat="1" ht="25.5">
      <c r="A1917" s="136">
        <v>1915</v>
      </c>
      <c r="B1917" s="136" t="s">
        <v>5654</v>
      </c>
      <c r="C1917" s="129" t="s">
        <v>4436</v>
      </c>
      <c r="D1917" s="142" t="s">
        <v>5650</v>
      </c>
      <c r="E1917" s="84" t="s">
        <v>5655</v>
      </c>
      <c r="F1917" s="113"/>
      <c r="G1917" s="131"/>
      <c r="H1917" s="186" t="s">
        <v>5352</v>
      </c>
      <c r="I1917" s="125" t="s">
        <v>326</v>
      </c>
      <c r="J1917" s="125" t="s">
        <v>331</v>
      </c>
      <c r="K1917" s="125" t="s">
        <v>1178</v>
      </c>
      <c r="L1917" s="125" t="s">
        <v>507</v>
      </c>
      <c r="M1917" s="125" t="s">
        <v>508</v>
      </c>
    </row>
    <row r="1918" spans="1:13" s="114" customFormat="1" ht="51">
      <c r="A1918" s="136">
        <v>1916</v>
      </c>
      <c r="B1918" s="129" t="s">
        <v>5656</v>
      </c>
      <c r="C1918" s="125" t="s">
        <v>5201</v>
      </c>
      <c r="D1918" s="125" t="s">
        <v>5657</v>
      </c>
      <c r="E1918" s="113" t="s">
        <v>5658</v>
      </c>
      <c r="F1918" s="113"/>
      <c r="G1918" s="131"/>
      <c r="H1918" s="186" t="s">
        <v>1179</v>
      </c>
      <c r="I1918" s="125" t="s">
        <v>326</v>
      </c>
      <c r="J1918" s="125" t="s">
        <v>331</v>
      </c>
      <c r="K1918" s="125" t="s">
        <v>530</v>
      </c>
      <c r="L1918" s="125" t="s">
        <v>507</v>
      </c>
      <c r="M1918" s="125" t="s">
        <v>508</v>
      </c>
    </row>
    <row r="1919" spans="1:13" s="114" customFormat="1" ht="51">
      <c r="A1919" s="136">
        <v>1917</v>
      </c>
      <c r="B1919" s="136" t="s">
        <v>5659</v>
      </c>
      <c r="C1919" s="136">
        <v>1.2</v>
      </c>
      <c r="D1919" s="142" t="s">
        <v>5660</v>
      </c>
      <c r="E1919" s="84" t="s">
        <v>5661</v>
      </c>
      <c r="F1919" s="113"/>
      <c r="G1919" s="131"/>
      <c r="H1919" s="186" t="s">
        <v>5662</v>
      </c>
      <c r="I1919" s="125" t="s">
        <v>326</v>
      </c>
      <c r="J1919" s="125" t="s">
        <v>352</v>
      </c>
      <c r="K1919" s="125" t="s">
        <v>597</v>
      </c>
      <c r="L1919" s="125" t="s">
        <v>314</v>
      </c>
      <c r="M1919" s="125" t="s">
        <v>953</v>
      </c>
    </row>
    <row r="1920" spans="1:13" s="114" customFormat="1" ht="51">
      <c r="A1920" s="136">
        <v>1918</v>
      </c>
      <c r="B1920" s="136" t="s">
        <v>5663</v>
      </c>
      <c r="C1920" s="136" t="s">
        <v>5664</v>
      </c>
      <c r="D1920" s="142" t="s">
        <v>5660</v>
      </c>
      <c r="E1920" s="84" t="s">
        <v>5665</v>
      </c>
      <c r="F1920" s="113"/>
      <c r="G1920" s="131"/>
      <c r="H1920" s="186" t="s">
        <v>5659</v>
      </c>
      <c r="I1920" s="125" t="s">
        <v>326</v>
      </c>
      <c r="J1920" s="125" t="s">
        <v>352</v>
      </c>
      <c r="K1920" s="125" t="s">
        <v>597</v>
      </c>
      <c r="L1920" s="125" t="s">
        <v>314</v>
      </c>
      <c r="M1920" s="125" t="s">
        <v>953</v>
      </c>
    </row>
    <row r="1921" spans="1:13" s="114" customFormat="1" ht="51">
      <c r="A1921" s="136">
        <v>1919</v>
      </c>
      <c r="B1921" s="136" t="s">
        <v>5666</v>
      </c>
      <c r="C1921" s="136" t="s">
        <v>5667</v>
      </c>
      <c r="D1921" s="142" t="s">
        <v>5660</v>
      </c>
      <c r="E1921" s="84" t="s">
        <v>5668</v>
      </c>
      <c r="F1921" s="113"/>
      <c r="G1921" s="131"/>
      <c r="H1921" s="186" t="s">
        <v>5659</v>
      </c>
      <c r="I1921" s="125" t="s">
        <v>326</v>
      </c>
      <c r="J1921" s="125" t="s">
        <v>352</v>
      </c>
      <c r="K1921" s="125" t="s">
        <v>597</v>
      </c>
      <c r="L1921" s="125" t="s">
        <v>314</v>
      </c>
      <c r="M1921" s="125" t="s">
        <v>953</v>
      </c>
    </row>
    <row r="1922" spans="1:13" s="114" customFormat="1" ht="51">
      <c r="A1922" s="136">
        <v>1920</v>
      </c>
      <c r="B1922" s="136" t="s">
        <v>5669</v>
      </c>
      <c r="C1922" s="136" t="s">
        <v>5670</v>
      </c>
      <c r="D1922" s="142" t="s">
        <v>5660</v>
      </c>
      <c r="E1922" s="84" t="s">
        <v>5671</v>
      </c>
      <c r="F1922" s="113"/>
      <c r="G1922" s="131"/>
      <c r="H1922" s="186" t="s">
        <v>5659</v>
      </c>
      <c r="I1922" s="125" t="s">
        <v>326</v>
      </c>
      <c r="J1922" s="125" t="s">
        <v>352</v>
      </c>
      <c r="K1922" s="125" t="s">
        <v>597</v>
      </c>
      <c r="L1922" s="125" t="s">
        <v>314</v>
      </c>
      <c r="M1922" s="125" t="s">
        <v>953</v>
      </c>
    </row>
    <row r="1923" spans="1:13" s="114" customFormat="1" ht="51">
      <c r="A1923" s="136">
        <v>1921</v>
      </c>
      <c r="B1923" s="136" t="s">
        <v>5672</v>
      </c>
      <c r="C1923" s="136" t="s">
        <v>5670</v>
      </c>
      <c r="D1923" s="142" t="s">
        <v>5660</v>
      </c>
      <c r="E1923" s="84" t="s">
        <v>5673</v>
      </c>
      <c r="F1923" s="113"/>
      <c r="G1923" s="131"/>
      <c r="H1923" s="186" t="s">
        <v>5659</v>
      </c>
      <c r="I1923" s="125" t="s">
        <v>326</v>
      </c>
      <c r="J1923" s="125" t="s">
        <v>352</v>
      </c>
      <c r="K1923" s="125" t="s">
        <v>597</v>
      </c>
      <c r="L1923" s="125" t="s">
        <v>314</v>
      </c>
      <c r="M1923" s="125" t="s">
        <v>953</v>
      </c>
    </row>
    <row r="1924" spans="1:13" s="114" customFormat="1" ht="51">
      <c r="A1924" s="136">
        <v>1922</v>
      </c>
      <c r="B1924" s="136" t="s">
        <v>5674</v>
      </c>
      <c r="C1924" s="136" t="s">
        <v>5675</v>
      </c>
      <c r="D1924" s="142" t="s">
        <v>5660</v>
      </c>
      <c r="E1924" s="84" t="s">
        <v>5676</v>
      </c>
      <c r="F1924" s="113"/>
      <c r="G1924" s="131"/>
      <c r="H1924" s="186" t="s">
        <v>2157</v>
      </c>
      <c r="I1924" s="125" t="s">
        <v>326</v>
      </c>
      <c r="J1924" s="125" t="s">
        <v>331</v>
      </c>
      <c r="K1924" s="125" t="s">
        <v>1191</v>
      </c>
      <c r="L1924" s="125" t="s">
        <v>314</v>
      </c>
      <c r="M1924" s="125" t="s">
        <v>953</v>
      </c>
    </row>
    <row r="1925" spans="1:13" s="114" customFormat="1" ht="63.75">
      <c r="A1925" s="136">
        <v>1923</v>
      </c>
      <c r="B1925" s="136" t="s">
        <v>5677</v>
      </c>
      <c r="C1925" s="136" t="s">
        <v>5678</v>
      </c>
      <c r="D1925" s="142" t="s">
        <v>5679</v>
      </c>
      <c r="E1925" s="84" t="s">
        <v>5680</v>
      </c>
      <c r="F1925" s="113"/>
      <c r="G1925" s="131"/>
      <c r="H1925" s="186" t="s">
        <v>2157</v>
      </c>
      <c r="I1925" s="125" t="s">
        <v>326</v>
      </c>
      <c r="J1925" s="125" t="s">
        <v>331</v>
      </c>
      <c r="K1925" s="125" t="s">
        <v>1191</v>
      </c>
      <c r="L1925" s="125" t="s">
        <v>314</v>
      </c>
      <c r="M1925" s="125" t="s">
        <v>953</v>
      </c>
    </row>
    <row r="1926" spans="1:13" s="114" customFormat="1" ht="51">
      <c r="A1926" s="136">
        <v>1924</v>
      </c>
      <c r="B1926" s="136" t="s">
        <v>5681</v>
      </c>
      <c r="C1926" s="136" t="s">
        <v>5682</v>
      </c>
      <c r="D1926" s="142" t="s">
        <v>5660</v>
      </c>
      <c r="E1926" s="84" t="s">
        <v>5683</v>
      </c>
      <c r="F1926" s="113"/>
      <c r="G1926" s="131"/>
      <c r="H1926" s="186" t="s">
        <v>1579</v>
      </c>
      <c r="I1926" s="125" t="s">
        <v>327</v>
      </c>
      <c r="J1926" s="125" t="s">
        <v>337</v>
      </c>
      <c r="K1926" s="125" t="s">
        <v>1440</v>
      </c>
      <c r="L1926" s="125" t="s">
        <v>314</v>
      </c>
      <c r="M1926" s="125" t="s">
        <v>953</v>
      </c>
    </row>
    <row r="1927" spans="1:13" s="114" customFormat="1" ht="51">
      <c r="A1927" s="136">
        <v>1925</v>
      </c>
      <c r="B1927" s="136" t="s">
        <v>5684</v>
      </c>
      <c r="C1927" s="136" t="s">
        <v>5685</v>
      </c>
      <c r="D1927" s="142" t="s">
        <v>5660</v>
      </c>
      <c r="E1927" s="84" t="s">
        <v>5686</v>
      </c>
      <c r="F1927" s="113"/>
      <c r="G1927" s="131"/>
      <c r="H1927" s="186" t="s">
        <v>5659</v>
      </c>
      <c r="I1927" s="125" t="s">
        <v>326</v>
      </c>
      <c r="J1927" s="125" t="s">
        <v>352</v>
      </c>
      <c r="K1927" s="125" t="s">
        <v>597</v>
      </c>
      <c r="L1927" s="125" t="s">
        <v>314</v>
      </c>
      <c r="M1927" s="125" t="s">
        <v>953</v>
      </c>
    </row>
    <row r="1928" spans="1:13" s="114" customFormat="1" ht="51">
      <c r="A1928" s="136">
        <v>1926</v>
      </c>
      <c r="B1928" s="136" t="s">
        <v>5687</v>
      </c>
      <c r="C1928" s="136" t="s">
        <v>5688</v>
      </c>
      <c r="D1928" s="142" t="s">
        <v>5660</v>
      </c>
      <c r="E1928" s="84" t="s">
        <v>5689</v>
      </c>
      <c r="F1928" s="113"/>
      <c r="G1928" s="131"/>
      <c r="H1928" s="186" t="s">
        <v>5659</v>
      </c>
      <c r="I1928" s="125" t="s">
        <v>326</v>
      </c>
      <c r="J1928" s="125" t="s">
        <v>352</v>
      </c>
      <c r="K1928" s="125" t="s">
        <v>597</v>
      </c>
      <c r="L1928" s="125" t="s">
        <v>314</v>
      </c>
      <c r="M1928" s="125" t="s">
        <v>953</v>
      </c>
    </row>
    <row r="1929" spans="1:13" s="114" customFormat="1" ht="38.25">
      <c r="A1929" s="136">
        <v>1927</v>
      </c>
      <c r="B1929" s="136" t="s">
        <v>5690</v>
      </c>
      <c r="C1929" s="136" t="s">
        <v>5691</v>
      </c>
      <c r="D1929" s="142" t="s">
        <v>5660</v>
      </c>
      <c r="E1929" s="84" t="s">
        <v>5692</v>
      </c>
      <c r="F1929" s="113"/>
      <c r="G1929" s="131"/>
      <c r="H1929" s="186" t="s">
        <v>2157</v>
      </c>
      <c r="I1929" s="125" t="s">
        <v>326</v>
      </c>
      <c r="J1929" s="125" t="s">
        <v>331</v>
      </c>
      <c r="K1929" s="125" t="s">
        <v>1191</v>
      </c>
      <c r="L1929" s="125" t="s">
        <v>507</v>
      </c>
      <c r="M1929" s="125" t="s">
        <v>508</v>
      </c>
    </row>
    <row r="1930" spans="1:13" s="114" customFormat="1" ht="51">
      <c r="A1930" s="136">
        <v>1928</v>
      </c>
      <c r="B1930" s="136" t="s">
        <v>5693</v>
      </c>
      <c r="C1930" s="136" t="s">
        <v>5694</v>
      </c>
      <c r="D1930" s="142" t="s">
        <v>5660</v>
      </c>
      <c r="E1930" s="84" t="s">
        <v>5695</v>
      </c>
      <c r="F1930" s="118"/>
      <c r="G1930" s="131"/>
      <c r="H1930" s="186" t="s">
        <v>5659</v>
      </c>
      <c r="I1930" s="125" t="s">
        <v>326</v>
      </c>
      <c r="J1930" s="125" t="s">
        <v>352</v>
      </c>
      <c r="K1930" s="125" t="s">
        <v>597</v>
      </c>
      <c r="L1930" s="125" t="s">
        <v>314</v>
      </c>
      <c r="M1930" s="125" t="s">
        <v>953</v>
      </c>
    </row>
    <row r="1931" spans="1:13" s="114" customFormat="1" ht="51">
      <c r="A1931" s="136">
        <v>1929</v>
      </c>
      <c r="B1931" s="136" t="s">
        <v>5696</v>
      </c>
      <c r="C1931" s="136">
        <v>1.4</v>
      </c>
      <c r="D1931" s="163" t="s">
        <v>5660</v>
      </c>
      <c r="E1931" s="84" t="s">
        <v>5697</v>
      </c>
      <c r="F1931" s="113"/>
      <c r="G1931" s="131"/>
      <c r="H1931" s="186" t="s">
        <v>5659</v>
      </c>
      <c r="I1931" s="125" t="s">
        <v>326</v>
      </c>
      <c r="J1931" s="125" t="s">
        <v>352</v>
      </c>
      <c r="K1931" s="125" t="s">
        <v>597</v>
      </c>
      <c r="L1931" s="125" t="s">
        <v>314</v>
      </c>
      <c r="M1931" s="125" t="s">
        <v>508</v>
      </c>
    </row>
    <row r="1932" spans="1:13" s="114" customFormat="1" ht="51">
      <c r="A1932" s="136">
        <v>1930</v>
      </c>
      <c r="B1932" s="136" t="s">
        <v>5698</v>
      </c>
      <c r="C1932" s="136">
        <v>2.1</v>
      </c>
      <c r="D1932" s="142" t="s">
        <v>5699</v>
      </c>
      <c r="E1932" s="84" t="s">
        <v>5700</v>
      </c>
      <c r="F1932" s="113"/>
      <c r="G1932" s="131"/>
      <c r="H1932" s="186" t="s">
        <v>518</v>
      </c>
      <c r="I1932" s="125" t="s">
        <v>326</v>
      </c>
      <c r="J1932" s="125" t="s">
        <v>331</v>
      </c>
      <c r="K1932" s="125" t="s">
        <v>506</v>
      </c>
      <c r="L1932" s="125" t="s">
        <v>507</v>
      </c>
      <c r="M1932" s="125" t="s">
        <v>508</v>
      </c>
    </row>
    <row r="1933" spans="1:13" s="114" customFormat="1" ht="51">
      <c r="A1933" s="136">
        <v>1931</v>
      </c>
      <c r="B1933" s="136" t="s">
        <v>5701</v>
      </c>
      <c r="C1933" s="136" t="s">
        <v>4296</v>
      </c>
      <c r="D1933" s="142" t="s">
        <v>5699</v>
      </c>
      <c r="E1933" s="84" t="s">
        <v>5702</v>
      </c>
      <c r="F1933" s="113"/>
      <c r="G1933" s="131"/>
      <c r="H1933" s="186" t="s">
        <v>5703</v>
      </c>
      <c r="I1933" s="125" t="s">
        <v>326</v>
      </c>
      <c r="J1933" s="125" t="s">
        <v>331</v>
      </c>
      <c r="K1933" s="125" t="s">
        <v>1178</v>
      </c>
      <c r="L1933" s="141" t="s">
        <v>315</v>
      </c>
      <c r="M1933" s="125" t="s">
        <v>508</v>
      </c>
    </row>
    <row r="1934" spans="1:13" s="114" customFormat="1" ht="51">
      <c r="A1934" s="136">
        <v>1932</v>
      </c>
      <c r="B1934" s="136" t="s">
        <v>5704</v>
      </c>
      <c r="C1934" s="136" t="s">
        <v>4296</v>
      </c>
      <c r="D1934" s="142" t="s">
        <v>5699</v>
      </c>
      <c r="E1934" s="84" t="s">
        <v>5705</v>
      </c>
      <c r="F1934" s="113"/>
      <c r="G1934" s="131"/>
      <c r="H1934" s="186" t="s">
        <v>1531</v>
      </c>
      <c r="I1934" s="125" t="s">
        <v>326</v>
      </c>
      <c r="J1934" s="125" t="s">
        <v>346</v>
      </c>
      <c r="K1934" s="125" t="s">
        <v>761</v>
      </c>
      <c r="L1934" s="125" t="s">
        <v>507</v>
      </c>
      <c r="M1934" s="125" t="s">
        <v>508</v>
      </c>
    </row>
    <row r="1935" spans="1:13" s="114" customFormat="1" ht="51">
      <c r="A1935" s="136">
        <v>1933</v>
      </c>
      <c r="B1935" s="136" t="s">
        <v>5706</v>
      </c>
      <c r="C1935" s="136" t="s">
        <v>5707</v>
      </c>
      <c r="D1935" s="142" t="s">
        <v>5699</v>
      </c>
      <c r="E1935" s="84" t="s">
        <v>5708</v>
      </c>
      <c r="F1935" s="113"/>
      <c r="G1935" s="131"/>
      <c r="H1935" s="186" t="s">
        <v>1041</v>
      </c>
      <c r="I1935" s="125" t="s">
        <v>326</v>
      </c>
      <c r="J1935" s="125" t="s">
        <v>352</v>
      </c>
      <c r="K1935" s="125" t="s">
        <v>1044</v>
      </c>
      <c r="L1935" s="125" t="s">
        <v>507</v>
      </c>
      <c r="M1935" s="125" t="s">
        <v>508</v>
      </c>
    </row>
    <row r="1936" spans="1:13" s="114" customFormat="1" ht="51">
      <c r="A1936" s="136">
        <v>1934</v>
      </c>
      <c r="B1936" s="136" t="s">
        <v>5709</v>
      </c>
      <c r="C1936" s="136" t="s">
        <v>5710</v>
      </c>
      <c r="D1936" s="142" t="s">
        <v>5699</v>
      </c>
      <c r="E1936" s="84" t="s">
        <v>5711</v>
      </c>
      <c r="F1936" s="113"/>
      <c r="G1936" s="131"/>
      <c r="H1936" s="186" t="s">
        <v>1041</v>
      </c>
      <c r="I1936" s="125" t="s">
        <v>326</v>
      </c>
      <c r="J1936" s="125" t="s">
        <v>352</v>
      </c>
      <c r="K1936" s="125" t="s">
        <v>1044</v>
      </c>
      <c r="L1936" s="125" t="s">
        <v>507</v>
      </c>
      <c r="M1936" s="125" t="s">
        <v>508</v>
      </c>
    </row>
    <row r="1937" spans="1:13" s="114" customFormat="1" ht="51">
      <c r="A1937" s="136">
        <v>1935</v>
      </c>
      <c r="B1937" s="136" t="s">
        <v>5712</v>
      </c>
      <c r="C1937" s="136">
        <v>2.2999999999999998</v>
      </c>
      <c r="D1937" s="142" t="s">
        <v>5699</v>
      </c>
      <c r="E1937" s="84" t="s">
        <v>5713</v>
      </c>
      <c r="F1937" s="113"/>
      <c r="G1937" s="131"/>
      <c r="H1937" s="186" t="s">
        <v>5659</v>
      </c>
      <c r="I1937" s="125" t="s">
        <v>326</v>
      </c>
      <c r="J1937" s="125" t="s">
        <v>352</v>
      </c>
      <c r="K1937" s="125" t="s">
        <v>597</v>
      </c>
      <c r="L1937" s="125" t="s">
        <v>507</v>
      </c>
      <c r="M1937" s="125" t="s">
        <v>508</v>
      </c>
    </row>
    <row r="1938" spans="1:13" s="114" customFormat="1" ht="38.25">
      <c r="A1938" s="136">
        <v>1936</v>
      </c>
      <c r="B1938" s="136" t="s">
        <v>5714</v>
      </c>
      <c r="C1938" s="136">
        <v>3.1</v>
      </c>
      <c r="D1938" s="137" t="s">
        <v>5715</v>
      </c>
      <c r="E1938" s="84" t="s">
        <v>5716</v>
      </c>
      <c r="F1938" s="113"/>
      <c r="G1938" s="131"/>
      <c r="H1938" s="186" t="s">
        <v>5717</v>
      </c>
      <c r="I1938" s="125" t="s">
        <v>326</v>
      </c>
      <c r="J1938" s="125" t="s">
        <v>341</v>
      </c>
      <c r="K1938" s="125" t="s">
        <v>570</v>
      </c>
      <c r="L1938" s="125" t="s">
        <v>507</v>
      </c>
      <c r="M1938" s="125" t="s">
        <v>508</v>
      </c>
    </row>
    <row r="1939" spans="1:13" s="114" customFormat="1" ht="25.5">
      <c r="A1939" s="136">
        <v>1937</v>
      </c>
      <c r="B1939" s="136" t="s">
        <v>5718</v>
      </c>
      <c r="C1939" s="136">
        <v>3.2</v>
      </c>
      <c r="D1939" s="137" t="s">
        <v>5715</v>
      </c>
      <c r="E1939" s="84" t="s">
        <v>5719</v>
      </c>
      <c r="F1939" s="113"/>
      <c r="G1939" s="131"/>
      <c r="H1939" s="186" t="s">
        <v>5714</v>
      </c>
      <c r="I1939" s="125" t="s">
        <v>326</v>
      </c>
      <c r="J1939" s="125" t="s">
        <v>341</v>
      </c>
      <c r="K1939" s="125" t="s">
        <v>570</v>
      </c>
      <c r="L1939" s="125" t="s">
        <v>507</v>
      </c>
      <c r="M1939" s="125" t="s">
        <v>508</v>
      </c>
    </row>
    <row r="1940" spans="1:13" s="114" customFormat="1" ht="25.5">
      <c r="A1940" s="136">
        <v>1938</v>
      </c>
      <c r="B1940" s="136" t="s">
        <v>5720</v>
      </c>
      <c r="C1940" s="136" t="s">
        <v>5721</v>
      </c>
      <c r="D1940" s="137" t="s">
        <v>5715</v>
      </c>
      <c r="E1940" s="84" t="s">
        <v>5722</v>
      </c>
      <c r="F1940" s="113"/>
      <c r="G1940" s="131"/>
      <c r="H1940" s="186" t="s">
        <v>5714</v>
      </c>
      <c r="I1940" s="125" t="s">
        <v>326</v>
      </c>
      <c r="J1940" s="125" t="s">
        <v>341</v>
      </c>
      <c r="K1940" s="125" t="s">
        <v>570</v>
      </c>
      <c r="L1940" s="125" t="s">
        <v>507</v>
      </c>
      <c r="M1940" s="125" t="s">
        <v>508</v>
      </c>
    </row>
    <row r="1941" spans="1:13" s="114" customFormat="1" ht="25.5">
      <c r="A1941" s="136">
        <v>1939</v>
      </c>
      <c r="B1941" s="136" t="s">
        <v>5723</v>
      </c>
      <c r="C1941" s="136" t="s">
        <v>5724</v>
      </c>
      <c r="D1941" s="137" t="s">
        <v>5715</v>
      </c>
      <c r="E1941" s="84" t="s">
        <v>5725</v>
      </c>
      <c r="F1941" s="113"/>
      <c r="G1941" s="131"/>
      <c r="H1941" s="186" t="s">
        <v>5714</v>
      </c>
      <c r="I1941" s="125" t="s">
        <v>326</v>
      </c>
      <c r="J1941" s="125" t="s">
        <v>341</v>
      </c>
      <c r="K1941" s="125" t="s">
        <v>570</v>
      </c>
      <c r="L1941" s="125" t="s">
        <v>507</v>
      </c>
      <c r="M1941" s="125" t="s">
        <v>508</v>
      </c>
    </row>
    <row r="1942" spans="1:13" s="114" customFormat="1" ht="38.25">
      <c r="A1942" s="136">
        <v>1940</v>
      </c>
      <c r="B1942" s="136" t="s">
        <v>5726</v>
      </c>
      <c r="C1942" s="136" t="s">
        <v>2866</v>
      </c>
      <c r="D1942" s="137" t="s">
        <v>5715</v>
      </c>
      <c r="E1942" s="84" t="s">
        <v>5727</v>
      </c>
      <c r="F1942" s="113"/>
      <c r="G1942" s="131"/>
      <c r="H1942" s="186" t="s">
        <v>5728</v>
      </c>
      <c r="I1942" s="125" t="s">
        <v>326</v>
      </c>
      <c r="J1942" s="125" t="s">
        <v>331</v>
      </c>
      <c r="K1942" s="125" t="s">
        <v>512</v>
      </c>
      <c r="L1942" s="125" t="s">
        <v>507</v>
      </c>
      <c r="M1942" s="125" t="s">
        <v>508</v>
      </c>
    </row>
    <row r="1943" spans="1:13" s="114" customFormat="1" ht="25.5">
      <c r="A1943" s="136">
        <v>1941</v>
      </c>
      <c r="B1943" s="136" t="s">
        <v>5729</v>
      </c>
      <c r="C1943" s="136">
        <v>3.5</v>
      </c>
      <c r="D1943" s="137" t="s">
        <v>5715</v>
      </c>
      <c r="E1943" s="84" t="s">
        <v>5730</v>
      </c>
      <c r="F1943" s="113"/>
      <c r="G1943" s="131"/>
      <c r="H1943" s="186" t="s">
        <v>5731</v>
      </c>
      <c r="I1943" s="125" t="s">
        <v>326</v>
      </c>
      <c r="J1943" s="125" t="s">
        <v>341</v>
      </c>
      <c r="K1943" s="125" t="s">
        <v>580</v>
      </c>
      <c r="L1943" s="125" t="s">
        <v>507</v>
      </c>
      <c r="M1943" s="125" t="s">
        <v>508</v>
      </c>
    </row>
    <row r="1944" spans="1:13" s="114" customFormat="1" ht="38.25">
      <c r="A1944" s="136">
        <v>1942</v>
      </c>
      <c r="B1944" s="136" t="s">
        <v>5732</v>
      </c>
      <c r="C1944" s="136" t="s">
        <v>2887</v>
      </c>
      <c r="D1944" s="137" t="s">
        <v>5715</v>
      </c>
      <c r="E1944" s="84" t="s">
        <v>5733</v>
      </c>
      <c r="F1944" s="113"/>
      <c r="G1944" s="131"/>
      <c r="H1944" s="186" t="s">
        <v>5726</v>
      </c>
      <c r="I1944" s="125" t="s">
        <v>326</v>
      </c>
      <c r="J1944" s="125" t="s">
        <v>331</v>
      </c>
      <c r="K1944" s="125" t="s">
        <v>512</v>
      </c>
      <c r="L1944" s="125" t="s">
        <v>507</v>
      </c>
      <c r="M1944" s="125" t="s">
        <v>508</v>
      </c>
    </row>
    <row r="1945" spans="1:13" s="114" customFormat="1" ht="38.25">
      <c r="A1945" s="136">
        <v>1943</v>
      </c>
      <c r="B1945" s="136" t="s">
        <v>5734</v>
      </c>
      <c r="C1945" s="136" t="s">
        <v>2890</v>
      </c>
      <c r="D1945" s="137" t="s">
        <v>5715</v>
      </c>
      <c r="E1945" s="84" t="s">
        <v>5735</v>
      </c>
      <c r="F1945" s="113"/>
      <c r="G1945" s="131"/>
      <c r="H1945" s="186" t="s">
        <v>5729</v>
      </c>
      <c r="I1945" s="125" t="s">
        <v>326</v>
      </c>
      <c r="J1945" s="125" t="s">
        <v>341</v>
      </c>
      <c r="K1945" s="125" t="s">
        <v>580</v>
      </c>
      <c r="L1945" s="125" t="s">
        <v>507</v>
      </c>
      <c r="M1945" s="125" t="s">
        <v>508</v>
      </c>
    </row>
    <row r="1946" spans="1:13" s="114" customFormat="1" ht="25.5">
      <c r="A1946" s="136">
        <v>1944</v>
      </c>
      <c r="B1946" s="136" t="s">
        <v>5736</v>
      </c>
      <c r="C1946" s="136" t="s">
        <v>2890</v>
      </c>
      <c r="D1946" s="137" t="s">
        <v>5715</v>
      </c>
      <c r="E1946" s="84" t="s">
        <v>5737</v>
      </c>
      <c r="F1946" s="113"/>
      <c r="G1946" s="131"/>
      <c r="H1946" s="186" t="s">
        <v>5729</v>
      </c>
      <c r="I1946" s="125" t="s">
        <v>326</v>
      </c>
      <c r="J1946" s="125" t="s">
        <v>341</v>
      </c>
      <c r="K1946" s="125" t="s">
        <v>580</v>
      </c>
      <c r="L1946" s="125" t="s">
        <v>507</v>
      </c>
      <c r="M1946" s="125" t="s">
        <v>508</v>
      </c>
    </row>
    <row r="1947" spans="1:13" s="114" customFormat="1" ht="25.5">
      <c r="A1947" s="136">
        <v>1945</v>
      </c>
      <c r="B1947" s="136" t="s">
        <v>5738</v>
      </c>
      <c r="C1947" s="136" t="s">
        <v>5739</v>
      </c>
      <c r="D1947" s="137" t="s">
        <v>5715</v>
      </c>
      <c r="E1947" s="84" t="s">
        <v>5740</v>
      </c>
      <c r="F1947" s="113"/>
      <c r="G1947" s="131"/>
      <c r="H1947" s="186" t="s">
        <v>5729</v>
      </c>
      <c r="I1947" s="125" t="s">
        <v>326</v>
      </c>
      <c r="J1947" s="125" t="s">
        <v>341</v>
      </c>
      <c r="K1947" s="125" t="s">
        <v>580</v>
      </c>
      <c r="L1947" s="125" t="s">
        <v>507</v>
      </c>
      <c r="M1947" s="125" t="s">
        <v>508</v>
      </c>
    </row>
    <row r="1948" spans="1:13" s="114" customFormat="1" ht="25.5">
      <c r="A1948" s="136">
        <v>1946</v>
      </c>
      <c r="B1948" s="136" t="s">
        <v>5741</v>
      </c>
      <c r="C1948" s="136" t="s">
        <v>2917</v>
      </c>
      <c r="D1948" s="137" t="s">
        <v>5715</v>
      </c>
      <c r="E1948" s="84" t="s">
        <v>5742</v>
      </c>
      <c r="F1948" s="113"/>
      <c r="G1948" s="131"/>
      <c r="H1948" s="186" t="s">
        <v>5729</v>
      </c>
      <c r="I1948" s="125" t="s">
        <v>326</v>
      </c>
      <c r="J1948" s="125" t="s">
        <v>341</v>
      </c>
      <c r="K1948" s="125" t="s">
        <v>580</v>
      </c>
      <c r="L1948" s="125" t="s">
        <v>507</v>
      </c>
      <c r="M1948" s="125" t="s">
        <v>508</v>
      </c>
    </row>
    <row r="1949" spans="1:13" s="114" customFormat="1" ht="25.5">
      <c r="A1949" s="136">
        <v>1947</v>
      </c>
      <c r="B1949" s="136" t="s">
        <v>5743</v>
      </c>
      <c r="C1949" s="136" t="s">
        <v>5744</v>
      </c>
      <c r="D1949" s="137" t="s">
        <v>5715</v>
      </c>
      <c r="E1949" s="84" t="s">
        <v>5745</v>
      </c>
      <c r="F1949" s="113"/>
      <c r="G1949" s="131"/>
      <c r="H1949" s="186" t="s">
        <v>5729</v>
      </c>
      <c r="I1949" s="125" t="s">
        <v>326</v>
      </c>
      <c r="J1949" s="125" t="s">
        <v>341</v>
      </c>
      <c r="K1949" s="125" t="s">
        <v>580</v>
      </c>
      <c r="L1949" s="125" t="s">
        <v>507</v>
      </c>
      <c r="M1949" s="125" t="s">
        <v>508</v>
      </c>
    </row>
    <row r="1950" spans="1:13" s="114" customFormat="1" ht="25.5">
      <c r="A1950" s="136">
        <v>1948</v>
      </c>
      <c r="B1950" s="136" t="s">
        <v>5746</v>
      </c>
      <c r="C1950" s="136" t="s">
        <v>5747</v>
      </c>
      <c r="D1950" s="137" t="s">
        <v>5715</v>
      </c>
      <c r="E1950" s="84" t="s">
        <v>5748</v>
      </c>
      <c r="F1950" s="113"/>
      <c r="G1950" s="131"/>
      <c r="H1950" s="186" t="s">
        <v>5729</v>
      </c>
      <c r="I1950" s="125" t="s">
        <v>326</v>
      </c>
      <c r="J1950" s="125" t="s">
        <v>341</v>
      </c>
      <c r="K1950" s="125" t="s">
        <v>580</v>
      </c>
      <c r="L1950" s="125" t="s">
        <v>507</v>
      </c>
      <c r="M1950" s="125" t="s">
        <v>508</v>
      </c>
    </row>
    <row r="1951" spans="1:13" s="114" customFormat="1" ht="25.5">
      <c r="A1951" s="136">
        <v>1949</v>
      </c>
      <c r="B1951" s="136" t="s">
        <v>5749</v>
      </c>
      <c r="C1951" s="136" t="s">
        <v>5750</v>
      </c>
      <c r="D1951" s="137" t="s">
        <v>5715</v>
      </c>
      <c r="E1951" s="84" t="s">
        <v>5751</v>
      </c>
      <c r="F1951" s="113"/>
      <c r="G1951" s="131"/>
      <c r="H1951" s="186" t="s">
        <v>5729</v>
      </c>
      <c r="I1951" s="125" t="s">
        <v>326</v>
      </c>
      <c r="J1951" s="125" t="s">
        <v>341</v>
      </c>
      <c r="K1951" s="125" t="s">
        <v>580</v>
      </c>
      <c r="L1951" s="125" t="s">
        <v>507</v>
      </c>
      <c r="M1951" s="125" t="s">
        <v>508</v>
      </c>
    </row>
    <row r="1952" spans="1:13" s="114" customFormat="1" ht="25.5">
      <c r="A1952" s="136">
        <v>1950</v>
      </c>
      <c r="B1952" s="136" t="s">
        <v>5752</v>
      </c>
      <c r="C1952" s="136" t="s">
        <v>5753</v>
      </c>
      <c r="D1952" s="137" t="s">
        <v>5715</v>
      </c>
      <c r="E1952" s="84" t="s">
        <v>5754</v>
      </c>
      <c r="F1952" s="113"/>
      <c r="G1952" s="131"/>
      <c r="H1952" s="186" t="s">
        <v>5729</v>
      </c>
      <c r="I1952" s="125" t="s">
        <v>326</v>
      </c>
      <c r="J1952" s="125" t="s">
        <v>341</v>
      </c>
      <c r="K1952" s="125" t="s">
        <v>580</v>
      </c>
      <c r="L1952" s="125" t="s">
        <v>507</v>
      </c>
      <c r="M1952" s="125" t="s">
        <v>508</v>
      </c>
    </row>
    <row r="1953" spans="1:13" s="114" customFormat="1" ht="25.5">
      <c r="A1953" s="136">
        <v>1951</v>
      </c>
      <c r="B1953" s="136" t="s">
        <v>5755</v>
      </c>
      <c r="C1953" s="136" t="s">
        <v>5756</v>
      </c>
      <c r="D1953" s="137" t="s">
        <v>5715</v>
      </c>
      <c r="E1953" s="84" t="s">
        <v>5757</v>
      </c>
      <c r="F1953" s="113"/>
      <c r="G1953" s="131"/>
      <c r="H1953" s="186" t="s">
        <v>5729</v>
      </c>
      <c r="I1953" s="125" t="s">
        <v>326</v>
      </c>
      <c r="J1953" s="125" t="s">
        <v>341</v>
      </c>
      <c r="K1953" s="125" t="s">
        <v>580</v>
      </c>
      <c r="L1953" s="125" t="s">
        <v>507</v>
      </c>
      <c r="M1953" s="125" t="s">
        <v>508</v>
      </c>
    </row>
    <row r="1954" spans="1:13" s="114" customFormat="1" ht="38.25">
      <c r="A1954" s="136">
        <v>1952</v>
      </c>
      <c r="B1954" s="136" t="s">
        <v>5758</v>
      </c>
      <c r="C1954" s="136">
        <v>4.0999999999999996</v>
      </c>
      <c r="D1954" s="163" t="s">
        <v>5759</v>
      </c>
      <c r="E1954" s="84" t="s">
        <v>5760</v>
      </c>
      <c r="F1954" s="113"/>
      <c r="G1954" s="131"/>
      <c r="H1954" s="186" t="s">
        <v>5659</v>
      </c>
      <c r="I1954" s="125" t="s">
        <v>326</v>
      </c>
      <c r="J1954" s="125" t="s">
        <v>352</v>
      </c>
      <c r="K1954" s="125" t="s">
        <v>597</v>
      </c>
      <c r="L1954" s="125" t="s">
        <v>507</v>
      </c>
      <c r="M1954" s="125" t="s">
        <v>508</v>
      </c>
    </row>
    <row r="1955" spans="1:13" s="114" customFormat="1" ht="38.25">
      <c r="A1955" s="136">
        <v>1953</v>
      </c>
      <c r="B1955" s="136" t="s">
        <v>5761</v>
      </c>
      <c r="C1955" s="136" t="s">
        <v>2479</v>
      </c>
      <c r="D1955" s="137" t="s">
        <v>5759</v>
      </c>
      <c r="E1955" s="84" t="s">
        <v>5762</v>
      </c>
      <c r="F1955" s="113"/>
      <c r="G1955" s="131"/>
      <c r="H1955" s="186" t="s">
        <v>751</v>
      </c>
      <c r="I1955" s="125" t="s">
        <v>326</v>
      </c>
      <c r="J1955" s="141" t="s">
        <v>341</v>
      </c>
      <c r="K1955" s="141" t="s">
        <v>580</v>
      </c>
      <c r="L1955" s="125" t="s">
        <v>315</v>
      </c>
      <c r="M1955" s="125" t="s">
        <v>508</v>
      </c>
    </row>
    <row r="1956" spans="1:13" s="114" customFormat="1" ht="51">
      <c r="A1956" s="136">
        <v>1954</v>
      </c>
      <c r="B1956" s="136" t="s">
        <v>5763</v>
      </c>
      <c r="C1956" s="136">
        <v>5.0999999999999996</v>
      </c>
      <c r="D1956" s="137" t="s">
        <v>5764</v>
      </c>
      <c r="E1956" s="84" t="s">
        <v>5765</v>
      </c>
      <c r="F1956" s="113"/>
      <c r="G1956" s="131"/>
      <c r="H1956" s="186" t="s">
        <v>2632</v>
      </c>
      <c r="I1956" s="125" t="s">
        <v>326</v>
      </c>
      <c r="J1956" s="125" t="s">
        <v>346</v>
      </c>
      <c r="K1956" s="125" t="s">
        <v>1465</v>
      </c>
      <c r="L1956" s="125" t="s">
        <v>314</v>
      </c>
      <c r="M1956" s="125" t="s">
        <v>953</v>
      </c>
    </row>
    <row r="1957" spans="1:13" s="114" customFormat="1" ht="51">
      <c r="A1957" s="136">
        <v>1955</v>
      </c>
      <c r="B1957" s="136" t="s">
        <v>5766</v>
      </c>
      <c r="C1957" s="136" t="s">
        <v>2752</v>
      </c>
      <c r="D1957" s="137" t="s">
        <v>5764</v>
      </c>
      <c r="E1957" s="84" t="s">
        <v>5767</v>
      </c>
      <c r="F1957" s="113"/>
      <c r="G1957" s="131"/>
      <c r="H1957" s="186" t="s">
        <v>2632</v>
      </c>
      <c r="I1957" s="125" t="s">
        <v>326</v>
      </c>
      <c r="J1957" s="125" t="s">
        <v>346</v>
      </c>
      <c r="K1957" s="125" t="s">
        <v>1465</v>
      </c>
      <c r="L1957" s="125" t="s">
        <v>314</v>
      </c>
      <c r="M1957" s="125" t="s">
        <v>953</v>
      </c>
    </row>
    <row r="1958" spans="1:13" s="114" customFormat="1" ht="51">
      <c r="A1958" s="136">
        <v>1956</v>
      </c>
      <c r="B1958" s="136" t="s">
        <v>5768</v>
      </c>
      <c r="C1958" s="136">
        <v>5.2</v>
      </c>
      <c r="D1958" s="137" t="s">
        <v>5764</v>
      </c>
      <c r="E1958" s="84" t="s">
        <v>5769</v>
      </c>
      <c r="F1958" s="113"/>
      <c r="G1958" s="131"/>
      <c r="H1958" s="186" t="s">
        <v>2632</v>
      </c>
      <c r="I1958" s="125" t="s">
        <v>326</v>
      </c>
      <c r="J1958" s="125" t="s">
        <v>346</v>
      </c>
      <c r="K1958" s="125" t="s">
        <v>1465</v>
      </c>
      <c r="L1958" s="125" t="s">
        <v>314</v>
      </c>
      <c r="M1958" s="125" t="s">
        <v>953</v>
      </c>
    </row>
    <row r="1959" spans="1:13" s="114" customFormat="1" ht="51">
      <c r="A1959" s="136">
        <v>1957</v>
      </c>
      <c r="B1959" s="136" t="s">
        <v>5770</v>
      </c>
      <c r="C1959" s="136">
        <v>5.3</v>
      </c>
      <c r="D1959" s="137" t="s">
        <v>5764</v>
      </c>
      <c r="E1959" s="84" t="s">
        <v>5771</v>
      </c>
      <c r="F1959" s="113"/>
      <c r="G1959" s="131"/>
      <c r="H1959" s="186" t="s">
        <v>2632</v>
      </c>
      <c r="I1959" s="125" t="s">
        <v>326</v>
      </c>
      <c r="J1959" s="125" t="s">
        <v>346</v>
      </c>
      <c r="K1959" s="125" t="s">
        <v>1465</v>
      </c>
      <c r="L1959" s="125" t="s">
        <v>314</v>
      </c>
      <c r="M1959" s="125" t="s">
        <v>953</v>
      </c>
    </row>
    <row r="1960" spans="1:13" s="114" customFormat="1" ht="38.25">
      <c r="A1960" s="136">
        <v>1958</v>
      </c>
      <c r="B1960" s="136" t="s">
        <v>5772</v>
      </c>
      <c r="C1960" s="136">
        <v>6.2</v>
      </c>
      <c r="D1960" s="142" t="s">
        <v>5773</v>
      </c>
      <c r="E1960" s="84" t="s">
        <v>5774</v>
      </c>
      <c r="F1960" s="113"/>
      <c r="G1960" s="131"/>
      <c r="H1960" s="186" t="s">
        <v>1836</v>
      </c>
      <c r="I1960" s="125" t="s">
        <v>326</v>
      </c>
      <c r="J1960" s="125" t="s">
        <v>349</v>
      </c>
      <c r="K1960" s="125" t="s">
        <v>1336</v>
      </c>
      <c r="L1960" s="125" t="s">
        <v>507</v>
      </c>
      <c r="M1960" s="125" t="s">
        <v>508</v>
      </c>
    </row>
    <row r="1961" spans="1:13" s="114" customFormat="1" ht="38.25">
      <c r="A1961" s="136">
        <v>1959</v>
      </c>
      <c r="B1961" s="136" t="s">
        <v>3451</v>
      </c>
      <c r="C1961" s="136" t="s">
        <v>2320</v>
      </c>
      <c r="D1961" s="142" t="s">
        <v>5773</v>
      </c>
      <c r="E1961" s="84" t="s">
        <v>5775</v>
      </c>
      <c r="F1961" s="113"/>
      <c r="G1961" s="131"/>
      <c r="H1961" s="186" t="s">
        <v>5776</v>
      </c>
      <c r="I1961" s="125" t="s">
        <v>326</v>
      </c>
      <c r="J1961" s="125" t="s">
        <v>346</v>
      </c>
      <c r="K1961" s="125" t="s">
        <v>761</v>
      </c>
      <c r="L1961" s="125" t="s">
        <v>507</v>
      </c>
      <c r="M1961" s="125" t="s">
        <v>508</v>
      </c>
    </row>
    <row r="1962" spans="1:13" s="114" customFormat="1" ht="38.25">
      <c r="A1962" s="136">
        <v>1960</v>
      </c>
      <c r="B1962" s="136" t="s">
        <v>5777</v>
      </c>
      <c r="C1962" s="136" t="s">
        <v>2345</v>
      </c>
      <c r="D1962" s="142" t="s">
        <v>5773</v>
      </c>
      <c r="E1962" s="84" t="s">
        <v>5778</v>
      </c>
      <c r="F1962" s="113"/>
      <c r="G1962" s="131"/>
      <c r="H1962" s="186" t="s">
        <v>2299</v>
      </c>
      <c r="I1962" s="125" t="s">
        <v>326</v>
      </c>
      <c r="J1962" s="125" t="s">
        <v>341</v>
      </c>
      <c r="K1962" s="125" t="s">
        <v>2303</v>
      </c>
      <c r="L1962" s="125" t="s">
        <v>314</v>
      </c>
      <c r="M1962" s="125" t="s">
        <v>508</v>
      </c>
    </row>
    <row r="1963" spans="1:13" s="114" customFormat="1" ht="38.25">
      <c r="A1963" s="136">
        <v>1961</v>
      </c>
      <c r="B1963" s="136" t="s">
        <v>5779</v>
      </c>
      <c r="C1963" s="136" t="s">
        <v>2362</v>
      </c>
      <c r="D1963" s="142" t="s">
        <v>5773</v>
      </c>
      <c r="E1963" s="84" t="s">
        <v>5780</v>
      </c>
      <c r="F1963" s="113"/>
      <c r="G1963" s="131"/>
      <c r="H1963" s="186" t="s">
        <v>2299</v>
      </c>
      <c r="I1963" s="125" t="s">
        <v>326</v>
      </c>
      <c r="J1963" s="125" t="s">
        <v>341</v>
      </c>
      <c r="K1963" s="125" t="s">
        <v>2303</v>
      </c>
      <c r="L1963" s="125" t="s">
        <v>314</v>
      </c>
      <c r="M1963" s="125" t="s">
        <v>508</v>
      </c>
    </row>
    <row r="1964" spans="1:13" s="114" customFormat="1" ht="38.25">
      <c r="A1964" s="136">
        <v>1962</v>
      </c>
      <c r="B1964" s="136" t="s">
        <v>5781</v>
      </c>
      <c r="C1964" s="136" t="s">
        <v>2370</v>
      </c>
      <c r="D1964" s="142" t="s">
        <v>5773</v>
      </c>
      <c r="E1964" s="84" t="s">
        <v>5782</v>
      </c>
      <c r="F1964" s="113"/>
      <c r="G1964" s="131"/>
      <c r="H1964" s="186" t="s">
        <v>2299</v>
      </c>
      <c r="I1964" s="125" t="s">
        <v>326</v>
      </c>
      <c r="J1964" s="125" t="s">
        <v>341</v>
      </c>
      <c r="K1964" s="125" t="s">
        <v>2303</v>
      </c>
      <c r="L1964" s="125" t="s">
        <v>314</v>
      </c>
      <c r="M1964" s="125" t="s">
        <v>508</v>
      </c>
    </row>
    <row r="1965" spans="1:13" s="114" customFormat="1" ht="38.25">
      <c r="A1965" s="136">
        <v>1963</v>
      </c>
      <c r="B1965" s="136" t="s">
        <v>5783</v>
      </c>
      <c r="C1965" s="136" t="s">
        <v>2379</v>
      </c>
      <c r="D1965" s="142" t="s">
        <v>5773</v>
      </c>
      <c r="E1965" s="84" t="s">
        <v>5784</v>
      </c>
      <c r="F1965" s="113"/>
      <c r="G1965" s="131"/>
      <c r="H1965" s="186" t="s">
        <v>3451</v>
      </c>
      <c r="I1965" s="125" t="s">
        <v>326</v>
      </c>
      <c r="J1965" s="125" t="s">
        <v>346</v>
      </c>
      <c r="K1965" s="125" t="s">
        <v>761</v>
      </c>
      <c r="L1965" s="125" t="s">
        <v>314</v>
      </c>
      <c r="M1965" s="125" t="s">
        <v>508</v>
      </c>
    </row>
    <row r="1966" spans="1:13" s="114" customFormat="1" ht="38.25">
      <c r="A1966" s="136">
        <v>1964</v>
      </c>
      <c r="B1966" s="136" t="s">
        <v>5785</v>
      </c>
      <c r="C1966" s="136" t="s">
        <v>5786</v>
      </c>
      <c r="D1966" s="142" t="s">
        <v>5773</v>
      </c>
      <c r="E1966" s="84" t="s">
        <v>5787</v>
      </c>
      <c r="F1966" s="113"/>
      <c r="G1966" s="131"/>
      <c r="H1966" s="186" t="s">
        <v>1964</v>
      </c>
      <c r="I1966" s="125" t="s">
        <v>326</v>
      </c>
      <c r="J1966" s="125" t="s">
        <v>341</v>
      </c>
      <c r="K1966" s="125" t="s">
        <v>570</v>
      </c>
      <c r="L1966" s="125" t="s">
        <v>314</v>
      </c>
      <c r="M1966" s="125" t="s">
        <v>508</v>
      </c>
    </row>
    <row r="1967" spans="1:13" s="114" customFormat="1" ht="38.25">
      <c r="A1967" s="136">
        <v>1965</v>
      </c>
      <c r="B1967" s="136" t="s">
        <v>5788</v>
      </c>
      <c r="C1967" s="136" t="s">
        <v>5789</v>
      </c>
      <c r="D1967" s="142" t="s">
        <v>5773</v>
      </c>
      <c r="E1967" s="84" t="s">
        <v>5790</v>
      </c>
      <c r="F1967" s="113"/>
      <c r="G1967" s="131"/>
      <c r="H1967" s="186" t="s">
        <v>1568</v>
      </c>
      <c r="I1967" s="125" t="s">
        <v>326</v>
      </c>
      <c r="J1967" s="125" t="s">
        <v>346</v>
      </c>
      <c r="K1967" s="125" t="s">
        <v>761</v>
      </c>
      <c r="L1967" s="125" t="s">
        <v>314</v>
      </c>
      <c r="M1967" s="125" t="s">
        <v>508</v>
      </c>
    </row>
    <row r="1968" spans="1:13" s="114" customFormat="1" ht="38.25">
      <c r="A1968" s="136">
        <v>1966</v>
      </c>
      <c r="B1968" s="136" t="s">
        <v>5791</v>
      </c>
      <c r="C1968" s="136" t="s">
        <v>5792</v>
      </c>
      <c r="D1968" s="142" t="s">
        <v>5773</v>
      </c>
      <c r="E1968" s="84" t="s">
        <v>5793</v>
      </c>
      <c r="F1968" s="113"/>
      <c r="G1968" s="131"/>
      <c r="H1968" s="186" t="s">
        <v>5729</v>
      </c>
      <c r="I1968" s="125" t="s">
        <v>326</v>
      </c>
      <c r="J1968" s="125" t="s">
        <v>341</v>
      </c>
      <c r="K1968" s="125" t="s">
        <v>580</v>
      </c>
      <c r="L1968" s="125" t="s">
        <v>314</v>
      </c>
      <c r="M1968" s="125" t="s">
        <v>508</v>
      </c>
    </row>
    <row r="1969" spans="1:13" s="114" customFormat="1" ht="38.25">
      <c r="A1969" s="136">
        <v>1967</v>
      </c>
      <c r="B1969" s="136" t="s">
        <v>5794</v>
      </c>
      <c r="C1969" s="136" t="s">
        <v>5795</v>
      </c>
      <c r="D1969" s="142" t="s">
        <v>5773</v>
      </c>
      <c r="E1969" s="84" t="s">
        <v>5796</v>
      </c>
      <c r="F1969" s="113"/>
      <c r="G1969" s="131"/>
      <c r="H1969" s="186" t="s">
        <v>5659</v>
      </c>
      <c r="I1969" s="125" t="s">
        <v>326</v>
      </c>
      <c r="J1969" s="125" t="s">
        <v>352</v>
      </c>
      <c r="K1969" s="125" t="s">
        <v>597</v>
      </c>
      <c r="L1969" s="125" t="s">
        <v>314</v>
      </c>
      <c r="M1969" s="125" t="s">
        <v>508</v>
      </c>
    </row>
    <row r="1970" spans="1:13" s="114" customFormat="1" ht="38.25">
      <c r="A1970" s="136">
        <v>1968</v>
      </c>
      <c r="B1970" s="136" t="s">
        <v>5797</v>
      </c>
      <c r="C1970" s="136" t="s">
        <v>5798</v>
      </c>
      <c r="D1970" s="142" t="s">
        <v>5773</v>
      </c>
      <c r="E1970" s="84" t="s">
        <v>5799</v>
      </c>
      <c r="F1970" s="113"/>
      <c r="G1970" s="131"/>
      <c r="H1970" s="186" t="s">
        <v>1983</v>
      </c>
      <c r="I1970" s="125" t="s">
        <v>326</v>
      </c>
      <c r="J1970" s="125" t="s">
        <v>341</v>
      </c>
      <c r="K1970" s="125" t="s">
        <v>570</v>
      </c>
      <c r="L1970" s="125" t="s">
        <v>314</v>
      </c>
      <c r="M1970" s="125" t="s">
        <v>508</v>
      </c>
    </row>
    <row r="1971" spans="1:13" s="114" customFormat="1" ht="38.25">
      <c r="A1971" s="136">
        <v>1969</v>
      </c>
      <c r="B1971" s="136" t="s">
        <v>5800</v>
      </c>
      <c r="C1971" s="136" t="s">
        <v>5801</v>
      </c>
      <c r="D1971" s="142" t="s">
        <v>5773</v>
      </c>
      <c r="E1971" s="84" t="s">
        <v>5802</v>
      </c>
      <c r="F1971" s="113"/>
      <c r="G1971" s="131"/>
      <c r="H1971" s="186" t="s">
        <v>1568</v>
      </c>
      <c r="I1971" s="125" t="s">
        <v>326</v>
      </c>
      <c r="J1971" s="125" t="s">
        <v>346</v>
      </c>
      <c r="K1971" s="125" t="s">
        <v>761</v>
      </c>
      <c r="L1971" s="125" t="s">
        <v>314</v>
      </c>
      <c r="M1971" s="125" t="s">
        <v>508</v>
      </c>
    </row>
    <row r="1972" spans="1:13" s="114" customFormat="1" ht="51">
      <c r="A1972" s="136">
        <v>1970</v>
      </c>
      <c r="B1972" s="136" t="s">
        <v>5803</v>
      </c>
      <c r="C1972" s="136" t="s">
        <v>5804</v>
      </c>
      <c r="D1972" s="142" t="s">
        <v>5773</v>
      </c>
      <c r="E1972" s="84" t="s">
        <v>5805</v>
      </c>
      <c r="F1972" s="113"/>
      <c r="G1972" s="131"/>
      <c r="H1972" s="186" t="s">
        <v>5726</v>
      </c>
      <c r="I1972" s="125" t="s">
        <v>326</v>
      </c>
      <c r="J1972" s="125" t="s">
        <v>331</v>
      </c>
      <c r="K1972" s="125" t="s">
        <v>512</v>
      </c>
      <c r="L1972" s="125" t="s">
        <v>314</v>
      </c>
      <c r="M1972" s="125" t="s">
        <v>508</v>
      </c>
    </row>
    <row r="1973" spans="1:13" s="114" customFormat="1" ht="38.25">
      <c r="A1973" s="136">
        <v>1971</v>
      </c>
      <c r="B1973" s="136" t="s">
        <v>5806</v>
      </c>
      <c r="C1973" s="136" t="s">
        <v>5807</v>
      </c>
      <c r="D1973" s="142" t="s">
        <v>5773</v>
      </c>
      <c r="E1973" s="84" t="s">
        <v>5808</v>
      </c>
      <c r="F1973" s="113"/>
      <c r="G1973" s="131"/>
      <c r="H1973" s="186" t="s">
        <v>1568</v>
      </c>
      <c r="I1973" s="125" t="s">
        <v>326</v>
      </c>
      <c r="J1973" s="125" t="s">
        <v>346</v>
      </c>
      <c r="K1973" s="125" t="s">
        <v>761</v>
      </c>
      <c r="L1973" s="125" t="s">
        <v>314</v>
      </c>
      <c r="M1973" s="125" t="s">
        <v>508</v>
      </c>
    </row>
    <row r="1974" spans="1:13" s="114" customFormat="1" ht="51">
      <c r="A1974" s="136">
        <v>1972</v>
      </c>
      <c r="B1974" s="136" t="s">
        <v>5809</v>
      </c>
      <c r="C1974" s="136" t="s">
        <v>5810</v>
      </c>
      <c r="D1974" s="142" t="s">
        <v>5773</v>
      </c>
      <c r="E1974" s="84" t="s">
        <v>5811</v>
      </c>
      <c r="F1974" s="113"/>
      <c r="G1974" s="131"/>
      <c r="H1974" s="186" t="s">
        <v>5591</v>
      </c>
      <c r="I1974" s="125" t="s">
        <v>326</v>
      </c>
      <c r="J1974" s="125" t="s">
        <v>331</v>
      </c>
      <c r="K1974" s="125" t="s">
        <v>530</v>
      </c>
      <c r="L1974" s="125" t="s">
        <v>314</v>
      </c>
      <c r="M1974" s="125" t="s">
        <v>508</v>
      </c>
    </row>
    <row r="1975" spans="1:13" s="114" customFormat="1" ht="38.25">
      <c r="A1975" s="136">
        <v>1973</v>
      </c>
      <c r="B1975" s="136" t="s">
        <v>5059</v>
      </c>
      <c r="C1975" s="136">
        <v>6.6</v>
      </c>
      <c r="D1975" s="142" t="s">
        <v>5773</v>
      </c>
      <c r="E1975" s="84" t="s">
        <v>5812</v>
      </c>
      <c r="F1975" s="113"/>
      <c r="G1975" s="131"/>
      <c r="H1975" s="186" t="s">
        <v>5813</v>
      </c>
      <c r="I1975" s="125" t="s">
        <v>326</v>
      </c>
      <c r="J1975" s="125" t="s">
        <v>352</v>
      </c>
      <c r="K1975" s="125" t="s">
        <v>597</v>
      </c>
      <c r="L1975" s="125" t="s">
        <v>507</v>
      </c>
      <c r="M1975" s="125" t="s">
        <v>508</v>
      </c>
    </row>
    <row r="1976" spans="1:13" s="114" customFormat="1" ht="38.25">
      <c r="A1976" s="136">
        <v>1974</v>
      </c>
      <c r="B1976" s="136" t="s">
        <v>5814</v>
      </c>
      <c r="C1976" s="136">
        <v>7.1</v>
      </c>
      <c r="D1976" s="137" t="s">
        <v>5815</v>
      </c>
      <c r="E1976" s="84" t="s">
        <v>5816</v>
      </c>
      <c r="F1976" s="113"/>
      <c r="G1976" s="131"/>
      <c r="H1976" s="186" t="s">
        <v>543</v>
      </c>
      <c r="I1976" s="125" t="s">
        <v>326</v>
      </c>
      <c r="J1976" s="125" t="s">
        <v>331</v>
      </c>
      <c r="K1976" s="125" t="s">
        <v>512</v>
      </c>
      <c r="L1976" s="125" t="s">
        <v>507</v>
      </c>
      <c r="M1976" s="125" t="s">
        <v>508</v>
      </c>
    </row>
    <row r="1977" spans="1:13" s="114" customFormat="1" ht="38.25">
      <c r="A1977" s="136">
        <v>1975</v>
      </c>
      <c r="B1977" s="136" t="s">
        <v>5817</v>
      </c>
      <c r="C1977" s="136" t="s">
        <v>5609</v>
      </c>
      <c r="D1977" s="137" t="s">
        <v>5815</v>
      </c>
      <c r="E1977" s="84" t="s">
        <v>5818</v>
      </c>
      <c r="F1977" s="113"/>
      <c r="G1977" s="131"/>
      <c r="H1977" s="186" t="s">
        <v>509</v>
      </c>
      <c r="I1977" s="125" t="s">
        <v>326</v>
      </c>
      <c r="J1977" s="125" t="s">
        <v>331</v>
      </c>
      <c r="K1977" s="125" t="s">
        <v>512</v>
      </c>
      <c r="L1977" s="125" t="s">
        <v>507</v>
      </c>
      <c r="M1977" s="125" t="s">
        <v>508</v>
      </c>
    </row>
    <row r="1978" spans="1:13" s="114" customFormat="1" ht="38.25">
      <c r="A1978" s="136">
        <v>1976</v>
      </c>
      <c r="B1978" s="136" t="s">
        <v>5819</v>
      </c>
      <c r="C1978" s="136" t="s">
        <v>5820</v>
      </c>
      <c r="D1978" s="137" t="s">
        <v>5815</v>
      </c>
      <c r="E1978" s="84" t="s">
        <v>5821</v>
      </c>
      <c r="F1978" s="113"/>
      <c r="G1978" s="131"/>
      <c r="H1978" s="186" t="s">
        <v>535</v>
      </c>
      <c r="I1978" s="125" t="s">
        <v>326</v>
      </c>
      <c r="J1978" s="125" t="s">
        <v>331</v>
      </c>
      <c r="K1978" s="125" t="s">
        <v>512</v>
      </c>
      <c r="L1978" s="125" t="s">
        <v>507</v>
      </c>
      <c r="M1978" s="125" t="s">
        <v>508</v>
      </c>
    </row>
    <row r="1979" spans="1:13" s="114" customFormat="1" ht="38.25">
      <c r="A1979" s="136">
        <v>1977</v>
      </c>
      <c r="B1979" s="136" t="s">
        <v>5822</v>
      </c>
      <c r="C1979" s="136" t="s">
        <v>5823</v>
      </c>
      <c r="D1979" s="137" t="s">
        <v>5815</v>
      </c>
      <c r="E1979" s="84" t="s">
        <v>5824</v>
      </c>
      <c r="F1979" s="113"/>
      <c r="G1979" s="131"/>
      <c r="H1979" s="186" t="s">
        <v>509</v>
      </c>
      <c r="I1979" s="125" t="s">
        <v>326</v>
      </c>
      <c r="J1979" s="125" t="s">
        <v>331</v>
      </c>
      <c r="K1979" s="125" t="s">
        <v>512</v>
      </c>
      <c r="L1979" s="125" t="s">
        <v>507</v>
      </c>
      <c r="M1979" s="125" t="s">
        <v>508</v>
      </c>
    </row>
    <row r="1980" spans="1:13" s="114" customFormat="1" ht="38.25">
      <c r="A1980" s="136">
        <v>1978</v>
      </c>
      <c r="B1980" s="136" t="s">
        <v>5825</v>
      </c>
      <c r="C1980" s="136">
        <v>7.2</v>
      </c>
      <c r="D1980" s="137" t="s">
        <v>5815</v>
      </c>
      <c r="E1980" s="84" t="s">
        <v>5826</v>
      </c>
      <c r="F1980" s="113"/>
      <c r="G1980" s="131"/>
      <c r="H1980" s="186" t="s">
        <v>513</v>
      </c>
      <c r="I1980" s="125" t="s">
        <v>326</v>
      </c>
      <c r="J1980" s="125" t="s">
        <v>331</v>
      </c>
      <c r="K1980" s="125" t="s">
        <v>512</v>
      </c>
      <c r="L1980" s="125" t="s">
        <v>507</v>
      </c>
      <c r="M1980" s="125" t="s">
        <v>508</v>
      </c>
    </row>
    <row r="1981" spans="1:13" s="114" customFormat="1" ht="38.25">
      <c r="A1981" s="136">
        <v>1979</v>
      </c>
      <c r="B1981" s="136" t="s">
        <v>5827</v>
      </c>
      <c r="C1981" s="136" t="s">
        <v>5828</v>
      </c>
      <c r="D1981" s="142" t="s">
        <v>5829</v>
      </c>
      <c r="E1981" s="84" t="s">
        <v>5830</v>
      </c>
      <c r="F1981" s="113"/>
      <c r="G1981" s="131"/>
      <c r="H1981" s="186" t="s">
        <v>1196</v>
      </c>
      <c r="I1981" s="125" t="s">
        <v>326</v>
      </c>
      <c r="J1981" s="125" t="s">
        <v>331</v>
      </c>
      <c r="K1981" s="125" t="s">
        <v>506</v>
      </c>
      <c r="L1981" s="125" t="s">
        <v>507</v>
      </c>
      <c r="M1981" s="125" t="s">
        <v>508</v>
      </c>
    </row>
    <row r="1982" spans="1:13" s="114" customFormat="1" ht="38.25">
      <c r="A1982" s="136">
        <v>1980</v>
      </c>
      <c r="B1982" s="136" t="s">
        <v>5831</v>
      </c>
      <c r="C1982" s="136" t="s">
        <v>5832</v>
      </c>
      <c r="D1982" s="142" t="s">
        <v>5829</v>
      </c>
      <c r="E1982" s="84" t="s">
        <v>5833</v>
      </c>
      <c r="F1982" s="113"/>
      <c r="G1982" s="131"/>
      <c r="H1982" s="186" t="s">
        <v>501</v>
      </c>
      <c r="I1982" s="125" t="s">
        <v>326</v>
      </c>
      <c r="J1982" s="125" t="s">
        <v>331</v>
      </c>
      <c r="K1982" s="125" t="s">
        <v>506</v>
      </c>
      <c r="L1982" s="125" t="s">
        <v>507</v>
      </c>
      <c r="M1982" s="125" t="s">
        <v>508</v>
      </c>
    </row>
    <row r="1983" spans="1:13" s="114" customFormat="1" ht="38.25">
      <c r="A1983" s="136">
        <v>1981</v>
      </c>
      <c r="B1983" s="136" t="s">
        <v>5834</v>
      </c>
      <c r="C1983" s="136" t="s">
        <v>5835</v>
      </c>
      <c r="D1983" s="142" t="s">
        <v>5829</v>
      </c>
      <c r="E1983" s="84" t="s">
        <v>5836</v>
      </c>
      <c r="F1983" s="113"/>
      <c r="G1983" s="131"/>
      <c r="H1983" s="186" t="s">
        <v>2042</v>
      </c>
      <c r="I1983" s="125" t="s">
        <v>326</v>
      </c>
      <c r="J1983" s="125" t="s">
        <v>331</v>
      </c>
      <c r="K1983" s="125" t="s">
        <v>512</v>
      </c>
      <c r="L1983" s="125" t="s">
        <v>507</v>
      </c>
      <c r="M1983" s="125" t="s">
        <v>508</v>
      </c>
    </row>
    <row r="1984" spans="1:13" s="114" customFormat="1" ht="38.25">
      <c r="A1984" s="136">
        <v>1982</v>
      </c>
      <c r="B1984" s="136" t="s">
        <v>5837</v>
      </c>
      <c r="C1984" s="136" t="s">
        <v>5838</v>
      </c>
      <c r="D1984" s="142" t="s">
        <v>5829</v>
      </c>
      <c r="E1984" s="84" t="s">
        <v>5839</v>
      </c>
      <c r="F1984" s="113"/>
      <c r="G1984" s="131"/>
      <c r="H1984" s="186" t="s">
        <v>518</v>
      </c>
      <c r="I1984" s="125" t="s">
        <v>326</v>
      </c>
      <c r="J1984" s="125" t="s">
        <v>331</v>
      </c>
      <c r="K1984" s="125" t="s">
        <v>506</v>
      </c>
      <c r="L1984" s="125" t="s">
        <v>507</v>
      </c>
      <c r="M1984" s="125" t="s">
        <v>508</v>
      </c>
    </row>
    <row r="1985" spans="1:13" s="114" customFormat="1" ht="38.25">
      <c r="A1985" s="136">
        <v>1983</v>
      </c>
      <c r="B1985" s="136" t="s">
        <v>5840</v>
      </c>
      <c r="C1985" s="136" t="s">
        <v>5841</v>
      </c>
      <c r="D1985" s="142" t="s">
        <v>5829</v>
      </c>
      <c r="E1985" s="84" t="s">
        <v>5842</v>
      </c>
      <c r="F1985" s="113"/>
      <c r="G1985" s="131"/>
      <c r="H1985" s="186" t="s">
        <v>501</v>
      </c>
      <c r="I1985" s="125" t="s">
        <v>326</v>
      </c>
      <c r="J1985" s="125" t="s">
        <v>331</v>
      </c>
      <c r="K1985" s="125" t="s">
        <v>506</v>
      </c>
      <c r="L1985" s="125" t="s">
        <v>507</v>
      </c>
      <c r="M1985" s="125" t="s">
        <v>508</v>
      </c>
    </row>
    <row r="1986" spans="1:13" s="114" customFormat="1" ht="38.25">
      <c r="A1986" s="136">
        <v>1984</v>
      </c>
      <c r="B1986" s="136" t="s">
        <v>5843</v>
      </c>
      <c r="C1986" s="136" t="s">
        <v>5844</v>
      </c>
      <c r="D1986" s="142" t="s">
        <v>5829</v>
      </c>
      <c r="E1986" s="84" t="s">
        <v>5845</v>
      </c>
      <c r="F1986" s="113"/>
      <c r="G1986" s="131"/>
      <c r="H1986" s="186" t="s">
        <v>653</v>
      </c>
      <c r="I1986" s="125" t="s">
        <v>326</v>
      </c>
      <c r="J1986" s="125" t="s">
        <v>331</v>
      </c>
      <c r="K1986" s="125" t="s">
        <v>506</v>
      </c>
      <c r="L1986" s="125" t="s">
        <v>507</v>
      </c>
      <c r="M1986" s="125" t="s">
        <v>508</v>
      </c>
    </row>
    <row r="1987" spans="1:13" s="114" customFormat="1" ht="38.25">
      <c r="A1987" s="136">
        <v>1985</v>
      </c>
      <c r="B1987" s="136" t="s">
        <v>5846</v>
      </c>
      <c r="C1987" s="136" t="s">
        <v>5847</v>
      </c>
      <c r="D1987" s="142" t="s">
        <v>5829</v>
      </c>
      <c r="E1987" s="84" t="s">
        <v>5848</v>
      </c>
      <c r="F1987" s="113"/>
      <c r="G1987" s="131"/>
      <c r="H1987" s="186" t="s">
        <v>653</v>
      </c>
      <c r="I1987" s="125" t="s">
        <v>326</v>
      </c>
      <c r="J1987" s="125" t="s">
        <v>331</v>
      </c>
      <c r="K1987" s="125" t="s">
        <v>506</v>
      </c>
      <c r="L1987" s="125" t="s">
        <v>507</v>
      </c>
      <c r="M1987" s="125" t="s">
        <v>508</v>
      </c>
    </row>
    <row r="1988" spans="1:13" s="114" customFormat="1" ht="51">
      <c r="A1988" s="136">
        <v>1986</v>
      </c>
      <c r="B1988" s="136" t="s">
        <v>5849</v>
      </c>
      <c r="C1988" s="136" t="s">
        <v>5850</v>
      </c>
      <c r="D1988" s="142" t="s">
        <v>5829</v>
      </c>
      <c r="E1988" s="84" t="s">
        <v>5851</v>
      </c>
      <c r="F1988" s="113"/>
      <c r="G1988" s="131"/>
      <c r="H1988" s="186" t="s">
        <v>1299</v>
      </c>
      <c r="I1988" s="125" t="s">
        <v>326</v>
      </c>
      <c r="J1988" s="125" t="s">
        <v>331</v>
      </c>
      <c r="K1988" s="125" t="s">
        <v>530</v>
      </c>
      <c r="L1988" s="125" t="s">
        <v>507</v>
      </c>
      <c r="M1988" s="125" t="s">
        <v>508</v>
      </c>
    </row>
    <row r="1989" spans="1:13" s="114" customFormat="1" ht="51">
      <c r="A1989" s="136">
        <v>1987</v>
      </c>
      <c r="B1989" s="136" t="s">
        <v>5852</v>
      </c>
      <c r="C1989" s="136">
        <v>8.1999999999999993</v>
      </c>
      <c r="D1989" s="142" t="s">
        <v>5829</v>
      </c>
      <c r="E1989" s="84" t="s">
        <v>5853</v>
      </c>
      <c r="F1989" s="113"/>
      <c r="G1989" s="131"/>
      <c r="H1989" s="186" t="s">
        <v>707</v>
      </c>
      <c r="I1989" s="125" t="s">
        <v>326</v>
      </c>
      <c r="J1989" s="125" t="s">
        <v>331</v>
      </c>
      <c r="K1989" s="125" t="s">
        <v>530</v>
      </c>
      <c r="L1989" s="125" t="s">
        <v>507</v>
      </c>
      <c r="M1989" s="125" t="s">
        <v>508</v>
      </c>
    </row>
    <row r="1990" spans="1:13" s="114" customFormat="1" ht="38.25">
      <c r="A1990" s="136">
        <v>1988</v>
      </c>
      <c r="B1990" s="136" t="s">
        <v>5854</v>
      </c>
      <c r="C1990" s="136" t="s">
        <v>5855</v>
      </c>
      <c r="D1990" s="142" t="s">
        <v>5829</v>
      </c>
      <c r="E1990" s="84" t="s">
        <v>5856</v>
      </c>
      <c r="F1990" s="113"/>
      <c r="G1990" s="131"/>
      <c r="H1990" s="186" t="s">
        <v>1474</v>
      </c>
      <c r="I1990" s="125" t="s">
        <v>326</v>
      </c>
      <c r="J1990" s="125" t="s">
        <v>341</v>
      </c>
      <c r="K1990" s="125" t="s">
        <v>580</v>
      </c>
      <c r="L1990" s="125" t="s">
        <v>507</v>
      </c>
      <c r="M1990" s="125" t="s">
        <v>508</v>
      </c>
    </row>
    <row r="1991" spans="1:13" s="114" customFormat="1" ht="38.25">
      <c r="A1991" s="136">
        <v>1989</v>
      </c>
      <c r="B1991" s="136" t="s">
        <v>5857</v>
      </c>
      <c r="C1991" s="136" t="s">
        <v>5858</v>
      </c>
      <c r="D1991" s="142" t="s">
        <v>5829</v>
      </c>
      <c r="E1991" s="84" t="s">
        <v>5859</v>
      </c>
      <c r="F1991" s="113"/>
      <c r="G1991" s="131"/>
      <c r="H1991" s="186" t="s">
        <v>1175</v>
      </c>
      <c r="I1991" s="125" t="s">
        <v>326</v>
      </c>
      <c r="J1991" s="125" t="s">
        <v>331</v>
      </c>
      <c r="K1991" s="125" t="s">
        <v>1178</v>
      </c>
      <c r="L1991" s="125" t="s">
        <v>507</v>
      </c>
      <c r="M1991" s="125" t="s">
        <v>508</v>
      </c>
    </row>
    <row r="1992" spans="1:13" s="114" customFormat="1" ht="38.25">
      <c r="A1992" s="136">
        <v>1990</v>
      </c>
      <c r="B1992" s="136" t="s">
        <v>5860</v>
      </c>
      <c r="C1992" s="136" t="s">
        <v>5861</v>
      </c>
      <c r="D1992" s="142" t="s">
        <v>5829</v>
      </c>
      <c r="E1992" s="84" t="s">
        <v>5862</v>
      </c>
      <c r="F1992" s="113"/>
      <c r="G1992" s="131"/>
      <c r="H1992" s="186" t="s">
        <v>1221</v>
      </c>
      <c r="I1992" s="125" t="s">
        <v>326</v>
      </c>
      <c r="J1992" s="125" t="s">
        <v>331</v>
      </c>
      <c r="K1992" s="125" t="s">
        <v>1178</v>
      </c>
      <c r="L1992" s="125" t="s">
        <v>507</v>
      </c>
      <c r="M1992" s="125" t="s">
        <v>508</v>
      </c>
    </row>
    <row r="1993" spans="1:13" s="114" customFormat="1" ht="38.25">
      <c r="A1993" s="136">
        <v>1991</v>
      </c>
      <c r="B1993" s="136" t="s">
        <v>5863</v>
      </c>
      <c r="C1993" s="136" t="s">
        <v>5864</v>
      </c>
      <c r="D1993" s="142" t="s">
        <v>5829</v>
      </c>
      <c r="E1993" s="84" t="s">
        <v>5865</v>
      </c>
      <c r="F1993" s="113"/>
      <c r="G1993" s="131"/>
      <c r="H1993" s="186" t="s">
        <v>1237</v>
      </c>
      <c r="I1993" s="125" t="s">
        <v>326</v>
      </c>
      <c r="J1993" s="125" t="s">
        <v>331</v>
      </c>
      <c r="K1993" s="125" t="s">
        <v>1178</v>
      </c>
      <c r="L1993" s="125" t="s">
        <v>507</v>
      </c>
      <c r="M1993" s="125" t="s">
        <v>508</v>
      </c>
    </row>
    <row r="1994" spans="1:13" s="114" customFormat="1" ht="38.25">
      <c r="A1994" s="136">
        <v>1992</v>
      </c>
      <c r="B1994" s="136" t="s">
        <v>5866</v>
      </c>
      <c r="C1994" s="136" t="s">
        <v>5867</v>
      </c>
      <c r="D1994" s="142" t="s">
        <v>5829</v>
      </c>
      <c r="E1994" s="84" t="s">
        <v>5868</v>
      </c>
      <c r="F1994" s="113"/>
      <c r="G1994" s="131"/>
      <c r="H1994" s="186" t="s">
        <v>1221</v>
      </c>
      <c r="I1994" s="125" t="s">
        <v>326</v>
      </c>
      <c r="J1994" s="125" t="s">
        <v>331</v>
      </c>
      <c r="K1994" s="125" t="s">
        <v>1178</v>
      </c>
      <c r="L1994" s="125" t="s">
        <v>507</v>
      </c>
      <c r="M1994" s="125" t="s">
        <v>508</v>
      </c>
    </row>
    <row r="1995" spans="1:13" s="114" customFormat="1" ht="38.25">
      <c r="A1995" s="136">
        <v>1993</v>
      </c>
      <c r="B1995" s="136" t="s">
        <v>5869</v>
      </c>
      <c r="C1995" s="136" t="s">
        <v>5870</v>
      </c>
      <c r="D1995" s="142" t="s">
        <v>5829</v>
      </c>
      <c r="E1995" s="84" t="s">
        <v>5871</v>
      </c>
      <c r="F1995" s="113"/>
      <c r="G1995" s="131"/>
      <c r="H1995" s="186" t="s">
        <v>1230</v>
      </c>
      <c r="I1995" s="125" t="s">
        <v>326</v>
      </c>
      <c r="J1995" s="125" t="s">
        <v>331</v>
      </c>
      <c r="K1995" s="125" t="s">
        <v>1178</v>
      </c>
      <c r="L1995" s="125" t="s">
        <v>507</v>
      </c>
      <c r="M1995" s="125" t="s">
        <v>508</v>
      </c>
    </row>
    <row r="1996" spans="1:13" s="114" customFormat="1" ht="51">
      <c r="A1996" s="136">
        <v>1994</v>
      </c>
      <c r="B1996" s="136" t="s">
        <v>5872</v>
      </c>
      <c r="C1996" s="136">
        <v>8.3000000000000007</v>
      </c>
      <c r="D1996" s="142" t="s">
        <v>5829</v>
      </c>
      <c r="E1996" s="84" t="s">
        <v>5873</v>
      </c>
      <c r="F1996" s="113"/>
      <c r="G1996" s="131"/>
      <c r="H1996" s="186" t="s">
        <v>1148</v>
      </c>
      <c r="I1996" s="125" t="s">
        <v>326</v>
      </c>
      <c r="J1996" s="125" t="s">
        <v>331</v>
      </c>
      <c r="K1996" s="125" t="s">
        <v>530</v>
      </c>
      <c r="L1996" s="125" t="s">
        <v>507</v>
      </c>
      <c r="M1996" s="125" t="s">
        <v>508</v>
      </c>
    </row>
    <row r="1997" spans="1:13" s="114" customFormat="1" ht="51">
      <c r="A1997" s="136">
        <v>1995</v>
      </c>
      <c r="B1997" s="136" t="s">
        <v>5874</v>
      </c>
      <c r="C1997" s="136" t="s">
        <v>3857</v>
      </c>
      <c r="D1997" s="142" t="s">
        <v>5829</v>
      </c>
      <c r="E1997" s="84" t="s">
        <v>5875</v>
      </c>
      <c r="F1997" s="113"/>
      <c r="G1997" s="131"/>
      <c r="H1997" s="186" t="s">
        <v>1148</v>
      </c>
      <c r="I1997" s="125" t="s">
        <v>326</v>
      </c>
      <c r="J1997" s="125" t="s">
        <v>331</v>
      </c>
      <c r="K1997" s="125" t="s">
        <v>530</v>
      </c>
      <c r="L1997" s="125" t="s">
        <v>507</v>
      </c>
      <c r="M1997" s="125" t="s">
        <v>508</v>
      </c>
    </row>
    <row r="1998" spans="1:13" s="114" customFormat="1" ht="51">
      <c r="A1998" s="136">
        <v>1996</v>
      </c>
      <c r="B1998" s="136" t="s">
        <v>5876</v>
      </c>
      <c r="C1998" s="136" t="s">
        <v>3862</v>
      </c>
      <c r="D1998" s="142" t="s">
        <v>5829</v>
      </c>
      <c r="E1998" s="84" t="s">
        <v>5877</v>
      </c>
      <c r="F1998" s="113"/>
      <c r="G1998" s="131"/>
      <c r="H1998" s="186" t="s">
        <v>1148</v>
      </c>
      <c r="I1998" s="125" t="s">
        <v>326</v>
      </c>
      <c r="J1998" s="125" t="s">
        <v>331</v>
      </c>
      <c r="K1998" s="125" t="s">
        <v>530</v>
      </c>
      <c r="L1998" s="125" t="s">
        <v>507</v>
      </c>
      <c r="M1998" s="125" t="s">
        <v>508</v>
      </c>
    </row>
    <row r="1999" spans="1:13" s="114" customFormat="1" ht="38.25">
      <c r="A1999" s="136">
        <v>1997</v>
      </c>
      <c r="B1999" s="136" t="s">
        <v>5878</v>
      </c>
      <c r="C1999" s="136">
        <v>8.5</v>
      </c>
      <c r="D1999" s="142" t="s">
        <v>5829</v>
      </c>
      <c r="E1999" s="84" t="s">
        <v>5879</v>
      </c>
      <c r="F1999" s="113"/>
      <c r="G1999" s="131"/>
      <c r="H1999" s="186" t="s">
        <v>501</v>
      </c>
      <c r="I1999" s="125" t="s">
        <v>326</v>
      </c>
      <c r="J1999" s="125" t="s">
        <v>331</v>
      </c>
      <c r="K1999" s="125" t="s">
        <v>506</v>
      </c>
      <c r="L1999" s="125" t="s">
        <v>507</v>
      </c>
      <c r="M1999" s="125" t="s">
        <v>508</v>
      </c>
    </row>
    <row r="2000" spans="1:13" s="114" customFormat="1" ht="38.25">
      <c r="A2000" s="136">
        <v>1998</v>
      </c>
      <c r="B2000" s="136" t="s">
        <v>5880</v>
      </c>
      <c r="C2000" s="136">
        <v>8.6</v>
      </c>
      <c r="D2000" s="142" t="s">
        <v>5829</v>
      </c>
      <c r="E2000" s="84" t="s">
        <v>5881</v>
      </c>
      <c r="F2000" s="113"/>
      <c r="G2000" s="131"/>
      <c r="H2000" s="186" t="s">
        <v>501</v>
      </c>
      <c r="I2000" s="125" t="s">
        <v>326</v>
      </c>
      <c r="J2000" s="125" t="s">
        <v>331</v>
      </c>
      <c r="K2000" s="125" t="s">
        <v>506</v>
      </c>
      <c r="L2000" s="125" t="s">
        <v>507</v>
      </c>
      <c r="M2000" s="125" t="s">
        <v>508</v>
      </c>
    </row>
    <row r="2001" spans="1:13" s="114" customFormat="1" ht="51">
      <c r="A2001" s="136">
        <v>1999</v>
      </c>
      <c r="B2001" s="136" t="s">
        <v>5882</v>
      </c>
      <c r="C2001" s="136">
        <v>8.6999999999999993</v>
      </c>
      <c r="D2001" s="142" t="s">
        <v>5829</v>
      </c>
      <c r="E2001" s="84" t="s">
        <v>5883</v>
      </c>
      <c r="F2001" s="113"/>
      <c r="G2001" s="131"/>
      <c r="H2001" s="186" t="s">
        <v>513</v>
      </c>
      <c r="I2001" s="125" t="s">
        <v>326</v>
      </c>
      <c r="J2001" s="125" t="s">
        <v>331</v>
      </c>
      <c r="K2001" s="125" t="s">
        <v>512</v>
      </c>
      <c r="L2001" s="125" t="s">
        <v>507</v>
      </c>
      <c r="M2001" s="125" t="s">
        <v>508</v>
      </c>
    </row>
    <row r="2002" spans="1:13" s="114" customFormat="1" ht="25.5">
      <c r="A2002" s="136">
        <v>2000</v>
      </c>
      <c r="B2002" s="136" t="s">
        <v>5884</v>
      </c>
      <c r="C2002" s="136">
        <v>10.1</v>
      </c>
      <c r="D2002" s="142" t="s">
        <v>5885</v>
      </c>
      <c r="E2002" s="84" t="s">
        <v>5886</v>
      </c>
      <c r="F2002" s="113"/>
      <c r="G2002" s="131"/>
      <c r="H2002" s="186" t="s">
        <v>889</v>
      </c>
      <c r="I2002" s="125" t="s">
        <v>326</v>
      </c>
      <c r="J2002" s="125" t="s">
        <v>352</v>
      </c>
      <c r="K2002" s="125" t="s">
        <v>526</v>
      </c>
      <c r="L2002" s="125" t="s">
        <v>507</v>
      </c>
      <c r="M2002" s="125" t="s">
        <v>508</v>
      </c>
    </row>
    <row r="2003" spans="1:13" s="114" customFormat="1" ht="25.5">
      <c r="A2003" s="136">
        <v>2001</v>
      </c>
      <c r="B2003" s="136" t="s">
        <v>5887</v>
      </c>
      <c r="C2003" s="136">
        <v>10.199999999999999</v>
      </c>
      <c r="D2003" s="142" t="s">
        <v>5885</v>
      </c>
      <c r="E2003" s="84" t="s">
        <v>5888</v>
      </c>
      <c r="F2003" s="113"/>
      <c r="G2003" s="131"/>
      <c r="H2003" s="186" t="s">
        <v>889</v>
      </c>
      <c r="I2003" s="125" t="s">
        <v>326</v>
      </c>
      <c r="J2003" s="125" t="s">
        <v>352</v>
      </c>
      <c r="K2003" s="125" t="s">
        <v>526</v>
      </c>
      <c r="L2003" s="125" t="s">
        <v>507</v>
      </c>
      <c r="M2003" s="125" t="s">
        <v>508</v>
      </c>
    </row>
    <row r="2004" spans="1:13" s="114" customFormat="1" ht="25.5">
      <c r="A2004" s="136">
        <v>2002</v>
      </c>
      <c r="B2004" s="136" t="s">
        <v>5889</v>
      </c>
      <c r="C2004" s="136" t="s">
        <v>5631</v>
      </c>
      <c r="D2004" s="142" t="s">
        <v>5885</v>
      </c>
      <c r="E2004" s="84" t="s">
        <v>5890</v>
      </c>
      <c r="F2004" s="113"/>
      <c r="G2004" s="131"/>
      <c r="H2004" s="186" t="s">
        <v>523</v>
      </c>
      <c r="I2004" s="125" t="s">
        <v>326</v>
      </c>
      <c r="J2004" s="125" t="s">
        <v>352</v>
      </c>
      <c r="K2004" s="125" t="s">
        <v>526</v>
      </c>
      <c r="L2004" s="125" t="s">
        <v>507</v>
      </c>
      <c r="M2004" s="125" t="s">
        <v>508</v>
      </c>
    </row>
    <row r="2005" spans="1:13" s="114" customFormat="1" ht="25.5">
      <c r="A2005" s="136">
        <v>2003</v>
      </c>
      <c r="B2005" s="136" t="s">
        <v>5891</v>
      </c>
      <c r="C2005" s="136" t="s">
        <v>5892</v>
      </c>
      <c r="D2005" s="142" t="s">
        <v>5885</v>
      </c>
      <c r="E2005" s="84" t="s">
        <v>5893</v>
      </c>
      <c r="F2005" s="113"/>
      <c r="G2005" s="131"/>
      <c r="H2005" s="186" t="s">
        <v>523</v>
      </c>
      <c r="I2005" s="125" t="s">
        <v>326</v>
      </c>
      <c r="J2005" s="125" t="s">
        <v>352</v>
      </c>
      <c r="K2005" s="125" t="s">
        <v>526</v>
      </c>
      <c r="L2005" s="125" t="s">
        <v>507</v>
      </c>
      <c r="M2005" s="125" t="s">
        <v>508</v>
      </c>
    </row>
    <row r="2006" spans="1:13" s="114" customFormat="1" ht="38.25">
      <c r="A2006" s="136">
        <v>2004</v>
      </c>
      <c r="B2006" s="136" t="s">
        <v>5894</v>
      </c>
      <c r="C2006" s="136" t="s">
        <v>5895</v>
      </c>
      <c r="D2006" s="142" t="s">
        <v>5885</v>
      </c>
      <c r="E2006" s="84" t="s">
        <v>5896</v>
      </c>
      <c r="F2006" s="113"/>
      <c r="G2006" s="131"/>
      <c r="H2006" s="186" t="s">
        <v>884</v>
      </c>
      <c r="I2006" s="125" t="s">
        <v>326</v>
      </c>
      <c r="J2006" s="125" t="s">
        <v>331</v>
      </c>
      <c r="K2006" s="125" t="s">
        <v>512</v>
      </c>
      <c r="L2006" s="125" t="s">
        <v>507</v>
      </c>
      <c r="M2006" s="125" t="s">
        <v>508</v>
      </c>
    </row>
    <row r="2007" spans="1:13" s="114" customFormat="1" ht="25.5">
      <c r="A2007" s="136">
        <v>2005</v>
      </c>
      <c r="B2007" s="136" t="s">
        <v>5897</v>
      </c>
      <c r="C2007" s="136" t="s">
        <v>5898</v>
      </c>
      <c r="D2007" s="142" t="s">
        <v>5885</v>
      </c>
      <c r="E2007" s="84" t="s">
        <v>5899</v>
      </c>
      <c r="F2007" s="113"/>
      <c r="G2007" s="131"/>
      <c r="H2007" s="186" t="s">
        <v>523</v>
      </c>
      <c r="I2007" s="125" t="s">
        <v>326</v>
      </c>
      <c r="J2007" s="125" t="s">
        <v>352</v>
      </c>
      <c r="K2007" s="125" t="s">
        <v>526</v>
      </c>
      <c r="L2007" s="125" t="s">
        <v>507</v>
      </c>
      <c r="M2007" s="125" t="s">
        <v>508</v>
      </c>
    </row>
    <row r="2008" spans="1:13" s="114" customFormat="1" ht="25.5">
      <c r="A2008" s="136">
        <v>2006</v>
      </c>
      <c r="B2008" s="136" t="s">
        <v>5900</v>
      </c>
      <c r="C2008" s="136" t="s">
        <v>5901</v>
      </c>
      <c r="D2008" s="142" t="s">
        <v>5885</v>
      </c>
      <c r="E2008" s="84" t="s">
        <v>5902</v>
      </c>
      <c r="F2008" s="113"/>
      <c r="G2008" s="131"/>
      <c r="H2008" s="186" t="s">
        <v>523</v>
      </c>
      <c r="I2008" s="125" t="s">
        <v>326</v>
      </c>
      <c r="J2008" s="125" t="s">
        <v>352</v>
      </c>
      <c r="K2008" s="125" t="s">
        <v>526</v>
      </c>
      <c r="L2008" s="125" t="s">
        <v>507</v>
      </c>
      <c r="M2008" s="125" t="s">
        <v>508</v>
      </c>
    </row>
    <row r="2009" spans="1:13" s="114" customFormat="1" ht="25.5">
      <c r="A2009" s="136">
        <v>2007</v>
      </c>
      <c r="B2009" s="136" t="s">
        <v>5903</v>
      </c>
      <c r="C2009" s="136" t="s">
        <v>5904</v>
      </c>
      <c r="D2009" s="142" t="s">
        <v>5885</v>
      </c>
      <c r="E2009" s="84" t="s">
        <v>5905</v>
      </c>
      <c r="F2009" s="113"/>
      <c r="G2009" s="131"/>
      <c r="H2009" s="186" t="s">
        <v>817</v>
      </c>
      <c r="I2009" s="125" t="s">
        <v>326</v>
      </c>
      <c r="J2009" s="125" t="s">
        <v>352</v>
      </c>
      <c r="K2009" s="125" t="s">
        <v>526</v>
      </c>
      <c r="L2009" s="125" t="s">
        <v>507</v>
      </c>
      <c r="M2009" s="125" t="s">
        <v>508</v>
      </c>
    </row>
    <row r="2010" spans="1:13" s="114" customFormat="1" ht="25.5">
      <c r="A2010" s="136">
        <v>2008</v>
      </c>
      <c r="B2010" s="136" t="s">
        <v>5906</v>
      </c>
      <c r="C2010" s="136" t="s">
        <v>5907</v>
      </c>
      <c r="D2010" s="142" t="s">
        <v>5885</v>
      </c>
      <c r="E2010" s="84" t="s">
        <v>5908</v>
      </c>
      <c r="F2010" s="113"/>
      <c r="G2010" s="131"/>
      <c r="H2010" s="186" t="s">
        <v>1007</v>
      </c>
      <c r="I2010" s="125" t="s">
        <v>326</v>
      </c>
      <c r="J2010" s="125" t="s">
        <v>352</v>
      </c>
      <c r="K2010" s="125" t="s">
        <v>526</v>
      </c>
      <c r="L2010" s="125" t="s">
        <v>507</v>
      </c>
      <c r="M2010" s="125" t="s">
        <v>508</v>
      </c>
    </row>
    <row r="2011" spans="1:13" s="114" customFormat="1" ht="38.25">
      <c r="A2011" s="136">
        <v>2009</v>
      </c>
      <c r="B2011" s="136" t="s">
        <v>5909</v>
      </c>
      <c r="C2011" s="136" t="s">
        <v>5910</v>
      </c>
      <c r="D2011" s="142" t="s">
        <v>5885</v>
      </c>
      <c r="E2011" s="84" t="s">
        <v>5911</v>
      </c>
      <c r="F2011" s="113"/>
      <c r="G2011" s="131"/>
      <c r="H2011" s="186" t="s">
        <v>889</v>
      </c>
      <c r="I2011" s="125" t="s">
        <v>326</v>
      </c>
      <c r="J2011" s="125" t="s">
        <v>352</v>
      </c>
      <c r="K2011" s="125" t="s">
        <v>526</v>
      </c>
      <c r="L2011" s="125" t="s">
        <v>507</v>
      </c>
      <c r="M2011" s="125" t="s">
        <v>508</v>
      </c>
    </row>
    <row r="2012" spans="1:13" s="114" customFormat="1" ht="38.25">
      <c r="A2012" s="136">
        <v>2010</v>
      </c>
      <c r="B2012" s="136" t="s">
        <v>5912</v>
      </c>
      <c r="C2012" s="136">
        <v>10.4</v>
      </c>
      <c r="D2012" s="142" t="s">
        <v>5885</v>
      </c>
      <c r="E2012" s="84" t="s">
        <v>5913</v>
      </c>
      <c r="F2012" s="113"/>
      <c r="G2012" s="131"/>
      <c r="H2012" s="186" t="s">
        <v>871</v>
      </c>
      <c r="I2012" s="125" t="s">
        <v>326</v>
      </c>
      <c r="J2012" s="125" t="s">
        <v>352</v>
      </c>
      <c r="K2012" s="125" t="s">
        <v>526</v>
      </c>
      <c r="L2012" s="125" t="s">
        <v>507</v>
      </c>
      <c r="M2012" s="125" t="s">
        <v>508</v>
      </c>
    </row>
    <row r="2013" spans="1:13" s="114" customFormat="1" ht="38.25">
      <c r="A2013" s="136">
        <v>2011</v>
      </c>
      <c r="B2013" s="136" t="s">
        <v>5914</v>
      </c>
      <c r="C2013" s="136" t="s">
        <v>5915</v>
      </c>
      <c r="D2013" s="142" t="s">
        <v>5885</v>
      </c>
      <c r="E2013" s="84" t="s">
        <v>5916</v>
      </c>
      <c r="F2013" s="113"/>
      <c r="G2013" s="131"/>
      <c r="H2013" s="186" t="s">
        <v>871</v>
      </c>
      <c r="I2013" s="125" t="s">
        <v>326</v>
      </c>
      <c r="J2013" s="125" t="s">
        <v>352</v>
      </c>
      <c r="K2013" s="125" t="s">
        <v>526</v>
      </c>
      <c r="L2013" s="125" t="s">
        <v>507</v>
      </c>
      <c r="M2013" s="125" t="s">
        <v>508</v>
      </c>
    </row>
    <row r="2014" spans="1:13" s="114" customFormat="1" ht="38.25">
      <c r="A2014" s="136">
        <v>2012</v>
      </c>
      <c r="B2014" s="136" t="s">
        <v>5917</v>
      </c>
      <c r="C2014" s="136" t="s">
        <v>5918</v>
      </c>
      <c r="D2014" s="142" t="s">
        <v>5885</v>
      </c>
      <c r="E2014" s="84" t="s">
        <v>5919</v>
      </c>
      <c r="F2014" s="113"/>
      <c r="G2014" s="131"/>
      <c r="H2014" s="186" t="s">
        <v>884</v>
      </c>
      <c r="I2014" s="125" t="s">
        <v>326</v>
      </c>
      <c r="J2014" s="125" t="s">
        <v>331</v>
      </c>
      <c r="K2014" s="125" t="s">
        <v>512</v>
      </c>
      <c r="L2014" s="125" t="s">
        <v>507</v>
      </c>
      <c r="M2014" s="141" t="s">
        <v>508</v>
      </c>
    </row>
    <row r="2015" spans="1:13" s="114" customFormat="1" ht="38.25">
      <c r="A2015" s="136">
        <v>2013</v>
      </c>
      <c r="B2015" s="136" t="s">
        <v>5920</v>
      </c>
      <c r="C2015" s="136" t="s">
        <v>5921</v>
      </c>
      <c r="D2015" s="142" t="s">
        <v>5885</v>
      </c>
      <c r="E2015" s="84" t="s">
        <v>5922</v>
      </c>
      <c r="F2015" s="113"/>
      <c r="G2015" s="131"/>
      <c r="H2015" s="186" t="s">
        <v>871</v>
      </c>
      <c r="I2015" s="125" t="s">
        <v>326</v>
      </c>
      <c r="J2015" s="125" t="s">
        <v>352</v>
      </c>
      <c r="K2015" s="125" t="s">
        <v>526</v>
      </c>
      <c r="L2015" s="125" t="s">
        <v>507</v>
      </c>
      <c r="M2015" s="125" t="s">
        <v>508</v>
      </c>
    </row>
    <row r="2016" spans="1:13" s="114" customFormat="1" ht="38.25">
      <c r="A2016" s="136">
        <v>2014</v>
      </c>
      <c r="B2016" s="136" t="s">
        <v>5923</v>
      </c>
      <c r="C2016" s="136">
        <v>10.5</v>
      </c>
      <c r="D2016" s="142" t="s">
        <v>5885</v>
      </c>
      <c r="E2016" s="84" t="s">
        <v>5924</v>
      </c>
      <c r="F2016" s="113"/>
      <c r="G2016" s="131"/>
      <c r="H2016" s="186" t="s">
        <v>884</v>
      </c>
      <c r="I2016" s="125" t="s">
        <v>326</v>
      </c>
      <c r="J2016" s="125" t="s">
        <v>331</v>
      </c>
      <c r="K2016" s="125" t="s">
        <v>512</v>
      </c>
      <c r="L2016" s="125" t="s">
        <v>507</v>
      </c>
      <c r="M2016" s="141" t="s">
        <v>508</v>
      </c>
    </row>
    <row r="2017" spans="1:13" s="114" customFormat="1" ht="38.25">
      <c r="A2017" s="136">
        <v>2015</v>
      </c>
      <c r="B2017" s="136" t="s">
        <v>5925</v>
      </c>
      <c r="C2017" s="136" t="s">
        <v>5926</v>
      </c>
      <c r="D2017" s="142" t="s">
        <v>5885</v>
      </c>
      <c r="E2017" s="84" t="s">
        <v>5927</v>
      </c>
      <c r="F2017" s="113"/>
      <c r="G2017" s="131"/>
      <c r="H2017" s="186" t="s">
        <v>884</v>
      </c>
      <c r="I2017" s="125" t="s">
        <v>326</v>
      </c>
      <c r="J2017" s="125" t="s">
        <v>331</v>
      </c>
      <c r="K2017" s="125" t="s">
        <v>512</v>
      </c>
      <c r="L2017" s="125" t="s">
        <v>507</v>
      </c>
      <c r="M2017" s="141" t="s">
        <v>508</v>
      </c>
    </row>
    <row r="2018" spans="1:13" s="114" customFormat="1" ht="25.5">
      <c r="A2018" s="136">
        <v>2016</v>
      </c>
      <c r="B2018" s="136" t="s">
        <v>5928</v>
      </c>
      <c r="C2018" s="136" t="s">
        <v>5929</v>
      </c>
      <c r="D2018" s="142" t="s">
        <v>5885</v>
      </c>
      <c r="E2018" s="84" t="s">
        <v>5930</v>
      </c>
      <c r="F2018" s="113"/>
      <c r="G2018" s="131"/>
      <c r="H2018" s="186" t="s">
        <v>892</v>
      </c>
      <c r="I2018" s="125" t="s">
        <v>326</v>
      </c>
      <c r="J2018" s="125" t="s">
        <v>346</v>
      </c>
      <c r="K2018" s="125" t="s">
        <v>893</v>
      </c>
      <c r="L2018" s="125" t="s">
        <v>507</v>
      </c>
      <c r="M2018" s="141" t="s">
        <v>508</v>
      </c>
    </row>
    <row r="2019" spans="1:13" s="114" customFormat="1" ht="25.5">
      <c r="A2019" s="136">
        <v>2017</v>
      </c>
      <c r="B2019" s="136" t="s">
        <v>5931</v>
      </c>
      <c r="C2019" s="136" t="s">
        <v>5932</v>
      </c>
      <c r="D2019" s="142" t="s">
        <v>5885</v>
      </c>
      <c r="E2019" s="84" t="s">
        <v>5933</v>
      </c>
      <c r="F2019" s="113"/>
      <c r="G2019" s="131"/>
      <c r="H2019" s="186" t="s">
        <v>1007</v>
      </c>
      <c r="I2019" s="125" t="s">
        <v>326</v>
      </c>
      <c r="J2019" s="125" t="s">
        <v>352</v>
      </c>
      <c r="K2019" s="125" t="s">
        <v>526</v>
      </c>
      <c r="L2019" s="125" t="s">
        <v>507</v>
      </c>
      <c r="M2019" s="125" t="s">
        <v>508</v>
      </c>
    </row>
    <row r="2020" spans="1:13" s="114" customFormat="1" ht="25.5">
      <c r="A2020" s="136">
        <v>2018</v>
      </c>
      <c r="B2020" s="136" t="s">
        <v>1070</v>
      </c>
      <c r="C2020" s="136" t="s">
        <v>5934</v>
      </c>
      <c r="D2020" s="142" t="s">
        <v>5885</v>
      </c>
      <c r="E2020" s="84" t="s">
        <v>5935</v>
      </c>
      <c r="F2020" s="113"/>
      <c r="G2020" s="131"/>
      <c r="H2020" s="186" t="s">
        <v>5936</v>
      </c>
      <c r="I2020" s="125" t="s">
        <v>327</v>
      </c>
      <c r="J2020" s="125" t="s">
        <v>337</v>
      </c>
      <c r="K2020" s="125" t="s">
        <v>1071</v>
      </c>
      <c r="L2020" s="125" t="s">
        <v>314</v>
      </c>
      <c r="M2020" s="141" t="s">
        <v>508</v>
      </c>
    </row>
    <row r="2021" spans="1:13" s="114" customFormat="1" ht="38.25">
      <c r="A2021" s="136">
        <v>2019</v>
      </c>
      <c r="B2021" s="136" t="s">
        <v>5937</v>
      </c>
      <c r="C2021" s="136" t="s">
        <v>5938</v>
      </c>
      <c r="D2021" s="142" t="s">
        <v>5885</v>
      </c>
      <c r="E2021" s="84" t="s">
        <v>5939</v>
      </c>
      <c r="F2021" s="113"/>
      <c r="G2021" s="131"/>
      <c r="H2021" s="186" t="s">
        <v>804</v>
      </c>
      <c r="I2021" s="125" t="s">
        <v>326</v>
      </c>
      <c r="J2021" s="125" t="s">
        <v>352</v>
      </c>
      <c r="K2021" s="125" t="s">
        <v>526</v>
      </c>
      <c r="L2021" s="125" t="s">
        <v>507</v>
      </c>
      <c r="M2021" s="125" t="s">
        <v>508</v>
      </c>
    </row>
    <row r="2022" spans="1:13" s="114" customFormat="1" ht="25.5">
      <c r="A2022" s="136">
        <v>2020</v>
      </c>
      <c r="B2022" s="136" t="s">
        <v>5940</v>
      </c>
      <c r="C2022" s="136">
        <v>10.7</v>
      </c>
      <c r="D2022" s="142" t="s">
        <v>5885</v>
      </c>
      <c r="E2022" s="84" t="s">
        <v>5941</v>
      </c>
      <c r="F2022" s="113"/>
      <c r="G2022" s="131"/>
      <c r="H2022" s="186" t="s">
        <v>918</v>
      </c>
      <c r="I2022" s="125" t="s">
        <v>326</v>
      </c>
      <c r="J2022" s="125" t="s">
        <v>352</v>
      </c>
      <c r="K2022" s="125" t="s">
        <v>526</v>
      </c>
      <c r="L2022" s="125" t="s">
        <v>507</v>
      </c>
      <c r="M2022" s="125" t="s">
        <v>508</v>
      </c>
    </row>
    <row r="2023" spans="1:13" s="114" customFormat="1" ht="38.25">
      <c r="A2023" s="136">
        <v>2021</v>
      </c>
      <c r="B2023" s="136" t="s">
        <v>5942</v>
      </c>
      <c r="C2023" s="136" t="s">
        <v>5943</v>
      </c>
      <c r="D2023" s="163" t="s">
        <v>5944</v>
      </c>
      <c r="E2023" s="84" t="s">
        <v>5945</v>
      </c>
      <c r="F2023" s="113"/>
      <c r="G2023" s="131"/>
      <c r="H2023" s="186" t="s">
        <v>642</v>
      </c>
      <c r="I2023" s="125" t="s">
        <v>326</v>
      </c>
      <c r="J2023" s="125" t="s">
        <v>331</v>
      </c>
      <c r="K2023" s="125" t="s">
        <v>512</v>
      </c>
      <c r="L2023" s="125" t="s">
        <v>507</v>
      </c>
      <c r="M2023" s="125" t="s">
        <v>508</v>
      </c>
    </row>
    <row r="2024" spans="1:13" s="114" customFormat="1" ht="38.25">
      <c r="A2024" s="136">
        <v>2022</v>
      </c>
      <c r="B2024" s="136" t="s">
        <v>5946</v>
      </c>
      <c r="C2024" s="136" t="s">
        <v>5947</v>
      </c>
      <c r="D2024" s="142" t="s">
        <v>5948</v>
      </c>
      <c r="E2024" s="84" t="s">
        <v>5949</v>
      </c>
      <c r="F2024" s="113"/>
      <c r="G2024" s="131"/>
      <c r="H2024" s="186" t="s">
        <v>817</v>
      </c>
      <c r="I2024" s="125" t="s">
        <v>326</v>
      </c>
      <c r="J2024" s="125" t="s">
        <v>352</v>
      </c>
      <c r="K2024" s="125" t="s">
        <v>526</v>
      </c>
      <c r="L2024" s="125" t="s">
        <v>507</v>
      </c>
      <c r="M2024" s="125" t="s">
        <v>508</v>
      </c>
    </row>
  </sheetData>
  <sheetProtection formatCells="0" formatColumns="0" formatRows="0" insertRows="0" insertHyperlinks="0" deleteRows="0" selectLockedCells="1" sort="0" autoFilter="0" pivotTables="0"/>
  <protectedRanges>
    <protectedRange sqref="I1:K1" name="Range1"/>
  </protectedRanges>
  <autoFilter ref="A2:M2024" xr:uid="{309080C7-AB3C-4C82-AEF2-83AF9C7EC6D5}"/>
  <mergeCells count="3">
    <mergeCell ref="I1:K1"/>
    <mergeCell ref="G1:H1"/>
    <mergeCell ref="B1:D1"/>
  </mergeCells>
  <phoneticPr fontId="10" type="noConversion"/>
  <conditionalFormatting sqref="B604">
    <cfRule type="duplicateValues" dxfId="14" priority="11"/>
  </conditionalFormatting>
  <conditionalFormatting sqref="B1468:B1469">
    <cfRule type="duplicateValues" dxfId="13" priority="10"/>
  </conditionalFormatting>
  <conditionalFormatting sqref="J1081:K1081">
    <cfRule type="duplicateValues" dxfId="12" priority="9"/>
  </conditionalFormatting>
  <conditionalFormatting sqref="J1082:K1082">
    <cfRule type="duplicateValues" dxfId="11" priority="8"/>
  </conditionalFormatting>
  <conditionalFormatting sqref="J1083:K1083">
    <cfRule type="duplicateValues" dxfId="10" priority="7"/>
  </conditionalFormatting>
  <conditionalFormatting sqref="B738">
    <cfRule type="duplicateValues" dxfId="9" priority="5"/>
  </conditionalFormatting>
  <conditionalFormatting sqref="B739">
    <cfRule type="duplicateValues" dxfId="8" priority="4"/>
  </conditionalFormatting>
  <conditionalFormatting sqref="B740">
    <cfRule type="duplicateValues" dxfId="7" priority="3"/>
  </conditionalFormatting>
  <conditionalFormatting sqref="B1009">
    <cfRule type="duplicateValues" dxfId="6" priority="2"/>
  </conditionalFormatting>
  <conditionalFormatting sqref="B1412">
    <cfRule type="duplicateValues" dxfId="5" priority="1"/>
  </conditionalFormatting>
  <conditionalFormatting sqref="B1413:B1467 B741:B1008 B605:B737 B3:B176 B181:B291 B556:B603 B1010:B1201 B293:B294 B299:B499 B501:B540 B1203:B1222 B1224:B1411">
    <cfRule type="duplicateValues" dxfId="4" priority="530"/>
  </conditionalFormatting>
  <dataValidations count="54">
    <dataValidation type="list" allowBlank="1" showInputMessage="1" showErrorMessage="1" sqref="L1 L2025:L1048576" xr:uid="{00000000-0002-0000-0600-000000000000}">
      <formula1>IF(#REF!="Product",Requirement_Applicability,Information)</formula1>
    </dataValidation>
    <dataValidation type="list" allowBlank="1" showInputMessage="1" showErrorMessage="1" sqref="M1788" xr:uid="{00000000-0002-0000-0600-000001000000}">
      <formula1>IF(OR($E1704="Information", $I1788="Other"),Information,Responsible_by)</formula1>
    </dataValidation>
    <dataValidation type="list" allowBlank="1" showInputMessage="1" showErrorMessage="1" sqref="J1788" xr:uid="{00000000-0002-0000-0600-000002000000}">
      <formula1>IF(OR($E1704="Information",$I1788="Other"),Information,INDIRECT($J1788))</formula1>
    </dataValidation>
    <dataValidation type="list" allowBlank="1" showInputMessage="1" showErrorMessage="1" sqref="I1788" xr:uid="{00000000-0002-0000-0600-000003000000}">
      <formula1>IF(OR($E1704="Information",$I1788="Other"),Information,INDIRECT($I1788))</formula1>
    </dataValidation>
    <dataValidation type="list" allowBlank="1" showInputMessage="1" showErrorMessage="1" sqref="L1470:L1551 L1591:L1664 L1412 L1708 L1219:L1221 L1745:L2024 L292 L500 L295:L298 L541:L555 L1202 L1223" xr:uid="{00000000-0002-0000-0600-000004000000}">
      <formula1>IF($I292="Product",Requirement_Applicability,Information)</formula1>
    </dataValidation>
    <dataValidation type="list" allowBlank="1" showInputMessage="1" showErrorMessage="1" sqref="M1470:M1551 M1591:M1664 M1745:M1780 M1782:M1787 M683:M687 M1708 M643:M645 M775 M667:M668 M658:M659 M641 M675 M1219:M1221 M1789:M2024 M292 M500 M295:M298 M541:M555 M1202 M1223" xr:uid="{00000000-0002-0000-0600-000005000000}">
      <formula1>IF(OR($E292="Information", $I292="Other"),Information,Responsible_by)</formula1>
    </dataValidation>
    <dataValidation type="list" allowBlank="1" showInputMessage="1" showErrorMessage="1" sqref="K9:K10 K1460 K1782:K1974 K1710 K1219:K1221 K1718 K1591:K1609 K1560 K1570 K1588 K426 K521 K1688:K1689 K819 K1258 K1723 K305 K629 K457:K459 K1198:K1199 K1707:K1708 K1704 K641:K642 K683:K687 K644:K645 K659 K675 K693 K1171:K1172 K370 K1059 K1695 K377:K378 K536:K537 K1079 K1084 K1464 K797:K799 K1576:K1579 K516:K517 K519 K95 K1714 K1735:K1738 K432 K439:K443 K1470:K1551 K1742:K1743 K1682 K1384 K1976:K2024 K1567 K1745:K1780 K352:K353 K1138 K292 K500 K295:K298 K541:K555 K1202 K1223 K365:K366 K373:K374 K754 K1009 K1334:K1345 K1347 K1349 K1376:K1377 K1416 K1698 K1611:K1664" xr:uid="{00000000-0002-0000-0600-000006000000}">
      <formula1>IF(OR($E9="Information",$I9="Other"),Information,INDIRECT($K9))</formula1>
    </dataValidation>
    <dataValidation type="list" allowBlank="1" showInputMessage="1" showErrorMessage="1" sqref="K676:K682 K646:K648 K650:K653 K643 K660:K662 K694:K695 K655:K658 K666:K674 K688:K692 K630:K640" xr:uid="{00000000-0002-0000-0600-000007000000}">
      <formula1>IF(OR(#REF!="Information",$H630="Other"),Information,INDIRECT($K630))</formula1>
    </dataValidation>
    <dataValidation type="list" allowBlank="1" showInputMessage="1" showErrorMessage="1" sqref="J1417:J1418" xr:uid="{00000000-0002-0000-0600-000008000000}">
      <formula1>IF(OR($E1417="Information",$N1417="Other"),Information,INDIRECT($O1417))</formula1>
    </dataValidation>
    <dataValidation type="list" allowBlank="1" showInputMessage="1" showErrorMessage="1" sqref="K1417:K1418" xr:uid="{00000000-0002-0000-0600-000009000000}">
      <formula1>IF(OR($E1417="Information",$N1417="Other"),Information,INDIRECT($P1417))</formula1>
    </dataValidation>
    <dataValidation type="list" allowBlank="1" showInputMessage="1" showErrorMessage="1" sqref="K996 K924 K926 K929 K931:K932 K1120 K1018 K1130 K972 K954 K1023 K1306" xr:uid="{00000000-0002-0000-0600-00000A000000}">
      <formula1>IF(OR($E924="Information",$H924="Other",$H924="Process_Other"),Information,INDIRECT($J924))</formula1>
    </dataValidation>
    <dataValidation type="list" allowBlank="1" showInputMessage="1" showErrorMessage="1" sqref="J1353" xr:uid="{00000000-0002-0000-0600-00000B000000}">
      <formula1>IF(OR($E1352="Information",$I1353="Other"),Information,INDIRECT($J1353))</formula1>
    </dataValidation>
    <dataValidation type="list" allowBlank="1" showInputMessage="1" showErrorMessage="1" sqref="J1350:J1352 J1375 J10 J1976:J2024 J1710 J1782:J1787 J1591:J1609 J1743 J1611:J1664 J1560 J1570 J1588 J426 J1735:J1736 J1470:J1551 J1688 J1342 J1460 J305 J1745:J1780 J819 J1059 J1708 J1208 J517 J519 J521 J1219:J1221 J1354:J1373 J1223 J1334 J292 J500 J295:J298 J541:J555 J1202 J1789:J1974" xr:uid="{00000000-0002-0000-0600-00000C000000}">
      <formula1>IF(OR($E10="Information",$I10="Other"),Information,INDIRECT($J10))</formula1>
    </dataValidation>
    <dataValidation type="list" allowBlank="1" showInputMessage="1" showErrorMessage="1" sqref="K1419:K1433 K994:K995 K925 K927:K928 K1456 K930 K1075 K1134 K1313:K1329 K908:K913 K955:K963 K968:K971 K933:K953 K997:K1005 K973:K992 K915:K923 K884:K906 K1012:K1015 K1007:K1008 K1010" xr:uid="{00000000-0002-0000-0600-00000D000000}">
      <formula1>IF(OR(#REF!="Information",$H884="Other",$H884="Process_Other"),Information,INDIRECT($J884))</formula1>
    </dataValidation>
    <dataValidation type="list" allowBlank="1" showInputMessage="1" showErrorMessage="1" sqref="K1451:K1452 K1434:K1445 K1449 K800:K802 K1413 K603 K1454:K1455 K556:K601 K759:K796 J655:J662 K605:K628 K696:K753 K1330:K1333 K1385:K1386 J664:J695 J629:J653 K755 K1060:K1074 K1085:K1100 K1076:K1078 K1080:K1083 K1348 K1346 K1378:K1383" xr:uid="{00000000-0002-0000-0600-00000E000000}">
      <formula1>IF(OR(#REF!="Information",$H556="Other"),Information,INDIRECT($J556))</formula1>
    </dataValidation>
    <dataValidation type="list" allowBlank="1" showInputMessage="1" showErrorMessage="1" sqref="K1446:K1448 K1177:K1178 K1048 K1450 K1453 K604 K1037 K1132 K649 K87 K1355 K602 K405:K406 K1409 K180 K436 K429 K1391 K364 K187 K417 K35 K58 K867 K871 K821 K758 K663:K665 K654 K1103 K1193" xr:uid="{00000000-0002-0000-0600-00000F000000}">
      <formula1>IF(OR($E35="Information",$H35="Other"),Information,INDIRECT($J35))</formula1>
    </dataValidation>
    <dataValidation type="list" allowBlank="1" showInputMessage="1" showErrorMessage="1" sqref="K1457 K1415" xr:uid="{00000000-0002-0000-0600-000010000000}">
      <formula1>IF(OR($E1414="Information",$H1415="Other"),Information,INDIRECT($J1415))</formula1>
    </dataValidation>
    <dataValidation type="list" allowBlank="1" showInputMessage="1" showErrorMessage="1" sqref="J1415:J1416" xr:uid="{00000000-0002-0000-0600-000011000000}">
      <formula1>IF(OR($E1414="Information",$H1415="Other"),Information,INDIRECT($I1415))</formula1>
    </dataValidation>
    <dataValidation type="list" allowBlank="1" showInputMessage="1" showErrorMessage="1" sqref="K1353" xr:uid="{00000000-0002-0000-0600-000012000000}">
      <formula1>IF(OR($E1352="Information",$I1353="Other"),Information,INDIRECT(#REF!))</formula1>
    </dataValidation>
    <dataValidation type="list" allowBlank="1" showInputMessage="1" showErrorMessage="1" sqref="K1350:K1352 K1354 K1375 K1356:K1373" xr:uid="{00000000-0002-0000-0600-000013000000}">
      <formula1>IF(OR($E1350="Information",$I1350="Other"),Information,INDIRECT(#REF!))</formula1>
    </dataValidation>
    <dataValidation type="list" allowBlank="1" showInputMessage="1" showErrorMessage="1" sqref="J996 J924 J926 J929 J931:J932 J1130 J954 J1023 J6 J3" xr:uid="{00000000-0002-0000-0600-000014000000}">
      <formula1>IF(OR($E3="Information",$H3="Other",$H3="Process_Other"),Information,INDIRECT($I3))</formula1>
    </dataValidation>
    <dataValidation type="list" allowBlank="1" showInputMessage="1" showErrorMessage="1" sqref="I1353" xr:uid="{00000000-0002-0000-0600-000015000000}">
      <formula1>IF(OR($E1352="Information",$I1353="Other"),Information,INDIRECT($I1353))</formula1>
    </dataValidation>
    <dataValidation type="list" allowBlank="1" showInputMessage="1" showErrorMessage="1" sqref="I1350:I1352 I1375 I1470:I1551 I1976:I2024 I1745:I1780 I1782:I1787 I1412 I1591:I1664 I1708 I1208 I1219:I1221 I1354:I1373 I1789:I1974 I292 I500 I295:I298 I541:I555 I1202 I1223" xr:uid="{00000000-0002-0000-0600-000016000000}">
      <formula1>IF(OR($E292="Information",$I292="Other"),Information,INDIRECT($I292))</formula1>
    </dataValidation>
    <dataValidation type="list" allowBlank="1" showInputMessage="1" showErrorMessage="1" sqref="J1458:J1459 J1461:J1467" xr:uid="{00000000-0002-0000-0600-000017000000}">
      <formula1>IF(OR(#REF!="Information",$N1458="Other"),Information,INDIRECT($O1458))</formula1>
    </dataValidation>
    <dataValidation type="list" allowBlank="1" showInputMessage="1" showErrorMessage="1" sqref="K1458:K1459 K1461:K1463 K1465:K1467" xr:uid="{00000000-0002-0000-0600-000018000000}">
      <formula1>IF(OR(#REF!="Information",$N1458="Other"),Information,INDIRECT($P1458))</formula1>
    </dataValidation>
    <dataValidation type="list" allowBlank="1" showInputMessage="1" showErrorMessage="1" sqref="K1224:K1256 K1402:K1408 K1410:K1411" xr:uid="{00000000-0002-0000-0600-000019000000}">
      <formula1>IF(OR(#REF!="Information",$M1224="Other"),Information,INDIRECT($O1224))</formula1>
    </dataValidation>
    <dataValidation type="list" allowBlank="1" showInputMessage="1" showErrorMessage="1" sqref="J1224:J1256 J1410:J1411 J1403:J1408" xr:uid="{00000000-0002-0000-0600-00001A000000}">
      <formula1>IF(OR(#REF!="Information",$M1224="Other"),Information,INDIRECT($N1224))</formula1>
    </dataValidation>
    <dataValidation type="list" allowBlank="1" showInputMessage="1" showErrorMessage="1" sqref="I1142:I1146 I1387:I1411 I1224:I1256" xr:uid="{00000000-0002-0000-0600-00001B000000}">
      <formula1>IF(OR(#REF!="Information",$M1142="Other"),Information,INDIRECT($M1142))</formula1>
    </dataValidation>
    <dataValidation type="list" allowBlank="1" showInputMessage="1" showErrorMessage="1" sqref="J1142:J1146 J1387:J1390 J1392:J1401" xr:uid="{00000000-0002-0000-0600-00001C000000}">
      <formula1>IF(OR(#REF!="Information",$M1142="Other",$M1142="Process_Other"),Information,INDIRECT($N1142))</formula1>
    </dataValidation>
    <dataValidation type="list" allowBlank="1" showInputMessage="1" showErrorMessage="1" sqref="K1142:K1146 K1104 K1387:K1390 K1392:K1396 K1398:K1401" xr:uid="{00000000-0002-0000-0600-00001D000000}">
      <formula1>IF(OR(#REF!="Information",$M1104="Other",$M1104="Process_Other"),Information,INDIRECT($O1104))</formula1>
    </dataValidation>
    <dataValidation type="list" allowBlank="1" showInputMessage="1" showErrorMessage="1" sqref="J1136" xr:uid="{00000000-0002-0000-0600-00001E000000}">
      <formula1>IF(OR(#REF!="Information",$N1136="Other",$N1136="Process_Other"),Information,INDIRECT($O1136))</formula1>
    </dataValidation>
    <dataValidation type="list" allowBlank="1" showInputMessage="1" showErrorMessage="1" sqref="K1136:K1137" xr:uid="{00000000-0002-0000-0600-00001F000000}">
      <formula1>IF(OR(#REF!="Information",$N1136="Other",$N1136="Process_Other"),Information,INDIRECT($P1136))</formula1>
    </dataValidation>
    <dataValidation type="list" allowBlank="1" showInputMessage="1" showErrorMessage="1" sqref="I1136:I1137 I1458:I1467" xr:uid="{00000000-0002-0000-0600-000020000000}">
      <formula1>IF(OR(#REF!="Information",$N1136="Other"),Information,INDIRECT($N1136))</formula1>
    </dataValidation>
    <dataValidation type="list" allowBlank="1" showInputMessage="1" showErrorMessage="1" sqref="J930 J1419:J1433 J884:J923 J925 J927:J928 J1007:J1015 J968:J995 J955:J963 J933:J953 J997:J1005 J1313:J1329" xr:uid="{00000000-0002-0000-0600-000021000000}">
      <formula1>IF(OR(#REF!="Information",$H884="Other",$H884="Process_Other"),Information,INDIRECT($I884))</formula1>
    </dataValidation>
    <dataValidation type="list" allowBlank="1" showInputMessage="1" showErrorMessage="1" sqref="I758:I802 I1337:I1349 I884:I963 I1376:I1386 I655:I755 I968:I1015 I1059:I1100 I556:I653 I1413:I1448 I1450:I1457 I1313:I1335" xr:uid="{00000000-0002-0000-0600-000022000000}">
      <formula1>IF(OR(#REF!="Information",$H556="Other"),Information,INDIRECT($H556))</formula1>
    </dataValidation>
    <dataValidation type="list" allowBlank="1" showInputMessage="1" showErrorMessage="1" sqref="J1434:J1449 J1451:J1452 J1454:J1457 J1413 J556:J603 J758:J802 J605:J628 J1376:J1386 J1343:J1349 J696:J755 J1337:J1341 J1060:J1100 J1330:J1333" xr:uid="{00000000-0002-0000-0600-000023000000}">
      <formula1>IF(OR(#REF!="Information",$H556="Other"),Information,INDIRECT($I556))</formula1>
    </dataValidation>
    <dataValidation type="list" allowBlank="1" showInputMessage="1" showErrorMessage="1" sqref="K384 K1101 K184 K22 K229:K230 K172 K464 K392 K509 K479:K482 K286:K287 K354 K471:K472 K493:K496 K488:K490 K425 K390 K386 K164 K133:K135 K103:K104 K99 K477 K106:K107 K101 K475 K485:K486 K499" xr:uid="{00000000-0002-0000-0600-000024000000}">
      <formula1>IF(OR(#REF!="Information",$G22="Other"),Information,INDIRECT($I22))</formula1>
    </dataValidation>
    <dataValidation type="list" allowBlank="1" showInputMessage="1" showErrorMessage="1" sqref="J384 J1101 J184 J22 J509 J480:J481 J464 J286:J287 J354 J471:J472 J488:J490 J390 J386 J164 J133:J135 J103:J104 J99 J106:J107 J101 J493 J425 J485:J486 J475" xr:uid="{00000000-0002-0000-0600-000025000000}">
      <formula1>IF(OR(#REF!="Information",$G22="Other"),Information,INDIRECT($H22))</formula1>
    </dataValidation>
    <dataValidation type="list" allowBlank="1" showInputMessage="1" showErrorMessage="1" sqref="J355:K355 K39 K407 J307:K307 J29:K29 J84:K85 J138:K139 J310:K310 K236 J262:K263 J289:K290 K169:K171 J123:K123 K125 K127 K211 K277 J108:K108 J117:K117 J14:K15 J18:K18 J12:K12 J513:K513 J269:K269 K246:K247 K191 K193 K336 J442 J339:K340 J361:K361 J528:K528 K438 K348:K351 J283:K283 J458 J209:K209 J205:K205 K515 J367:K367 J369:K369 J539:K539 J188:K188 J515:J516 J365" xr:uid="{00000000-0002-0000-0600-000026000000}">
      <formula1>IF(OR(#REF!="Information",$G12="Other"),Information,INDIRECT(#REF!))</formula1>
    </dataValidation>
    <dataValidation type="list" allowBlank="1" showInputMessage="1" showErrorMessage="1" sqref="I188 I1101 I509 I471 I464 I354 I519 I485 I425 I390 I386 I164 I133:I135 I103:I104 I99 I106:I107 I101 I384 I84 I460 I335" xr:uid="{00000000-0002-0000-0600-000027000000}">
      <formula1>IF(OR(#REF!="Information",$G84="Other"),Information,INDIRECT($G84))</formula1>
    </dataValidation>
    <dataValidation type="list" allowBlank="1" showInputMessage="1" showErrorMessage="1" sqref="J1453 J1414 J1450 J604 J406 J1335:J1336 J180 J429 J95 J364 J187 J417 J35 J58 J867 J663 J654 J1103 J1177:J1178 J1409 J1391" xr:uid="{00000000-0002-0000-0600-000028000000}">
      <formula1>IF(OR($E35="Information",$H35="Other"),Information,INDIRECT($I35))</formula1>
    </dataValidation>
    <dataValidation type="list" allowBlank="1" showInputMessage="1" showErrorMessage="1" sqref="I510:I518 I136:I163 I108:I132 I85:I98 J36:J39 J1115:J1116 J427:K428 J362:K363 I1975:K1975 J19:K21 J391:J405 K36:K38 J510:K512 J299:K304 I465:K470 K391 K478 J288:K288 K460:K463 J284:K285 J181:K183 I387:K389 I385:K385 J140:K163 J124:J132 K128:K132 J518:K518 I231:K231 K476 J522:K527 J487:K487 I100:K100 J473:K474 J185:K186 K444:K456 J491:K492 I105:K105 J272:J282 K272:K276 J232:J261 K237:K245 K232:K235 K212:K228 K248:K261 I418:K424 J23:K28 K124 K126 J206:K208 J109:K116 J13:K13 J16:K17 J136:K137 J210:K210 J356:K360 K433:K435 K192 K189:K190 J514:K514 K497:K498 I102:K102 K430:K431 K278:K282 J476:J479 I1449 I189:I230 J368:K368 K379:K383 K393:K404 J265:K268 J59:K83 K165:K168 J430:J441 K86 J211:J230 J270:K270 J118:J122 K118:K120 K122 I426:I459 I461:I463 K538 J189:J204 K194:K204 J308:K309 I299:I334 J337:K338 K341:K347 I520:I540 I355:I383 I472:I484 J482:J484 K483:K484 J336 J311:K335 J96:K98 I165:I187 K173:K179 J165:J179 K437 J306:K306 J86:J94 K88:K94 K375:K376 K408:K416 I391:I416 J30:K34 K3:K8 J40:K57 J4:J5 J11:K11 J7:J9 J407:J416 I336:I353 J540:K540 J370:J383 J366 J529:J538 K529:K535 J520:K520 J443:J457 J459:J463 J341:J353 J291:K291 I232:I291 I293:K294 J494:J499 I486:I499 I501:K508 K371:K372 I3:I83" xr:uid="{00000000-0002-0000-0600-000029000000}">
      <formula1>IF(OR($E3="Information",#REF!="Other"),Information,INDIRECT(#REF!))</formula1>
    </dataValidation>
    <dataValidation type="list" allowBlank="1" showInputMessage="1" showErrorMessage="1" sqref="I1781" xr:uid="{00000000-0002-0000-0600-00002A000000}">
      <formula1>IF(OR($E1782="Information",$I1781="Other"),Information,INDIRECT($I1781))</formula1>
    </dataValidation>
    <dataValidation type="list" allowBlank="1" showInputMessage="1" showErrorMessage="1" sqref="J1781" xr:uid="{00000000-0002-0000-0600-00002B000000}">
      <formula1>IF(OR($E1782="Information",$I1781="Other"),Information,INDIRECT($J1781))</formula1>
    </dataValidation>
    <dataValidation type="list" allowBlank="1" showInputMessage="1" showErrorMessage="1" sqref="K1781" xr:uid="{00000000-0002-0000-0600-00002C000000}">
      <formula1>IF(OR($E1782="Information",$I1781="Other"),Information,INDIRECT($K1781))</formula1>
    </dataValidation>
    <dataValidation type="list" allowBlank="1" showInputMessage="1" showErrorMessage="1" sqref="M1781" xr:uid="{00000000-0002-0000-0600-00002D000000}">
      <formula1>IF(OR($E1782="Information", $I1781="Other"),Information,Responsible_by)</formula1>
    </dataValidation>
    <dataValidation type="list" allowBlank="1" showInputMessage="1" showErrorMessage="1" sqref="M1336" xr:uid="{00000000-0002-0000-0600-00002E000000}">
      <formula1>IF(OR($E1336="Information", $H1336="Other"),Information,Responsible_by)</formula1>
    </dataValidation>
    <dataValidation type="list" allowBlank="1" showInputMessage="1" showErrorMessage="1" sqref="I1336 I417 I1023 I654" xr:uid="{00000000-0002-0000-0600-00002F000000}">
      <formula1>IF(OR($E417="Information",$H417="Other"),Information,INDIRECT($H417))</formula1>
    </dataValidation>
    <dataValidation type="list" allowBlank="1" showInputMessage="1" showErrorMessage="1" sqref="L1336 L1103" xr:uid="{00000000-0002-0000-0600-000030000000}">
      <formula1>IF($H1103="Product",Requirement_Applicability,Information)</formula1>
    </dataValidation>
    <dataValidation type="list" allowBlank="1" showInputMessage="1" showErrorMessage="1" sqref="J1306" xr:uid="{00000000-0002-0000-0600-000031000000}">
      <formula1>IF(OR($E1306="Information",$H1306="Other",$H1306="Process_other"),Information,INDIRECT($I1306))</formula1>
    </dataValidation>
    <dataValidation type="list" allowBlank="1" showInputMessage="1" showErrorMessage="1" sqref="K1006 K1412 K993 K914 K1397 K907 K1011 K1139:K1141" xr:uid="{00000000-0002-0000-0600-000032000000}">
      <formula1>IF(OR($E907="Information",$I907="Other",$I907="Process_Other"),Information,INDIRECT($K907))</formula1>
    </dataValidation>
    <dataValidation type="list" allowBlank="1" showInputMessage="1" showErrorMessage="1" sqref="J1006 J1412 J1139" xr:uid="{00000000-0002-0000-0600-000033000000}">
      <formula1>IF(OR($E1006="Information",$I1006="Other",$I1006="Process_Other"),Information,INDIRECT($J1006))</formula1>
    </dataValidation>
    <dataValidation type="list" allowBlank="1" showInputMessage="1" showErrorMessage="1" sqref="M1412" xr:uid="{00000000-0002-0000-0600-000034000000}">
      <formula1>IF(OR($E1412="Information", $I1412="Other",$I1412="Process_Other"),Information,Responsible_by)</formula1>
    </dataValidation>
    <dataValidation type="list" allowBlank="1" showInputMessage="1" showErrorMessage="1" sqref="K1414" xr:uid="{00000000-0002-0000-0600-000035000000}">
      <formula1>IF(OR($F1414="Information",$I1414="Other"),Information,INDIRECT($K1414))</formula1>
    </dataValidation>
  </dataValidations>
  <printOptions horizontalCentered="1"/>
  <pageMargins left="0.25" right="0.25" top="0.14393939393939401" bottom="0.75" header="0.25" footer="0.3"/>
  <pageSetup paperSize="9" scale="40" orientation="landscape" r:id="rId1"/>
  <headerFooter alignWithMargins="0">
    <oddFooter>&amp;C&amp;"Times New Roman,Regular"&amp;9&amp;K00-048HCLT Confidential&amp;R&amp;"Times New Roman,Regular"&amp;9&amp;K00-047Page &amp;"Times New Roman,Bold"&amp;K000000&amp;P of &amp;N&amp;"Times New Roman,Regular" &amp;K00-047Pages</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1"/>
  <dimension ref="A1:CV1274"/>
  <sheetViews>
    <sheetView tabSelected="1" zoomScale="80" zoomScaleNormal="80" workbookViewId="0">
      <pane ySplit="2" topLeftCell="A217" activePane="bottomLeft" state="frozen"/>
      <selection pane="bottomLeft" activeCell="D217" sqref="D217"/>
    </sheetView>
  </sheetViews>
  <sheetFormatPr defaultColWidth="70.42578125" defaultRowHeight="15"/>
  <cols>
    <col min="1" max="1" width="10.140625" style="183" customWidth="1"/>
    <col min="2" max="2" width="23.140625" style="120" customWidth="1"/>
    <col min="3" max="3" width="32.85546875" style="126" customWidth="1"/>
    <col min="4" max="4" width="120.28515625" style="126" customWidth="1"/>
    <col min="5" max="5" width="51" style="126" customWidth="1"/>
    <col min="6" max="6" width="49.42578125" style="133" customWidth="1"/>
    <col min="7" max="7" width="18.85546875" style="120" customWidth="1"/>
    <col min="8" max="8" width="25" style="126" customWidth="1"/>
    <col min="9" max="9" width="30.5703125" style="126" customWidth="1"/>
    <col min="10" max="10" width="19.140625" style="126" customWidth="1"/>
    <col min="11" max="11" width="19.5703125" style="126" customWidth="1"/>
    <col min="12" max="12" width="13.7109375" style="127" customWidth="1"/>
    <col min="13" max="13" width="12.5703125" style="120" customWidth="1"/>
    <col min="14" max="14" width="20.42578125" style="120" bestFit="1" customWidth="1"/>
    <col min="15" max="15" width="27.85546875" style="120" customWidth="1"/>
    <col min="16" max="16" width="29.85546875" style="120" customWidth="1"/>
    <col min="17" max="17" width="19.85546875" style="120" customWidth="1"/>
    <col min="18" max="18" width="19.140625" style="120" bestFit="1" customWidth="1"/>
    <col min="19" max="19" width="15.140625" style="120" customWidth="1"/>
    <col min="20" max="20" width="24.28515625" style="120" customWidth="1"/>
    <col min="21" max="30" width="17.140625" style="120" customWidth="1"/>
    <col min="31" max="31" width="13.28515625" style="120" customWidth="1"/>
    <col min="32" max="32" width="13.140625" style="120" customWidth="1"/>
    <col min="33" max="33" width="12.7109375" style="120" customWidth="1"/>
    <col min="34" max="16384" width="70.42578125" style="120"/>
  </cols>
  <sheetData>
    <row r="1" spans="1:100" s="121" customFormat="1" ht="54">
      <c r="A1" s="180"/>
      <c r="B1" s="243" t="s">
        <v>5950</v>
      </c>
      <c r="C1" s="244"/>
      <c r="D1" s="96" t="s">
        <v>5951</v>
      </c>
      <c r="E1" s="96"/>
      <c r="F1" s="96"/>
      <c r="G1" s="239" t="s">
        <v>5952</v>
      </c>
      <c r="H1" s="240"/>
      <c r="I1" s="240"/>
      <c r="J1" s="245"/>
      <c r="K1" s="246"/>
      <c r="L1" s="247"/>
      <c r="M1" s="241" t="s">
        <v>83</v>
      </c>
      <c r="N1" s="242"/>
      <c r="O1" s="242"/>
      <c r="P1" s="242"/>
      <c r="Q1" s="242"/>
      <c r="R1" s="242"/>
      <c r="S1" s="242"/>
      <c r="T1" s="242"/>
      <c r="U1" s="238" t="s">
        <v>5953</v>
      </c>
      <c r="V1" s="238"/>
      <c r="W1" s="238"/>
      <c r="X1" s="238"/>
      <c r="Y1" s="238"/>
      <c r="Z1" s="238"/>
      <c r="AA1" s="238"/>
      <c r="AB1" s="238"/>
      <c r="AC1" s="238"/>
      <c r="AD1" s="238"/>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c r="CD1" s="120"/>
      <c r="CE1" s="120"/>
      <c r="CF1" s="120"/>
      <c r="CG1" s="120"/>
      <c r="CH1" s="120"/>
      <c r="CI1" s="120"/>
      <c r="CJ1" s="120"/>
      <c r="CK1" s="120"/>
      <c r="CL1" s="120"/>
      <c r="CM1" s="120"/>
      <c r="CN1" s="120"/>
      <c r="CO1" s="120"/>
      <c r="CP1" s="120"/>
      <c r="CQ1" s="120"/>
      <c r="CR1" s="120"/>
      <c r="CS1" s="120"/>
      <c r="CT1" s="120"/>
      <c r="CU1" s="120"/>
      <c r="CV1" s="120"/>
    </row>
    <row r="2" spans="1:100" s="124" customFormat="1" ht="28.5">
      <c r="A2" s="164" t="s">
        <v>48</v>
      </c>
      <c r="B2" s="80" t="s">
        <v>76</v>
      </c>
      <c r="C2" s="81" t="s">
        <v>78</v>
      </c>
      <c r="D2" s="81" t="s">
        <v>5954</v>
      </c>
      <c r="E2" s="81" t="s">
        <v>5955</v>
      </c>
      <c r="F2" s="81" t="s">
        <v>5956</v>
      </c>
      <c r="G2" s="81" t="s">
        <v>65</v>
      </c>
      <c r="H2" s="81" t="s">
        <v>67</v>
      </c>
      <c r="I2" s="81" t="s">
        <v>5957</v>
      </c>
      <c r="J2" s="81" t="s">
        <v>5958</v>
      </c>
      <c r="K2" s="81" t="s">
        <v>5959</v>
      </c>
      <c r="L2" s="81" t="s">
        <v>81</v>
      </c>
      <c r="M2" s="82" t="s">
        <v>5960</v>
      </c>
      <c r="N2" s="82" t="s">
        <v>375</v>
      </c>
      <c r="O2" s="82" t="s">
        <v>384</v>
      </c>
      <c r="P2" s="82" t="s">
        <v>206</v>
      </c>
      <c r="Q2" s="82" t="s">
        <v>226</v>
      </c>
      <c r="R2" s="82" t="s">
        <v>218</v>
      </c>
      <c r="S2" s="82" t="s">
        <v>434</v>
      </c>
      <c r="T2" s="82" t="s">
        <v>403</v>
      </c>
      <c r="U2" s="122" t="s">
        <v>364</v>
      </c>
      <c r="V2" s="122" t="s">
        <v>365</v>
      </c>
      <c r="W2" s="122" t="s">
        <v>366</v>
      </c>
      <c r="X2" s="122" t="s">
        <v>367</v>
      </c>
      <c r="Y2" s="122" t="s">
        <v>368</v>
      </c>
      <c r="Z2" s="122" t="s">
        <v>369</v>
      </c>
      <c r="AA2" s="122" t="s">
        <v>370</v>
      </c>
      <c r="AB2" s="122" t="s">
        <v>371</v>
      </c>
      <c r="AC2" s="122" t="s">
        <v>372</v>
      </c>
      <c r="AD2" s="122" t="s">
        <v>373</v>
      </c>
      <c r="AE2" s="123"/>
      <c r="AF2" s="123"/>
      <c r="AG2" s="123"/>
      <c r="AH2" s="123"/>
      <c r="AI2" s="123"/>
      <c r="AJ2" s="123"/>
      <c r="AK2" s="123"/>
      <c r="AL2" s="123"/>
      <c r="AM2" s="123"/>
      <c r="AN2" s="123"/>
      <c r="AO2" s="123"/>
      <c r="AP2" s="123"/>
      <c r="AQ2" s="123"/>
      <c r="AR2" s="123"/>
      <c r="AS2" s="123"/>
      <c r="AT2" s="123"/>
      <c r="AU2" s="123"/>
      <c r="AV2" s="123"/>
      <c r="AW2" s="123"/>
      <c r="AX2" s="123"/>
      <c r="AY2" s="123"/>
      <c r="AZ2" s="123"/>
      <c r="BA2" s="123"/>
      <c r="BB2" s="123"/>
      <c r="BC2" s="123"/>
      <c r="BD2" s="123"/>
      <c r="BE2" s="123"/>
      <c r="BF2" s="123"/>
      <c r="BG2" s="123"/>
      <c r="BH2" s="123"/>
      <c r="BI2" s="123"/>
      <c r="BJ2" s="123"/>
      <c r="BK2" s="123"/>
      <c r="BL2" s="123"/>
      <c r="BM2" s="123"/>
      <c r="BN2" s="123"/>
      <c r="BO2" s="123"/>
      <c r="BP2" s="123"/>
      <c r="BQ2" s="123"/>
      <c r="BR2" s="123"/>
      <c r="BS2" s="123"/>
      <c r="BT2" s="123"/>
      <c r="BU2" s="123"/>
      <c r="BV2" s="123"/>
      <c r="BW2" s="123"/>
      <c r="BX2" s="123"/>
      <c r="BY2" s="123"/>
      <c r="BZ2" s="123"/>
      <c r="CA2" s="123"/>
      <c r="CB2" s="123"/>
      <c r="CC2" s="123"/>
      <c r="CD2" s="123"/>
      <c r="CE2" s="123"/>
      <c r="CF2" s="123"/>
      <c r="CG2" s="123"/>
      <c r="CH2" s="123"/>
      <c r="CI2" s="123"/>
      <c r="CJ2" s="123"/>
      <c r="CK2" s="123"/>
      <c r="CL2" s="123"/>
      <c r="CM2" s="123"/>
      <c r="CN2" s="123"/>
      <c r="CO2" s="123"/>
      <c r="CP2" s="123"/>
      <c r="CQ2" s="123"/>
      <c r="CR2" s="123"/>
      <c r="CS2" s="123"/>
      <c r="CT2" s="123"/>
      <c r="CU2" s="123"/>
      <c r="CV2" s="123"/>
    </row>
    <row r="3" spans="1:100" s="168" customFormat="1" ht="369.75">
      <c r="A3" s="181">
        <v>1</v>
      </c>
      <c r="B3" s="165" t="s">
        <v>501</v>
      </c>
      <c r="C3" s="166" t="s">
        <v>5961</v>
      </c>
      <c r="D3" s="166" t="s">
        <v>5962</v>
      </c>
      <c r="E3" s="166" t="s">
        <v>5963</v>
      </c>
      <c r="F3" s="113" t="s">
        <v>5964</v>
      </c>
      <c r="G3" s="125" t="str">
        <f>VLOOKUP($B3,'Product-Requirement'!$B:$M,8,FALSE)</f>
        <v>PROTECT</v>
      </c>
      <c r="H3" s="125" t="str">
        <f>VLOOKUP($B3,'Product-Requirement'!$B:$M,9,FALSE)</f>
        <v>Identity_Management_Authentication_and_Access_Control</v>
      </c>
      <c r="I3" s="125" t="str">
        <f>VLOOKUP($B3,'Product-Requirement'!$B:$M,10,FALSE)</f>
        <v>PR.AC-1: Identities and credentials are issued, managed, verified, revoked, and audited for authorized devices, users and processes</v>
      </c>
      <c r="J3" s="125" t="str">
        <f>VLOOKUP($B3,'Product-Requirement'!$B:$M,11,FALSE)</f>
        <v>System_Design</v>
      </c>
      <c r="K3" s="125" t="str">
        <f>VLOOKUP($B3,'Product-Requirement'!$B:$M,12,FALSE)</f>
        <v>Manufacturer</v>
      </c>
      <c r="L3" s="125" t="s">
        <v>5965</v>
      </c>
      <c r="M3" s="185"/>
      <c r="N3" s="185" t="s">
        <v>5966</v>
      </c>
      <c r="O3" s="185" t="s">
        <v>5967</v>
      </c>
      <c r="P3" s="185" t="s">
        <v>5968</v>
      </c>
      <c r="Q3" s="185" t="s">
        <v>5969</v>
      </c>
      <c r="R3" s="185"/>
      <c r="S3" s="185"/>
      <c r="T3" s="185" t="s">
        <v>5970</v>
      </c>
      <c r="U3" s="187" t="s">
        <v>378</v>
      </c>
      <c r="V3" s="187" t="s">
        <v>378</v>
      </c>
      <c r="W3" s="187" t="s">
        <v>378</v>
      </c>
      <c r="X3" s="187" t="s">
        <v>378</v>
      </c>
      <c r="Y3" s="187" t="s">
        <v>378</v>
      </c>
      <c r="Z3" s="187" t="s">
        <v>378</v>
      </c>
      <c r="AA3" s="187" t="s">
        <v>378</v>
      </c>
      <c r="AB3" s="187" t="s">
        <v>378</v>
      </c>
      <c r="AC3" s="187" t="s">
        <v>378</v>
      </c>
      <c r="AD3" s="187" t="s">
        <v>378</v>
      </c>
      <c r="AE3" s="167"/>
      <c r="AF3" s="167"/>
      <c r="AG3" s="167"/>
      <c r="AH3" s="167"/>
      <c r="AI3" s="167"/>
      <c r="AJ3" s="167"/>
      <c r="AK3" s="167"/>
      <c r="AL3" s="167"/>
      <c r="AM3" s="167"/>
      <c r="AN3" s="167"/>
      <c r="AO3" s="167"/>
      <c r="AP3" s="167"/>
      <c r="AQ3" s="167"/>
      <c r="AR3" s="167"/>
      <c r="AS3" s="167"/>
      <c r="AT3" s="167"/>
      <c r="AU3" s="167"/>
      <c r="AV3" s="167"/>
      <c r="AW3" s="167"/>
      <c r="AX3" s="167"/>
      <c r="AY3" s="167"/>
      <c r="AZ3" s="167"/>
      <c r="BA3" s="167"/>
      <c r="BB3" s="167"/>
      <c r="BC3" s="167"/>
      <c r="BD3" s="167"/>
      <c r="BE3" s="167"/>
      <c r="BF3" s="167"/>
      <c r="BG3" s="167"/>
      <c r="BH3" s="167"/>
      <c r="BI3" s="167"/>
      <c r="BJ3" s="167"/>
      <c r="BK3" s="167"/>
      <c r="BL3" s="167"/>
      <c r="BM3" s="167"/>
      <c r="BN3" s="167"/>
      <c r="BO3" s="167"/>
      <c r="BP3" s="167"/>
      <c r="BQ3" s="167"/>
      <c r="BR3" s="167"/>
      <c r="BS3" s="167"/>
      <c r="BT3" s="167"/>
      <c r="BU3" s="167"/>
      <c r="BV3" s="167"/>
      <c r="BW3" s="167"/>
      <c r="BX3" s="167"/>
      <c r="BY3" s="167"/>
      <c r="BZ3" s="167"/>
      <c r="CA3" s="167"/>
      <c r="CB3" s="167"/>
      <c r="CC3" s="167"/>
      <c r="CD3" s="167"/>
      <c r="CE3" s="167"/>
      <c r="CF3" s="167"/>
      <c r="CG3" s="167"/>
      <c r="CH3" s="167"/>
      <c r="CI3" s="167"/>
      <c r="CJ3" s="167"/>
      <c r="CK3" s="167"/>
      <c r="CL3" s="167"/>
      <c r="CM3" s="167"/>
      <c r="CN3" s="167"/>
      <c r="CO3" s="167"/>
      <c r="CP3" s="167"/>
      <c r="CQ3" s="167"/>
      <c r="CR3" s="167"/>
      <c r="CS3" s="167"/>
      <c r="CT3" s="167"/>
      <c r="CU3" s="167"/>
      <c r="CV3" s="167"/>
    </row>
    <row r="4" spans="1:100" s="167" customFormat="1" ht="140.25">
      <c r="A4" s="182">
        <v>2</v>
      </c>
      <c r="B4" s="165" t="s">
        <v>518</v>
      </c>
      <c r="C4" s="166" t="s">
        <v>5971</v>
      </c>
      <c r="D4" s="166" t="s">
        <v>5972</v>
      </c>
      <c r="E4" s="166" t="s">
        <v>5973</v>
      </c>
      <c r="F4" s="84" t="s">
        <v>5974</v>
      </c>
      <c r="G4" s="125" t="str">
        <f>VLOOKUP($B4,'Product-Requirement'!$B:$M,8,FALSE)</f>
        <v>PROTECT</v>
      </c>
      <c r="H4" s="125" t="str">
        <f>VLOOKUP($B4,'Product-Requirement'!$B:$M,9,FALSE)</f>
        <v>Identity_Management_Authentication_and_Access_Control</v>
      </c>
      <c r="I4" s="125" t="str">
        <f>VLOOKUP($B4,'Product-Requirement'!$B:$M,10,FALSE)</f>
        <v>PR.AC-1: Identities and credentials are issued, managed, verified, revoked, and audited for authorized devices, users and processes</v>
      </c>
      <c r="J4" s="125" t="str">
        <f>VLOOKUP($B4,'Product-Requirement'!$B:$M,11,FALSE)</f>
        <v>System_Design</v>
      </c>
      <c r="K4" s="125" t="str">
        <f>VLOOKUP($B4,'Product-Requirement'!$B:$M,12,FALSE)</f>
        <v>Manufacturer</v>
      </c>
      <c r="L4" s="125" t="s">
        <v>5965</v>
      </c>
      <c r="M4" s="185"/>
      <c r="N4" s="185"/>
      <c r="O4" s="185" t="s">
        <v>5975</v>
      </c>
      <c r="P4" s="185" t="s">
        <v>5976</v>
      </c>
      <c r="Q4" s="185" t="s">
        <v>5977</v>
      </c>
      <c r="R4" s="185"/>
      <c r="S4" s="185"/>
      <c r="T4" s="185" t="s">
        <v>5978</v>
      </c>
      <c r="U4" s="187" t="s">
        <v>378</v>
      </c>
      <c r="V4" s="187" t="s">
        <v>378</v>
      </c>
      <c r="W4" s="187" t="s">
        <v>378</v>
      </c>
      <c r="X4" s="187" t="s">
        <v>378</v>
      </c>
      <c r="Y4" s="187" t="s">
        <v>378</v>
      </c>
      <c r="Z4" s="187" t="s">
        <v>378</v>
      </c>
      <c r="AA4" s="187" t="s">
        <v>378</v>
      </c>
      <c r="AB4" s="187" t="s">
        <v>378</v>
      </c>
      <c r="AC4" s="187" t="s">
        <v>378</v>
      </c>
      <c r="AD4" s="187" t="s">
        <v>378</v>
      </c>
    </row>
    <row r="5" spans="1:100" s="167" customFormat="1" ht="89.25">
      <c r="A5" s="181">
        <v>3</v>
      </c>
      <c r="B5" s="165" t="s">
        <v>905</v>
      </c>
      <c r="C5" s="166" t="s">
        <v>5979</v>
      </c>
      <c r="D5" s="166" t="s">
        <v>5980</v>
      </c>
      <c r="E5" s="166" t="s">
        <v>5981</v>
      </c>
      <c r="F5" s="113" t="s">
        <v>5982</v>
      </c>
      <c r="G5" s="125" t="str">
        <f>VLOOKUP($B5,'Product-Requirement'!$B:$M,8,FALSE)</f>
        <v>PROTECT</v>
      </c>
      <c r="H5" s="125" t="str">
        <f>VLOOKUP($B5,'Product-Requirement'!$B:$M,9,FALSE)</f>
        <v>Identity_Management_Authentication_and_Access_Control</v>
      </c>
      <c r="I5" s="125" t="str">
        <f>VLOOKUP($B5,'Product-Requirement'!$B:$M,10,FALSE)</f>
        <v>PR.AC-1: Identities and credentials are issued, managed, verified, revoked, and audited for authorized devices, users and processes</v>
      </c>
      <c r="J5" s="125" t="str">
        <f>VLOOKUP($B5,'Product-Requirement'!$B:$M,11,FALSE)</f>
        <v>System_Design</v>
      </c>
      <c r="K5" s="125" t="str">
        <f>VLOOKUP($B5,'Product-Requirement'!$B:$M,12,FALSE)</f>
        <v>Manufacturer</v>
      </c>
      <c r="L5" s="125" t="s">
        <v>5965</v>
      </c>
      <c r="M5" s="185"/>
      <c r="N5" s="185"/>
      <c r="O5" s="185"/>
      <c r="P5" s="185" t="s">
        <v>5983</v>
      </c>
      <c r="Q5" s="185"/>
      <c r="R5" s="185"/>
      <c r="S5" s="185"/>
      <c r="T5" s="185" t="s">
        <v>5984</v>
      </c>
      <c r="U5" s="187" t="s">
        <v>378</v>
      </c>
      <c r="V5" s="187" t="s">
        <v>378</v>
      </c>
      <c r="W5" s="187" t="s">
        <v>378</v>
      </c>
      <c r="X5" s="188" t="s">
        <v>379</v>
      </c>
      <c r="Y5" s="188" t="s">
        <v>379</v>
      </c>
      <c r="Z5" s="187" t="s">
        <v>378</v>
      </c>
      <c r="AA5" s="188" t="s">
        <v>379</v>
      </c>
      <c r="AB5" s="188" t="s">
        <v>379</v>
      </c>
      <c r="AC5" s="188" t="s">
        <v>379</v>
      </c>
      <c r="AD5" s="188" t="s">
        <v>379</v>
      </c>
    </row>
    <row r="6" spans="1:100" s="167" customFormat="1" ht="229.5">
      <c r="A6" s="182">
        <v>4</v>
      </c>
      <c r="B6" s="165" t="s">
        <v>653</v>
      </c>
      <c r="C6" s="166" t="s">
        <v>5985</v>
      </c>
      <c r="D6" s="166" t="s">
        <v>5986</v>
      </c>
      <c r="E6" s="166" t="s">
        <v>5987</v>
      </c>
      <c r="F6" s="84" t="s">
        <v>5988</v>
      </c>
      <c r="G6" s="125" t="str">
        <f>VLOOKUP($B6,'Product-Requirement'!$B:$M,8,FALSE)</f>
        <v>PROTECT</v>
      </c>
      <c r="H6" s="125" t="str">
        <f>VLOOKUP($B6,'Product-Requirement'!$B:$M,9,FALSE)</f>
        <v>Identity_Management_Authentication_and_Access_Control</v>
      </c>
      <c r="I6" s="125" t="str">
        <f>VLOOKUP($B6,'Product-Requirement'!$B:$M,10,FALSE)</f>
        <v>PR.AC-1: Identities and credentials are issued, managed, verified, revoked, and audited for authorized devices, users and processes</v>
      </c>
      <c r="J6" s="125" t="str">
        <f>VLOOKUP($B6,'Product-Requirement'!$B:$M,11,FALSE)</f>
        <v>System_Design</v>
      </c>
      <c r="K6" s="125" t="str">
        <f>VLOOKUP($B6,'Product-Requirement'!$B:$M,12,FALSE)</f>
        <v>Manufacturer</v>
      </c>
      <c r="L6" s="125" t="s">
        <v>5965</v>
      </c>
      <c r="M6" s="185"/>
      <c r="N6" s="185" t="s">
        <v>5989</v>
      </c>
      <c r="O6" s="185" t="s">
        <v>5990</v>
      </c>
      <c r="P6" s="185" t="s">
        <v>5991</v>
      </c>
      <c r="Q6" s="185" t="s">
        <v>5992</v>
      </c>
      <c r="R6" s="185" t="s">
        <v>5993</v>
      </c>
      <c r="S6" s="185"/>
      <c r="T6" s="185" t="s">
        <v>5994</v>
      </c>
      <c r="U6" s="187" t="s">
        <v>378</v>
      </c>
      <c r="V6" s="187" t="s">
        <v>378</v>
      </c>
      <c r="W6" s="187" t="s">
        <v>378</v>
      </c>
      <c r="X6" s="187" t="s">
        <v>378</v>
      </c>
      <c r="Y6" s="187" t="s">
        <v>378</v>
      </c>
      <c r="Z6" s="187" t="s">
        <v>378</v>
      </c>
      <c r="AA6" s="187" t="s">
        <v>378</v>
      </c>
      <c r="AB6" s="187" t="s">
        <v>378</v>
      </c>
      <c r="AC6" s="187" t="s">
        <v>378</v>
      </c>
      <c r="AD6" s="187" t="s">
        <v>378</v>
      </c>
    </row>
    <row r="7" spans="1:100" s="167" customFormat="1" ht="76.5">
      <c r="A7" s="181">
        <v>5</v>
      </c>
      <c r="B7" s="165" t="s">
        <v>4510</v>
      </c>
      <c r="C7" s="166" t="s">
        <v>5995</v>
      </c>
      <c r="D7" s="166" t="s">
        <v>5996</v>
      </c>
      <c r="E7" s="166" t="s">
        <v>5997</v>
      </c>
      <c r="F7" s="84" t="s">
        <v>5998</v>
      </c>
      <c r="G7" s="125" t="str">
        <f>VLOOKUP($B7,'Product-Requirement'!$B:$M,8,FALSE)</f>
        <v>PROTECT</v>
      </c>
      <c r="H7" s="125" t="str">
        <f>VLOOKUP($B7,'Product-Requirement'!$B:$M,9,FALSE)</f>
        <v>Identity_Management_Authentication_and_Access_Control</v>
      </c>
      <c r="I7" s="125" t="str">
        <f>VLOOKUP($B7,'Product-Requirement'!$B:$M,10,FALSE)</f>
        <v>PR.AC-7: Users, devices, and other assets are authenticated (e.g., single-factor, multi-factor) commensurate with the risk of the transaction (e.g., individuals’ security and privacy risks and other organizational risks)</v>
      </c>
      <c r="J7" s="125" t="str">
        <f>VLOOKUP($B7,'Product-Requirement'!$B:$M,11,FALSE)</f>
        <v>Wireless</v>
      </c>
      <c r="K7" s="125" t="str">
        <f>VLOOKUP($B7,'Product-Requirement'!$B:$M,12,FALSE)</f>
        <v>Manufacturer</v>
      </c>
      <c r="L7" s="125" t="s">
        <v>5965</v>
      </c>
      <c r="M7" s="185"/>
      <c r="N7" s="185"/>
      <c r="O7" s="185"/>
      <c r="P7" s="185" t="s">
        <v>5999</v>
      </c>
      <c r="Q7" s="185"/>
      <c r="R7" s="185"/>
      <c r="S7" s="185"/>
      <c r="T7" s="185"/>
      <c r="U7" s="188" t="s">
        <v>379</v>
      </c>
      <c r="V7" s="188" t="s">
        <v>379</v>
      </c>
      <c r="W7" s="188" t="s">
        <v>379</v>
      </c>
      <c r="X7" s="188" t="s">
        <v>379</v>
      </c>
      <c r="Y7" s="188" t="s">
        <v>379</v>
      </c>
      <c r="Z7" s="188" t="s">
        <v>379</v>
      </c>
      <c r="AA7" s="188" t="s">
        <v>379</v>
      </c>
      <c r="AB7" s="188" t="s">
        <v>379</v>
      </c>
      <c r="AC7" s="188" t="s">
        <v>379</v>
      </c>
      <c r="AD7" s="188" t="s">
        <v>379</v>
      </c>
    </row>
    <row r="8" spans="1:100" s="167" customFormat="1" ht="114.75">
      <c r="A8" s="182">
        <v>6</v>
      </c>
      <c r="B8" s="169" t="s">
        <v>1196</v>
      </c>
      <c r="C8" s="166" t="s">
        <v>6000</v>
      </c>
      <c r="D8" s="166" t="s">
        <v>6001</v>
      </c>
      <c r="E8" s="166"/>
      <c r="F8" s="117" t="s">
        <v>6002</v>
      </c>
      <c r="G8" s="125" t="str">
        <f>VLOOKUP($B8,'Product-Requirement'!$B:$M,8,FALSE)</f>
        <v>PROTECT</v>
      </c>
      <c r="H8" s="125" t="str">
        <f>VLOOKUP($B8,'Product-Requirement'!$B:$M,9,FALSE)</f>
        <v>Identity_Management_Authentication_and_Access_Control</v>
      </c>
      <c r="I8" s="125" t="str">
        <f>VLOOKUP($B8,'Product-Requirement'!$B:$M,10,FALSE)</f>
        <v>PR.AC-1: Identities and credentials are issued, managed, verified, revoked, and audited for authorized devices, users and processes</v>
      </c>
      <c r="J8" s="125" t="str">
        <f>VLOOKUP($B8,'Product-Requirement'!$B:$M,11,FALSE)</f>
        <v>System_Design</v>
      </c>
      <c r="K8" s="125" t="str">
        <f>VLOOKUP($B8,'Product-Requirement'!$B:$M,12,FALSE)</f>
        <v>Manufacturer</v>
      </c>
      <c r="L8" s="125" t="s">
        <v>5965</v>
      </c>
      <c r="M8" s="185"/>
      <c r="N8" s="185"/>
      <c r="O8" s="185"/>
      <c r="P8" s="185" t="s">
        <v>6003</v>
      </c>
      <c r="Q8" s="185" t="s">
        <v>6004</v>
      </c>
      <c r="R8" s="185"/>
      <c r="S8" s="185"/>
      <c r="T8" s="185" t="s">
        <v>6005</v>
      </c>
      <c r="U8" s="187" t="s">
        <v>378</v>
      </c>
      <c r="V8" s="187" t="s">
        <v>378</v>
      </c>
      <c r="W8" s="187" t="s">
        <v>378</v>
      </c>
      <c r="X8" s="187" t="s">
        <v>378</v>
      </c>
      <c r="Y8" s="187" t="s">
        <v>378</v>
      </c>
      <c r="Z8" s="187" t="s">
        <v>378</v>
      </c>
      <c r="AA8" s="187" t="s">
        <v>378</v>
      </c>
      <c r="AB8" s="187" t="s">
        <v>378</v>
      </c>
      <c r="AC8" s="187" t="s">
        <v>378</v>
      </c>
      <c r="AD8" s="187" t="s">
        <v>378</v>
      </c>
    </row>
    <row r="9" spans="1:100" s="167" customFormat="1" ht="89.25">
      <c r="A9" s="181">
        <v>7</v>
      </c>
      <c r="B9" s="169" t="s">
        <v>1356</v>
      </c>
      <c r="C9" s="165" t="s">
        <v>6006</v>
      </c>
      <c r="D9" s="166" t="s">
        <v>6007</v>
      </c>
      <c r="E9" s="166" t="s">
        <v>6008</v>
      </c>
      <c r="F9" s="107"/>
      <c r="G9" s="125" t="str">
        <f>VLOOKUP($B9,'Product-Requirement'!$B:$M,8,FALSE)</f>
        <v>PROTECT</v>
      </c>
      <c r="H9" s="125" t="str">
        <f>VLOOKUP($B9,'Product-Requirement'!$B:$M,9,FALSE)</f>
        <v>Identity_Management_Authentication_and_Access_Control</v>
      </c>
      <c r="I9" s="125" t="str">
        <f>VLOOKUP($B9,'Product-Requirement'!$B:$M,10,FALSE)</f>
        <v>PR.AC-2: Physical access to assets is managed and protected</v>
      </c>
      <c r="J9" s="125" t="str">
        <f>VLOOKUP($B9,'Product-Requirement'!$B:$M,11,FALSE)</f>
        <v>Infrastructure&amp;Network</v>
      </c>
      <c r="K9" s="125" t="str">
        <f>VLOOKUP($B9,'Product-Requirement'!$B:$M,12,FALSE)</f>
        <v>Medical facilities(e.g.: Healthcare Delivery Organization/Hospital, Operator)</v>
      </c>
      <c r="L9" s="125" t="s">
        <v>5965</v>
      </c>
      <c r="M9" s="185"/>
      <c r="N9" s="185"/>
      <c r="O9" s="185" t="s">
        <v>6009</v>
      </c>
      <c r="P9" s="185" t="s">
        <v>6010</v>
      </c>
      <c r="Q9" s="185"/>
      <c r="R9" s="185"/>
      <c r="S9" s="185"/>
      <c r="T9" s="185" t="s">
        <v>6011</v>
      </c>
      <c r="U9" s="187" t="s">
        <v>378</v>
      </c>
      <c r="V9" s="187" t="s">
        <v>378</v>
      </c>
      <c r="W9" s="187" t="s">
        <v>378</v>
      </c>
      <c r="X9" s="187" t="s">
        <v>378</v>
      </c>
      <c r="Y9" s="187" t="s">
        <v>378</v>
      </c>
      <c r="Z9" s="187" t="s">
        <v>378</v>
      </c>
      <c r="AA9" s="187" t="s">
        <v>378</v>
      </c>
      <c r="AB9" s="187" t="s">
        <v>378</v>
      </c>
      <c r="AC9" s="187" t="s">
        <v>378</v>
      </c>
      <c r="AD9" s="187" t="s">
        <v>378</v>
      </c>
    </row>
    <row r="10" spans="1:100" s="167" customFormat="1" ht="63.75">
      <c r="A10" s="182">
        <v>8</v>
      </c>
      <c r="B10" s="169" t="s">
        <v>4818</v>
      </c>
      <c r="C10" s="165" t="s">
        <v>6012</v>
      </c>
      <c r="D10" s="166" t="s">
        <v>6013</v>
      </c>
      <c r="E10" s="166"/>
      <c r="F10" s="113" t="s">
        <v>6014</v>
      </c>
      <c r="G10" s="125" t="str">
        <f>VLOOKUP($B10,'Product-Requirement'!$B:$M,8,FALSE)</f>
        <v>PROTECT</v>
      </c>
      <c r="H10" s="125" t="str">
        <f>VLOOKUP($B10,'Product-Requirement'!$B:$M,9,FALSE)</f>
        <v>Identity_Management_Authentication_and_Access_Control</v>
      </c>
      <c r="I10" s="125" t="str">
        <f>VLOOKUP($B10,'Product-Requirement'!$B:$M,10,FALSE)</f>
        <v>PR.AC-3: Remote access is managed</v>
      </c>
      <c r="J10" s="125" t="str">
        <f>VLOOKUP($B10,'Product-Requirement'!$B:$M,11,FALSE)</f>
        <v>System_Design</v>
      </c>
      <c r="K10" s="125" t="str">
        <f>VLOOKUP($B10,'Product-Requirement'!$B:$M,12,FALSE)</f>
        <v>Manufacturer</v>
      </c>
      <c r="L10" s="125" t="s">
        <v>5965</v>
      </c>
      <c r="M10" s="185"/>
      <c r="N10" s="185"/>
      <c r="O10" s="185"/>
      <c r="P10" s="185" t="s">
        <v>6015</v>
      </c>
      <c r="Q10" s="185"/>
      <c r="R10" s="185"/>
      <c r="S10" s="185"/>
      <c r="T10" s="185"/>
      <c r="U10" s="188" t="s">
        <v>379</v>
      </c>
      <c r="V10" s="188" t="s">
        <v>379</v>
      </c>
      <c r="W10" s="188" t="s">
        <v>379</v>
      </c>
      <c r="X10" s="188" t="s">
        <v>379</v>
      </c>
      <c r="Y10" s="188" t="s">
        <v>379</v>
      </c>
      <c r="Z10" s="188" t="s">
        <v>379</v>
      </c>
      <c r="AA10" s="188" t="s">
        <v>379</v>
      </c>
      <c r="AB10" s="188" t="s">
        <v>379</v>
      </c>
      <c r="AC10" s="188" t="s">
        <v>379</v>
      </c>
      <c r="AD10" s="188" t="s">
        <v>379</v>
      </c>
    </row>
    <row r="11" spans="1:100" s="167" customFormat="1" ht="204">
      <c r="A11" s="181">
        <v>9</v>
      </c>
      <c r="B11" s="169" t="s">
        <v>617</v>
      </c>
      <c r="C11" s="166" t="s">
        <v>6016</v>
      </c>
      <c r="D11" s="165" t="s">
        <v>6017</v>
      </c>
      <c r="E11" s="165" t="s">
        <v>6018</v>
      </c>
      <c r="F11" s="84" t="s">
        <v>6019</v>
      </c>
      <c r="G11" s="125" t="str">
        <f>VLOOKUP($B11,'Product-Requirement'!$B:$M,8,FALSE)</f>
        <v>PROTECT</v>
      </c>
      <c r="H11" s="125" t="str">
        <f>VLOOKUP($B11,'Product-Requirement'!$B:$M,9,FALSE)</f>
        <v>Identity_Management_Authentication_and_Access_Control</v>
      </c>
      <c r="I11" s="125" t="str">
        <f>VLOOKUP($B11,'Product-Requirement'!$B:$M,10,FALSE)</f>
        <v>PR.AC-3: Remote access is managed</v>
      </c>
      <c r="J11" s="125" t="str">
        <f>VLOOKUP($B11,'Product-Requirement'!$B:$M,11,FALSE)</f>
        <v>System_Design</v>
      </c>
      <c r="K11" s="125" t="str">
        <f>VLOOKUP($B11,'Product-Requirement'!$B:$M,12,FALSE)</f>
        <v>Manufacturer</v>
      </c>
      <c r="L11" s="125" t="s">
        <v>5965</v>
      </c>
      <c r="M11" s="185"/>
      <c r="N11" s="185"/>
      <c r="O11" s="185" t="s">
        <v>6020</v>
      </c>
      <c r="P11" s="185" t="s">
        <v>6021</v>
      </c>
      <c r="Q11" s="185"/>
      <c r="R11" s="185"/>
      <c r="S11" s="185"/>
      <c r="T11" s="185"/>
      <c r="U11" s="187" t="s">
        <v>378</v>
      </c>
      <c r="V11" s="187" t="s">
        <v>378</v>
      </c>
      <c r="W11" s="187" t="s">
        <v>378</v>
      </c>
      <c r="X11" s="188" t="s">
        <v>379</v>
      </c>
      <c r="Y11" s="188" t="s">
        <v>379</v>
      </c>
      <c r="Z11" s="188" t="s">
        <v>379</v>
      </c>
      <c r="AA11" s="187" t="s">
        <v>378</v>
      </c>
      <c r="AB11" s="187" t="s">
        <v>378</v>
      </c>
      <c r="AC11" s="187" t="s">
        <v>378</v>
      </c>
      <c r="AD11" s="187" t="s">
        <v>378</v>
      </c>
    </row>
    <row r="12" spans="1:100" s="167" customFormat="1" ht="63.75">
      <c r="A12" s="182">
        <v>10</v>
      </c>
      <c r="B12" s="169" t="s">
        <v>5726</v>
      </c>
      <c r="C12" s="166" t="s">
        <v>6022</v>
      </c>
      <c r="D12" s="165" t="s">
        <v>6023</v>
      </c>
      <c r="E12" s="165"/>
      <c r="F12" s="107"/>
      <c r="G12" s="125" t="str">
        <f>VLOOKUP($B12,'Product-Requirement'!$B:$M,8,FALSE)</f>
        <v>PROTECT</v>
      </c>
      <c r="H12" s="125" t="str">
        <f>VLOOKUP($B12,'Product-Requirement'!$B:$M,9,FALSE)</f>
        <v>Identity_Management_Authentication_and_Access_Control</v>
      </c>
      <c r="I12" s="125" t="str">
        <f>VLOOKUP($B12,'Product-Requirement'!$B:$M,10,FALSE)</f>
        <v>PR.AC-4: Access permissions and authorizations are managed, incorporating the principles of least privilege and separation of duties</v>
      </c>
      <c r="J12" s="125" t="str">
        <f>VLOOKUP($B12,'Product-Requirement'!$B:$M,11,FALSE)</f>
        <v>System_Design</v>
      </c>
      <c r="K12" s="125" t="str">
        <f>VLOOKUP($B12,'Product-Requirement'!$B:$M,12,FALSE)</f>
        <v>Manufacturer</v>
      </c>
      <c r="L12" s="125" t="s">
        <v>5965</v>
      </c>
      <c r="M12" s="185"/>
      <c r="N12" s="185"/>
      <c r="O12" s="185"/>
      <c r="P12" s="185"/>
      <c r="Q12" s="185" t="s">
        <v>6024</v>
      </c>
      <c r="R12" s="185"/>
      <c r="S12" s="185"/>
      <c r="T12" s="185"/>
      <c r="U12" s="187" t="s">
        <v>378</v>
      </c>
      <c r="V12" s="187" t="s">
        <v>378</v>
      </c>
      <c r="W12" s="187" t="s">
        <v>378</v>
      </c>
      <c r="X12" s="187" t="s">
        <v>378</v>
      </c>
      <c r="Y12" s="187" t="s">
        <v>378</v>
      </c>
      <c r="Z12" s="187" t="s">
        <v>378</v>
      </c>
      <c r="AA12" s="187" t="s">
        <v>378</v>
      </c>
      <c r="AB12" s="187" t="s">
        <v>378</v>
      </c>
      <c r="AC12" s="187" t="s">
        <v>378</v>
      </c>
      <c r="AD12" s="187" t="s">
        <v>378</v>
      </c>
    </row>
    <row r="13" spans="1:100" s="167" customFormat="1" ht="76.5">
      <c r="A13" s="181">
        <v>11</v>
      </c>
      <c r="B13" s="169" t="s">
        <v>642</v>
      </c>
      <c r="C13" s="166" t="s">
        <v>6025</v>
      </c>
      <c r="D13" s="165" t="s">
        <v>6026</v>
      </c>
      <c r="E13" s="165" t="s">
        <v>6027</v>
      </c>
      <c r="F13" s="107"/>
      <c r="G13" s="125" t="str">
        <f>VLOOKUP($B13,'Product-Requirement'!$B:$M,8,FALSE)</f>
        <v>PROTECT</v>
      </c>
      <c r="H13" s="125" t="str">
        <f>VLOOKUP($B13,'Product-Requirement'!$B:$M,9,FALSE)</f>
        <v>Identity_Management_Authentication_and_Access_Control</v>
      </c>
      <c r="I13" s="125" t="str">
        <f>VLOOKUP($B13,'Product-Requirement'!$B:$M,10,FALSE)</f>
        <v>PR.AC-4: Access permissions and authorizations are managed, incorporating the principles of least privilege and separation of duties</v>
      </c>
      <c r="J13" s="125" t="str">
        <f>VLOOKUP($B13,'Product-Requirement'!$B:$M,11,FALSE)</f>
        <v>System_Design</v>
      </c>
      <c r="K13" s="125" t="str">
        <f>VLOOKUP($B13,'Product-Requirement'!$B:$M,12,FALSE)</f>
        <v>Manufacturer</v>
      </c>
      <c r="L13" s="125" t="s">
        <v>5965</v>
      </c>
      <c r="M13" s="185"/>
      <c r="N13" s="185"/>
      <c r="O13" s="185" t="s">
        <v>6028</v>
      </c>
      <c r="P13" s="185" t="s">
        <v>6029</v>
      </c>
      <c r="Q13" s="185" t="s">
        <v>6030</v>
      </c>
      <c r="R13" s="185"/>
      <c r="S13" s="185"/>
      <c r="T13" s="185"/>
      <c r="U13" s="187" t="s">
        <v>378</v>
      </c>
      <c r="V13" s="187" t="s">
        <v>378</v>
      </c>
      <c r="W13" s="187" t="s">
        <v>378</v>
      </c>
      <c r="X13" s="187" t="s">
        <v>378</v>
      </c>
      <c r="Y13" s="187" t="s">
        <v>378</v>
      </c>
      <c r="Z13" s="187" t="s">
        <v>378</v>
      </c>
      <c r="AA13" s="187" t="s">
        <v>378</v>
      </c>
      <c r="AB13" s="187" t="s">
        <v>378</v>
      </c>
      <c r="AC13" s="187" t="s">
        <v>378</v>
      </c>
      <c r="AD13" s="187" t="s">
        <v>378</v>
      </c>
    </row>
    <row r="14" spans="1:100" s="167" customFormat="1" ht="216.75">
      <c r="A14" s="182">
        <v>12</v>
      </c>
      <c r="B14" s="169" t="s">
        <v>535</v>
      </c>
      <c r="C14" s="166" t="s">
        <v>6031</v>
      </c>
      <c r="D14" s="165" t="s">
        <v>6032</v>
      </c>
      <c r="E14" s="165" t="s">
        <v>6033</v>
      </c>
      <c r="F14" s="113" t="s">
        <v>6034</v>
      </c>
      <c r="G14" s="125" t="str">
        <f>VLOOKUP($B14,'Product-Requirement'!$B:$M,8,FALSE)</f>
        <v>PROTECT</v>
      </c>
      <c r="H14" s="125" t="str">
        <f>VLOOKUP($B14,'Product-Requirement'!$B:$M,9,FALSE)</f>
        <v>Identity_Management_Authentication_and_Access_Control</v>
      </c>
      <c r="I14" s="125" t="str">
        <f>VLOOKUP($B14,'Product-Requirement'!$B:$M,10,FALSE)</f>
        <v>PR.AC-4: Access permissions and authorizations are managed, incorporating the principles of least privilege and separation of duties</v>
      </c>
      <c r="J14" s="125" t="str">
        <f>VLOOKUP($B14,'Product-Requirement'!$B:$M,11,FALSE)</f>
        <v>System_Design</v>
      </c>
      <c r="K14" s="125" t="str">
        <f>VLOOKUP($B14,'Product-Requirement'!$B:$M,12,FALSE)</f>
        <v>Manufacturer</v>
      </c>
      <c r="L14" s="125" t="s">
        <v>5965</v>
      </c>
      <c r="M14" s="185"/>
      <c r="N14" s="185" t="s">
        <v>6035</v>
      </c>
      <c r="O14" s="185" t="s">
        <v>6036</v>
      </c>
      <c r="P14" s="185" t="s">
        <v>6037</v>
      </c>
      <c r="Q14" s="185" t="s">
        <v>6038</v>
      </c>
      <c r="R14" s="185"/>
      <c r="S14" s="185"/>
      <c r="T14" s="185" t="s">
        <v>6039</v>
      </c>
      <c r="U14" s="187" t="s">
        <v>378</v>
      </c>
      <c r="V14" s="187" t="s">
        <v>378</v>
      </c>
      <c r="W14" s="187" t="s">
        <v>378</v>
      </c>
      <c r="X14" s="187" t="s">
        <v>378</v>
      </c>
      <c r="Y14" s="187" t="s">
        <v>378</v>
      </c>
      <c r="Z14" s="187" t="s">
        <v>378</v>
      </c>
      <c r="AA14" s="187" t="s">
        <v>378</v>
      </c>
      <c r="AB14" s="187" t="s">
        <v>378</v>
      </c>
      <c r="AC14" s="187" t="s">
        <v>378</v>
      </c>
      <c r="AD14" s="187" t="s">
        <v>378</v>
      </c>
    </row>
    <row r="15" spans="1:100" s="167" customFormat="1" ht="127.5">
      <c r="A15" s="181">
        <v>13</v>
      </c>
      <c r="B15" s="169" t="s">
        <v>633</v>
      </c>
      <c r="C15" s="166" t="s">
        <v>6040</v>
      </c>
      <c r="D15" s="165" t="s">
        <v>6041</v>
      </c>
      <c r="E15" s="165" t="s">
        <v>6042</v>
      </c>
      <c r="F15" s="107"/>
      <c r="G15" s="125" t="str">
        <f>VLOOKUP($B15,'Product-Requirement'!$B:$M,8,FALSE)</f>
        <v>PROTECT</v>
      </c>
      <c r="H15" s="125" t="str">
        <f>VLOOKUP($B15,'Product-Requirement'!$B:$M,9,FALSE)</f>
        <v>Identity_Management_Authentication_and_Access_Control</v>
      </c>
      <c r="I15" s="125" t="str">
        <f>VLOOKUP($B15,'Product-Requirement'!$B:$M,10,FALSE)</f>
        <v>PR.AC-4: Access permissions and authorizations are managed, incorporating the principles of least privilege and separation of duties</v>
      </c>
      <c r="J15" s="125" t="str">
        <f>VLOOKUP($B15,'Product-Requirement'!$B:$M,11,FALSE)</f>
        <v>System_Design</v>
      </c>
      <c r="K15" s="125" t="str">
        <f>VLOOKUP($B15,'Product-Requirement'!$B:$M,12,FALSE)</f>
        <v>Manufacturer</v>
      </c>
      <c r="L15" s="125" t="s">
        <v>5965</v>
      </c>
      <c r="M15" s="185"/>
      <c r="N15" s="185"/>
      <c r="O15" s="185"/>
      <c r="P15" s="185" t="s">
        <v>6043</v>
      </c>
      <c r="Q15" s="185"/>
      <c r="R15" s="185"/>
      <c r="S15" s="185"/>
      <c r="T15" s="185" t="s">
        <v>6044</v>
      </c>
      <c r="U15" s="187" t="s">
        <v>378</v>
      </c>
      <c r="V15" s="187" t="s">
        <v>378</v>
      </c>
      <c r="W15" s="187" t="s">
        <v>378</v>
      </c>
      <c r="X15" s="188" t="s">
        <v>379</v>
      </c>
      <c r="Y15" s="188" t="s">
        <v>379</v>
      </c>
      <c r="Z15" s="188" t="s">
        <v>379</v>
      </c>
      <c r="AA15" s="188" t="s">
        <v>379</v>
      </c>
      <c r="AB15" s="187" t="s">
        <v>378</v>
      </c>
      <c r="AC15" s="187" t="s">
        <v>378</v>
      </c>
      <c r="AD15" s="188" t="s">
        <v>379</v>
      </c>
    </row>
    <row r="16" spans="1:100" s="167" customFormat="1" ht="165.75">
      <c r="A16" s="182">
        <v>14</v>
      </c>
      <c r="B16" s="169" t="s">
        <v>566</v>
      </c>
      <c r="C16" s="166" t="s">
        <v>6045</v>
      </c>
      <c r="D16" s="165" t="s">
        <v>6046</v>
      </c>
      <c r="E16" s="165"/>
      <c r="F16" s="107"/>
      <c r="G16" s="125" t="str">
        <f>VLOOKUP($B16,'Product-Requirement'!$B:$M,8,FALSE)</f>
        <v>PROTECT</v>
      </c>
      <c r="H16" s="125" t="str">
        <f>VLOOKUP($B16,'Product-Requirement'!$B:$M,9,FALSE)</f>
        <v>Identity_Management_Authentication_and_Access_Control</v>
      </c>
      <c r="I16" s="125" t="str">
        <f>VLOOKUP($B16,'Product-Requirement'!$B:$M,10,FALSE)</f>
        <v>PR.AC-4: Access permissions and authorizations are managed, incorporating the principles of least privilege and separation of duties</v>
      </c>
      <c r="J16" s="125" t="str">
        <f>VLOOKUP($B16,'Product-Requirement'!$B:$M,11,FALSE)</f>
        <v>System_Design</v>
      </c>
      <c r="K16" s="125" t="str">
        <f>VLOOKUP($B16,'Product-Requirement'!$B:$M,12,FALSE)</f>
        <v>Manufacturer</v>
      </c>
      <c r="L16" s="125" t="s">
        <v>5965</v>
      </c>
      <c r="M16" s="185"/>
      <c r="N16" s="185"/>
      <c r="O16" s="185"/>
      <c r="P16" s="185" t="s">
        <v>6047</v>
      </c>
      <c r="Q16" s="185"/>
      <c r="R16" s="185"/>
      <c r="S16" s="185"/>
      <c r="T16" s="185"/>
      <c r="U16" s="187" t="s">
        <v>378</v>
      </c>
      <c r="V16" s="187" t="s">
        <v>378</v>
      </c>
      <c r="W16" s="187" t="s">
        <v>378</v>
      </c>
      <c r="X16" s="188" t="s">
        <v>379</v>
      </c>
      <c r="Y16" s="188" t="s">
        <v>379</v>
      </c>
      <c r="Z16" s="188" t="s">
        <v>379</v>
      </c>
      <c r="AA16" s="188" t="s">
        <v>379</v>
      </c>
      <c r="AB16" s="188" t="s">
        <v>379</v>
      </c>
      <c r="AC16" s="188" t="s">
        <v>379</v>
      </c>
      <c r="AD16" s="188" t="s">
        <v>379</v>
      </c>
    </row>
    <row r="17" spans="1:30" s="167" customFormat="1" ht="216.75">
      <c r="A17" s="181">
        <v>15</v>
      </c>
      <c r="B17" s="169" t="s">
        <v>3927</v>
      </c>
      <c r="C17" s="166" t="s">
        <v>6048</v>
      </c>
      <c r="D17" s="165" t="s">
        <v>6049</v>
      </c>
      <c r="E17" s="165"/>
      <c r="F17" s="107"/>
      <c r="G17" s="125" t="str">
        <f>VLOOKUP($B17,'Product-Requirement'!$B:$M,8,FALSE)</f>
        <v>PROTECT</v>
      </c>
      <c r="H17" s="125" t="str">
        <f>VLOOKUP($B17,'Product-Requirement'!$B:$M,9,FALSE)</f>
        <v>Identity_Management_Authentication_and_Access_Control</v>
      </c>
      <c r="I17" s="125" t="str">
        <f>VLOOKUP($B17,'Product-Requirement'!$B:$M,10,FALSE)</f>
        <v>PR.AC-4: Access permissions and authorizations are managed, incorporating the principles of least privilege and separation of duties</v>
      </c>
      <c r="J17" s="125" t="str">
        <f>VLOOKUP($B17,'Product-Requirement'!$B:$M,11,FALSE)</f>
        <v>System_Design</v>
      </c>
      <c r="K17" s="125" t="str">
        <f>VLOOKUP($B17,'Product-Requirement'!$B:$M,12,FALSE)</f>
        <v>Manufacturer</v>
      </c>
      <c r="L17" s="125" t="s">
        <v>5965</v>
      </c>
      <c r="M17" s="185"/>
      <c r="N17" s="185"/>
      <c r="O17" s="185" t="s">
        <v>6050</v>
      </c>
      <c r="P17" s="185"/>
      <c r="Q17" s="185"/>
      <c r="R17" s="185"/>
      <c r="S17" s="185"/>
      <c r="T17" s="185"/>
      <c r="U17" s="188" t="s">
        <v>379</v>
      </c>
      <c r="V17" s="187" t="s">
        <v>378</v>
      </c>
      <c r="W17" s="188" t="s">
        <v>379</v>
      </c>
      <c r="X17" s="188" t="s">
        <v>379</v>
      </c>
      <c r="Y17" s="188" t="s">
        <v>379</v>
      </c>
      <c r="Z17" s="188" t="s">
        <v>379</v>
      </c>
      <c r="AA17" s="188" t="s">
        <v>379</v>
      </c>
      <c r="AB17" s="188" t="s">
        <v>379</v>
      </c>
      <c r="AC17" s="188" t="s">
        <v>379</v>
      </c>
      <c r="AD17" s="188" t="s">
        <v>379</v>
      </c>
    </row>
    <row r="18" spans="1:30" s="167" customFormat="1" ht="165.75">
      <c r="A18" s="182">
        <v>16</v>
      </c>
      <c r="B18" s="169" t="s">
        <v>4677</v>
      </c>
      <c r="C18" s="166" t="s">
        <v>6051</v>
      </c>
      <c r="D18" s="165" t="s">
        <v>6052</v>
      </c>
      <c r="E18" s="165"/>
      <c r="F18" s="84"/>
      <c r="G18" s="125" t="str">
        <f>VLOOKUP($B18,'Product-Requirement'!$B:$M,8,FALSE)</f>
        <v>PROTECT</v>
      </c>
      <c r="H18" s="125" t="str">
        <f>VLOOKUP($B18,'Product-Requirement'!$B:$M,9,FALSE)</f>
        <v>Identity_Management_Authentication_and_Access_Control</v>
      </c>
      <c r="I18" s="125" t="str">
        <f>VLOOKUP($B18,'Product-Requirement'!$B:$M,10,FALSE)</f>
        <v>PR.AC-7: Users, devices, and other assets are authenticated (e.g., single-factor, multi-factor) commensurate with the risk of the transaction (e.g., individuals’ security and privacy risks and other organizational risks)</v>
      </c>
      <c r="J18" s="125" t="str">
        <f>VLOOKUP($B18,'Product-Requirement'!$B:$M,11,FALSE)</f>
        <v>Wireless</v>
      </c>
      <c r="K18" s="125" t="str">
        <f>VLOOKUP($B18,'Product-Requirement'!$B:$M,12,FALSE)</f>
        <v>Manufacturer</v>
      </c>
      <c r="L18" s="125" t="s">
        <v>5965</v>
      </c>
      <c r="M18" s="185"/>
      <c r="N18" s="185"/>
      <c r="O18" s="185"/>
      <c r="P18" s="185" t="s">
        <v>6053</v>
      </c>
      <c r="Q18" s="185"/>
      <c r="R18" s="185"/>
      <c r="S18" s="185"/>
      <c r="T18" s="185"/>
      <c r="U18" s="188" t="s">
        <v>379</v>
      </c>
      <c r="V18" s="188" t="s">
        <v>379</v>
      </c>
      <c r="W18" s="188" t="s">
        <v>379</v>
      </c>
      <c r="X18" s="188" t="s">
        <v>379</v>
      </c>
      <c r="Y18" s="188" t="s">
        <v>379</v>
      </c>
      <c r="Z18" s="188" t="s">
        <v>379</v>
      </c>
      <c r="AA18" s="188" t="s">
        <v>379</v>
      </c>
      <c r="AB18" s="188" t="s">
        <v>379</v>
      </c>
      <c r="AC18" s="188" t="s">
        <v>379</v>
      </c>
      <c r="AD18" s="188" t="s">
        <v>379</v>
      </c>
    </row>
    <row r="19" spans="1:30" s="167" customFormat="1" ht="51">
      <c r="A19" s="181">
        <v>17</v>
      </c>
      <c r="B19" s="169" t="s">
        <v>4716</v>
      </c>
      <c r="C19" s="166" t="s">
        <v>6054</v>
      </c>
      <c r="D19" s="165" t="s">
        <v>6055</v>
      </c>
      <c r="E19" s="165"/>
      <c r="F19" s="107" t="s">
        <v>3577</v>
      </c>
      <c r="G19" s="125" t="str">
        <f>VLOOKUP($B19,'Product-Requirement'!$B:$M,8,FALSE)</f>
        <v>PROTECT</v>
      </c>
      <c r="H19" s="125" t="str">
        <f>VLOOKUP($B19,'Product-Requirement'!$B:$M,9,FALSE)</f>
        <v>Identity_Management_Authentication_and_Access_Control</v>
      </c>
      <c r="I19" s="125" t="str">
        <f>VLOOKUP($B19,'Product-Requirement'!$B:$M,10,FALSE)</f>
        <v>PR.AC-4: Access permissions and authorizations are managed, incorporating the principles of least privilege and separation of duties</v>
      </c>
      <c r="J19" s="125" t="str">
        <f>VLOOKUP($B19,'Product-Requirement'!$B:$M,11,FALSE)</f>
        <v>Wireless</v>
      </c>
      <c r="K19" s="125" t="str">
        <f>VLOOKUP($B19,'Product-Requirement'!$B:$M,12,FALSE)</f>
        <v>Manufacturer</v>
      </c>
      <c r="L19" s="125" t="s">
        <v>5965</v>
      </c>
      <c r="M19" s="185"/>
      <c r="N19" s="185"/>
      <c r="O19" s="185"/>
      <c r="P19" s="185" t="s">
        <v>6056</v>
      </c>
      <c r="Q19" s="185"/>
      <c r="R19" s="185"/>
      <c r="S19" s="185"/>
      <c r="T19" s="185"/>
      <c r="U19" s="188" t="s">
        <v>379</v>
      </c>
      <c r="V19" s="188" t="s">
        <v>379</v>
      </c>
      <c r="W19" s="188" t="s">
        <v>379</v>
      </c>
      <c r="X19" s="188" t="s">
        <v>379</v>
      </c>
      <c r="Y19" s="188" t="s">
        <v>379</v>
      </c>
      <c r="Z19" s="188" t="s">
        <v>379</v>
      </c>
      <c r="AA19" s="188" t="s">
        <v>379</v>
      </c>
      <c r="AB19" s="188" t="s">
        <v>379</v>
      </c>
      <c r="AC19" s="188" t="s">
        <v>379</v>
      </c>
      <c r="AD19" s="188" t="s">
        <v>379</v>
      </c>
    </row>
    <row r="20" spans="1:30" s="167" customFormat="1" ht="204">
      <c r="A20" s="182">
        <v>18</v>
      </c>
      <c r="B20" s="169" t="s">
        <v>766</v>
      </c>
      <c r="C20" s="166" t="s">
        <v>6057</v>
      </c>
      <c r="D20" s="165" t="s">
        <v>6058</v>
      </c>
      <c r="E20" s="165" t="s">
        <v>6059</v>
      </c>
      <c r="F20" s="113" t="s">
        <v>6060</v>
      </c>
      <c r="G20" s="125" t="str">
        <f>VLOOKUP($B20,'Product-Requirement'!$B:$M,8,FALSE)</f>
        <v>PROTECT</v>
      </c>
      <c r="H20" s="125" t="str">
        <f>VLOOKUP($B20,'Product-Requirement'!$B:$M,9,FALSE)</f>
        <v>Identity_Management_Authentication_and_Access_Control</v>
      </c>
      <c r="I20" s="125" t="str">
        <f>VLOOKUP($B20,'Product-Requirement'!$B:$M,10,FALSE)</f>
        <v>PR.AC-4: Access permissions and authorizations are managed, incorporating the principles of least privilege and separation of duties</v>
      </c>
      <c r="J20" s="125" t="str">
        <f>VLOOKUP($B20,'Product-Requirement'!$B:$M,11,FALSE)</f>
        <v>Wireless</v>
      </c>
      <c r="K20" s="125" t="str">
        <f>VLOOKUP($B20,'Product-Requirement'!$B:$M,12,FALSE)</f>
        <v>Manufacturer</v>
      </c>
      <c r="L20" s="125" t="s">
        <v>5965</v>
      </c>
      <c r="M20" s="185"/>
      <c r="N20" s="185"/>
      <c r="O20" s="185"/>
      <c r="P20" s="185" t="s">
        <v>6061</v>
      </c>
      <c r="Q20" s="185"/>
      <c r="R20" s="185"/>
      <c r="S20" s="185"/>
      <c r="T20" s="185"/>
      <c r="U20" s="187" t="s">
        <v>378</v>
      </c>
      <c r="V20" s="187" t="s">
        <v>378</v>
      </c>
      <c r="W20" s="187" t="s">
        <v>378</v>
      </c>
      <c r="X20" s="188" t="s">
        <v>379</v>
      </c>
      <c r="Y20" s="188" t="s">
        <v>379</v>
      </c>
      <c r="Z20" s="188" t="s">
        <v>379</v>
      </c>
      <c r="AA20" s="188" t="s">
        <v>379</v>
      </c>
      <c r="AB20" s="188" t="s">
        <v>379</v>
      </c>
      <c r="AC20" s="188" t="s">
        <v>379</v>
      </c>
      <c r="AD20" s="188" t="s">
        <v>379</v>
      </c>
    </row>
    <row r="21" spans="1:30" s="167" customFormat="1" ht="89.25">
      <c r="A21" s="181">
        <v>19</v>
      </c>
      <c r="B21" s="169" t="s">
        <v>4530</v>
      </c>
      <c r="C21" s="166" t="s">
        <v>6062</v>
      </c>
      <c r="D21" s="165" t="s">
        <v>6063</v>
      </c>
      <c r="E21" s="165" t="s">
        <v>6064</v>
      </c>
      <c r="F21" s="84" t="s">
        <v>6065</v>
      </c>
      <c r="G21" s="125" t="str">
        <f>VLOOKUP($B21,'Product-Requirement'!$B:$M,8,FALSE)</f>
        <v>PROTECT</v>
      </c>
      <c r="H21" s="125" t="str">
        <f>VLOOKUP($B21,'Product-Requirement'!$B:$M,9,FALSE)</f>
        <v>Identity_Management_Authentication_and_Access_Control</v>
      </c>
      <c r="I21" s="125" t="str">
        <f>VLOOKUP($B21,'Product-Requirement'!$B:$M,10,FALSE)</f>
        <v>PR.AC-7: Users, devices, and other assets are authenticated (e.g., single-factor, multi-factor) commensurate with the risk of the transaction (e.g., individuals’ security and privacy risks and other organizational risks)</v>
      </c>
      <c r="J21" s="125" t="str">
        <f>VLOOKUP($B21,'Product-Requirement'!$B:$M,11,FALSE)</f>
        <v>Wireless</v>
      </c>
      <c r="K21" s="125" t="str">
        <f>VLOOKUP($B21,'Product-Requirement'!$B:$M,12,FALSE)</f>
        <v>Manufacturer</v>
      </c>
      <c r="L21" s="125" t="s">
        <v>5965</v>
      </c>
      <c r="M21" s="185"/>
      <c r="N21" s="185"/>
      <c r="O21" s="185"/>
      <c r="P21" s="185" t="s">
        <v>6066</v>
      </c>
      <c r="Q21" s="185"/>
      <c r="R21" s="185"/>
      <c r="S21" s="185"/>
      <c r="T21" s="185"/>
      <c r="U21" s="188" t="s">
        <v>379</v>
      </c>
      <c r="V21" s="188" t="s">
        <v>379</v>
      </c>
      <c r="W21" s="188" t="s">
        <v>379</v>
      </c>
      <c r="X21" s="188" t="s">
        <v>379</v>
      </c>
      <c r="Y21" s="188" t="s">
        <v>379</v>
      </c>
      <c r="Z21" s="188" t="s">
        <v>379</v>
      </c>
      <c r="AA21" s="188" t="s">
        <v>379</v>
      </c>
      <c r="AB21" s="188" t="s">
        <v>379</v>
      </c>
      <c r="AC21" s="188" t="s">
        <v>379</v>
      </c>
      <c r="AD21" s="188" t="s">
        <v>379</v>
      </c>
    </row>
    <row r="22" spans="1:30" s="167" customFormat="1" ht="178.5">
      <c r="A22" s="182">
        <v>20</v>
      </c>
      <c r="B22" s="169" t="s">
        <v>884</v>
      </c>
      <c r="C22" s="166" t="s">
        <v>6067</v>
      </c>
      <c r="D22" s="165" t="s">
        <v>6068</v>
      </c>
      <c r="E22" s="165" t="s">
        <v>6069</v>
      </c>
      <c r="F22" s="107"/>
      <c r="G22" s="125" t="str">
        <f>VLOOKUP($B22,'Product-Requirement'!$B:$M,8,FALSE)</f>
        <v>PROTECT</v>
      </c>
      <c r="H22" s="125" t="str">
        <f>VLOOKUP($B22,'Product-Requirement'!$B:$M,9,FALSE)</f>
        <v>Identity_Management_Authentication_and_Access_Control</v>
      </c>
      <c r="I22" s="125" t="str">
        <f>VLOOKUP($B22,'Product-Requirement'!$B:$M,10,FALSE)</f>
        <v>PR.AC-4: Access permissions and authorizations are managed, incorporating the principles of least privilege and separation of duties</v>
      </c>
      <c r="J22" s="125" t="str">
        <f>VLOOKUP($B22,'Product-Requirement'!$B:$M,11,FALSE)</f>
        <v>System_Design</v>
      </c>
      <c r="K22" s="125" t="str">
        <f>VLOOKUP($B22,'Product-Requirement'!$B:$M,12,FALSE)</f>
        <v>Manufacturer</v>
      </c>
      <c r="L22" s="125" t="s">
        <v>5965</v>
      </c>
      <c r="M22" s="185"/>
      <c r="N22" s="185"/>
      <c r="O22" s="185" t="s">
        <v>6070</v>
      </c>
      <c r="P22" s="185" t="s">
        <v>6071</v>
      </c>
      <c r="Q22" s="185" t="s">
        <v>6072</v>
      </c>
      <c r="R22" s="185"/>
      <c r="S22" s="185"/>
      <c r="T22" s="185" t="s">
        <v>6073</v>
      </c>
      <c r="U22" s="187" t="s">
        <v>378</v>
      </c>
      <c r="V22" s="187" t="s">
        <v>378</v>
      </c>
      <c r="W22" s="187" t="s">
        <v>378</v>
      </c>
      <c r="X22" s="187" t="s">
        <v>378</v>
      </c>
      <c r="Y22" s="187" t="s">
        <v>378</v>
      </c>
      <c r="Z22" s="187" t="s">
        <v>378</v>
      </c>
      <c r="AA22" s="187" t="s">
        <v>378</v>
      </c>
      <c r="AB22" s="187" t="s">
        <v>378</v>
      </c>
      <c r="AC22" s="187" t="s">
        <v>378</v>
      </c>
      <c r="AD22" s="187" t="s">
        <v>378</v>
      </c>
    </row>
    <row r="23" spans="1:30" s="167" customFormat="1" ht="51">
      <c r="A23" s="181">
        <v>21</v>
      </c>
      <c r="B23" s="169" t="s">
        <v>1540</v>
      </c>
      <c r="C23" s="166" t="s">
        <v>6074</v>
      </c>
      <c r="D23" s="165" t="s">
        <v>6075</v>
      </c>
      <c r="E23" s="165"/>
      <c r="F23" s="84"/>
      <c r="G23" s="125" t="str">
        <f>VLOOKUP($B23,'Product-Requirement'!$B:$M,8,FALSE)</f>
        <v>PROTECT</v>
      </c>
      <c r="H23" s="125" t="str">
        <f>VLOOKUP($B23,'Product-Requirement'!$B:$M,9,FALSE)</f>
        <v>Identity_Management_Authentication_and_Access_Control</v>
      </c>
      <c r="I23" s="125" t="str">
        <f>VLOOKUP($B23,'Product-Requirement'!$B:$M,10,FALSE)</f>
        <v>PR.AC-4: Access permissions and authorizations are managed, incorporating the principles of least privilege and separation of duties</v>
      </c>
      <c r="J23" s="125" t="str">
        <f>VLOOKUP($B23,'Product-Requirement'!$B:$M,11,FALSE)</f>
        <v>System_Design</v>
      </c>
      <c r="K23" s="125" t="str">
        <f>VLOOKUP($B23,'Product-Requirement'!$B:$M,12,FALSE)</f>
        <v>Manufacturer</v>
      </c>
      <c r="L23" s="125" t="s">
        <v>5965</v>
      </c>
      <c r="M23" s="185"/>
      <c r="N23" s="185"/>
      <c r="O23" s="185"/>
      <c r="P23" s="185" t="s">
        <v>6076</v>
      </c>
      <c r="Q23" s="185"/>
      <c r="R23" s="185"/>
      <c r="S23" s="185"/>
      <c r="T23" s="185"/>
      <c r="U23" s="187" t="s">
        <v>378</v>
      </c>
      <c r="V23" s="187" t="s">
        <v>378</v>
      </c>
      <c r="W23" s="187" t="s">
        <v>378</v>
      </c>
      <c r="X23" s="188" t="s">
        <v>379</v>
      </c>
      <c r="Y23" s="188" t="s">
        <v>379</v>
      </c>
      <c r="Z23" s="188" t="s">
        <v>379</v>
      </c>
      <c r="AA23" s="188" t="s">
        <v>379</v>
      </c>
      <c r="AB23" s="188" t="s">
        <v>379</v>
      </c>
      <c r="AC23" s="188" t="s">
        <v>379</v>
      </c>
      <c r="AD23" s="188" t="s">
        <v>379</v>
      </c>
    </row>
    <row r="24" spans="1:30" s="167" customFormat="1" ht="318.75">
      <c r="A24" s="182">
        <v>22</v>
      </c>
      <c r="B24" s="169" t="s">
        <v>509</v>
      </c>
      <c r="C24" s="166" t="s">
        <v>6077</v>
      </c>
      <c r="D24" s="165" t="s">
        <v>6078</v>
      </c>
      <c r="E24" s="165" t="s">
        <v>6079</v>
      </c>
      <c r="F24" s="113" t="s">
        <v>6080</v>
      </c>
      <c r="G24" s="125" t="str">
        <f>VLOOKUP($B24,'Product-Requirement'!$B:$M,8,FALSE)</f>
        <v>PROTECT</v>
      </c>
      <c r="H24" s="125" t="str">
        <f>VLOOKUP($B24,'Product-Requirement'!$B:$M,9,FALSE)</f>
        <v>Identity_Management_Authentication_and_Access_Control</v>
      </c>
      <c r="I24" s="125" t="str">
        <f>VLOOKUP($B24,'Product-Requirement'!$B:$M,10,FALSE)</f>
        <v>PR.AC-4: Access permissions and authorizations are managed, incorporating the principles of least privilege and separation of duties</v>
      </c>
      <c r="J24" s="125" t="str">
        <f>VLOOKUP($B24,'Product-Requirement'!$B:$M,11,FALSE)</f>
        <v>System_Design</v>
      </c>
      <c r="K24" s="125" t="str">
        <f>VLOOKUP($B24,'Product-Requirement'!$B:$M,12,FALSE)</f>
        <v>Manufacturer</v>
      </c>
      <c r="L24" s="125" t="s">
        <v>5965</v>
      </c>
      <c r="M24" s="185"/>
      <c r="N24" s="185" t="s">
        <v>6081</v>
      </c>
      <c r="O24" s="185" t="s">
        <v>6082</v>
      </c>
      <c r="P24" s="185" t="s">
        <v>6083</v>
      </c>
      <c r="Q24" s="185" t="s">
        <v>6084</v>
      </c>
      <c r="R24" s="185" t="s">
        <v>6085</v>
      </c>
      <c r="S24" s="185" t="s">
        <v>6086</v>
      </c>
      <c r="T24" s="185" t="s">
        <v>6087</v>
      </c>
      <c r="U24" s="187" t="s">
        <v>378</v>
      </c>
      <c r="V24" s="187" t="s">
        <v>378</v>
      </c>
      <c r="W24" s="187" t="s">
        <v>378</v>
      </c>
      <c r="X24" s="187" t="s">
        <v>378</v>
      </c>
      <c r="Y24" s="187" t="s">
        <v>378</v>
      </c>
      <c r="Z24" s="187" t="s">
        <v>378</v>
      </c>
      <c r="AA24" s="187" t="s">
        <v>378</v>
      </c>
      <c r="AB24" s="187" t="s">
        <v>378</v>
      </c>
      <c r="AC24" s="187" t="s">
        <v>378</v>
      </c>
      <c r="AD24" s="187" t="s">
        <v>378</v>
      </c>
    </row>
    <row r="25" spans="1:30" s="167" customFormat="1" ht="408">
      <c r="A25" s="181">
        <v>23</v>
      </c>
      <c r="B25" s="169" t="s">
        <v>513</v>
      </c>
      <c r="C25" s="166" t="s">
        <v>6088</v>
      </c>
      <c r="D25" s="165" t="s">
        <v>6089</v>
      </c>
      <c r="E25" s="165" t="s">
        <v>6090</v>
      </c>
      <c r="F25" s="113" t="s">
        <v>6080</v>
      </c>
      <c r="G25" s="125" t="str">
        <f>VLOOKUP($B25,'Product-Requirement'!$B:$M,8,FALSE)</f>
        <v>PROTECT</v>
      </c>
      <c r="H25" s="125" t="str">
        <f>VLOOKUP($B25,'Product-Requirement'!$B:$M,9,FALSE)</f>
        <v>Identity_Management_Authentication_and_Access_Control</v>
      </c>
      <c r="I25" s="125" t="str">
        <f>VLOOKUP($B25,'Product-Requirement'!$B:$M,10,FALSE)</f>
        <v>PR.AC-4: Access permissions and authorizations are managed, incorporating the principles of least privilege and separation of duties</v>
      </c>
      <c r="J25" s="125" t="str">
        <f>VLOOKUP($B25,'Product-Requirement'!$B:$M,11,FALSE)</f>
        <v>System_Design</v>
      </c>
      <c r="K25" s="125" t="str">
        <f>VLOOKUP($B25,'Product-Requirement'!$B:$M,12,FALSE)</f>
        <v>Manufacturer</v>
      </c>
      <c r="L25" s="125" t="s">
        <v>5965</v>
      </c>
      <c r="M25" s="185"/>
      <c r="N25" s="185" t="s">
        <v>6091</v>
      </c>
      <c r="O25" s="185" t="s">
        <v>6092</v>
      </c>
      <c r="P25" s="185" t="s">
        <v>6093</v>
      </c>
      <c r="Q25" s="185" t="s">
        <v>6094</v>
      </c>
      <c r="R25" s="185" t="s">
        <v>6085</v>
      </c>
      <c r="S25" s="185" t="s">
        <v>6095</v>
      </c>
      <c r="T25" s="185" t="s">
        <v>6096</v>
      </c>
      <c r="U25" s="187" t="s">
        <v>378</v>
      </c>
      <c r="V25" s="187" t="s">
        <v>378</v>
      </c>
      <c r="W25" s="187" t="s">
        <v>378</v>
      </c>
      <c r="X25" s="187" t="s">
        <v>378</v>
      </c>
      <c r="Y25" s="187" t="s">
        <v>378</v>
      </c>
      <c r="Z25" s="187" t="s">
        <v>378</v>
      </c>
      <c r="AA25" s="187" t="s">
        <v>378</v>
      </c>
      <c r="AB25" s="187" t="s">
        <v>378</v>
      </c>
      <c r="AC25" s="187" t="s">
        <v>378</v>
      </c>
      <c r="AD25" s="187" t="s">
        <v>378</v>
      </c>
    </row>
    <row r="26" spans="1:30" s="167" customFormat="1" ht="140.25">
      <c r="A26" s="182">
        <v>24</v>
      </c>
      <c r="B26" s="169" t="s">
        <v>1086</v>
      </c>
      <c r="C26" s="166" t="s">
        <v>6097</v>
      </c>
      <c r="D26" s="165" t="s">
        <v>6098</v>
      </c>
      <c r="E26" s="165"/>
      <c r="F26" s="84" t="s">
        <v>6099</v>
      </c>
      <c r="G26" s="125" t="str">
        <f>VLOOKUP($B26,'Product-Requirement'!$B:$M,8,FALSE)</f>
        <v>PROTECT</v>
      </c>
      <c r="H26" s="125" t="str">
        <f>VLOOKUP($B26,'Product-Requirement'!$B:$M,9,FALSE)</f>
        <v>Identity_Management_Authentication_and_Access_Control</v>
      </c>
      <c r="I26" s="125" t="str">
        <f>VLOOKUP($B26,'Product-Requirement'!$B:$M,10,FALSE)</f>
        <v>PR.AC-4: Access permissions and authorizations are managed, incorporating the principles of least privilege and separation of duties</v>
      </c>
      <c r="J26" s="125" t="str">
        <f>VLOOKUP($B26,'Product-Requirement'!$B:$M,11,FALSE)</f>
        <v>System_Design</v>
      </c>
      <c r="K26" s="125" t="str">
        <f>VLOOKUP($B26,'Product-Requirement'!$B:$M,12,FALSE)</f>
        <v>Manufacturer</v>
      </c>
      <c r="L26" s="125" t="s">
        <v>6100</v>
      </c>
      <c r="M26" s="185"/>
      <c r="N26" s="185"/>
      <c r="O26" s="185" t="s">
        <v>6101</v>
      </c>
      <c r="P26" s="185" t="s">
        <v>6102</v>
      </c>
      <c r="Q26" s="185"/>
      <c r="R26" s="185"/>
      <c r="S26" s="185"/>
      <c r="T26" s="185"/>
      <c r="U26" s="187" t="s">
        <v>378</v>
      </c>
      <c r="V26" s="187" t="s">
        <v>378</v>
      </c>
      <c r="W26" s="187" t="s">
        <v>378</v>
      </c>
      <c r="X26" s="187" t="s">
        <v>378</v>
      </c>
      <c r="Y26" s="187" t="s">
        <v>378</v>
      </c>
      <c r="Z26" s="187" t="s">
        <v>378</v>
      </c>
      <c r="AA26" s="187" t="s">
        <v>378</v>
      </c>
      <c r="AB26" s="187" t="s">
        <v>378</v>
      </c>
      <c r="AC26" s="187" t="s">
        <v>378</v>
      </c>
      <c r="AD26" s="187" t="s">
        <v>378</v>
      </c>
    </row>
    <row r="27" spans="1:30" s="167" customFormat="1" ht="395.25">
      <c r="A27" s="181">
        <v>25</v>
      </c>
      <c r="B27" s="169" t="s">
        <v>543</v>
      </c>
      <c r="C27" s="165" t="s">
        <v>6103</v>
      </c>
      <c r="D27" s="165" t="s">
        <v>6104</v>
      </c>
      <c r="E27" s="165" t="s">
        <v>6105</v>
      </c>
      <c r="F27" s="113" t="s">
        <v>6106</v>
      </c>
      <c r="G27" s="125" t="str">
        <f>VLOOKUP($B27,'Product-Requirement'!$B:$M,8,FALSE)</f>
        <v>PROTECT</v>
      </c>
      <c r="H27" s="125" t="str">
        <f>VLOOKUP($B27,'Product-Requirement'!$B:$M,9,FALSE)</f>
        <v>Identity_Management_Authentication_and_Access_Control</v>
      </c>
      <c r="I27" s="125" t="str">
        <f>VLOOKUP($B27,'Product-Requirement'!$B:$M,10,FALSE)</f>
        <v>PR.AC-4: Access permissions and authorizations are managed, incorporating the principles of least privilege and separation of duties</v>
      </c>
      <c r="J27" s="125" t="str">
        <f>VLOOKUP($B27,'Product-Requirement'!$B:$M,11,FALSE)</f>
        <v>System_Design</v>
      </c>
      <c r="K27" s="125" t="str">
        <f>VLOOKUP($B27,'Product-Requirement'!$B:$M,12,FALSE)</f>
        <v>Manufacturer</v>
      </c>
      <c r="L27" s="125" t="s">
        <v>5965</v>
      </c>
      <c r="M27" s="185"/>
      <c r="N27" s="185"/>
      <c r="O27" s="185" t="s">
        <v>6107</v>
      </c>
      <c r="P27" s="185" t="s">
        <v>6108</v>
      </c>
      <c r="Q27" s="185" t="s">
        <v>6109</v>
      </c>
      <c r="R27" s="185"/>
      <c r="S27" s="185" t="s">
        <v>6110</v>
      </c>
      <c r="T27" s="185" t="s">
        <v>6111</v>
      </c>
      <c r="U27" s="187" t="s">
        <v>378</v>
      </c>
      <c r="V27" s="187" t="s">
        <v>378</v>
      </c>
      <c r="W27" s="187" t="s">
        <v>378</v>
      </c>
      <c r="X27" s="187" t="s">
        <v>378</v>
      </c>
      <c r="Y27" s="187" t="s">
        <v>378</v>
      </c>
      <c r="Z27" s="187" t="s">
        <v>378</v>
      </c>
      <c r="AA27" s="187" t="s">
        <v>378</v>
      </c>
      <c r="AB27" s="187" t="s">
        <v>378</v>
      </c>
      <c r="AC27" s="187" t="s">
        <v>378</v>
      </c>
      <c r="AD27" s="187" t="s">
        <v>378</v>
      </c>
    </row>
    <row r="28" spans="1:30" s="167" customFormat="1" ht="51">
      <c r="A28" s="182">
        <v>26</v>
      </c>
      <c r="B28" s="169" t="s">
        <v>2546</v>
      </c>
      <c r="C28" s="165" t="s">
        <v>6112</v>
      </c>
      <c r="D28" s="165" t="s">
        <v>6113</v>
      </c>
      <c r="E28" s="165"/>
      <c r="F28" s="107"/>
      <c r="G28" s="125" t="str">
        <f>VLOOKUP($B28,'Product-Requirement'!$B:$M,8,FALSE)</f>
        <v>PROTECT</v>
      </c>
      <c r="H28" s="125" t="str">
        <f>VLOOKUP($B28,'Product-Requirement'!$B:$M,9,FALSE)</f>
        <v>Identity_Management_Authentication_and_Access_Control</v>
      </c>
      <c r="I28" s="125" t="str">
        <f>VLOOKUP($B28,'Product-Requirement'!$B:$M,10,FALSE)</f>
        <v>PR.AC-4: Access permissions and authorizations are managed, incorporating the principles of least privilege and separation of duties</v>
      </c>
      <c r="J28" s="125" t="str">
        <f>VLOOKUP($B28,'Product-Requirement'!$B:$M,11,FALSE)</f>
        <v>System_Design</v>
      </c>
      <c r="K28" s="125" t="str">
        <f>VLOOKUP($B28,'Product-Requirement'!$B:$M,12,FALSE)</f>
        <v>Manufacturer</v>
      </c>
      <c r="L28" s="125" t="s">
        <v>5965</v>
      </c>
      <c r="M28" s="185"/>
      <c r="N28" s="185"/>
      <c r="O28" s="185"/>
      <c r="P28" s="185"/>
      <c r="Q28" s="185"/>
      <c r="R28" s="185"/>
      <c r="S28" s="185"/>
      <c r="T28" s="185" t="s">
        <v>6114</v>
      </c>
      <c r="U28" s="187" t="s">
        <v>378</v>
      </c>
      <c r="V28" s="188" t="s">
        <v>379</v>
      </c>
      <c r="W28" s="188" t="s">
        <v>379</v>
      </c>
      <c r="X28" s="188" t="s">
        <v>379</v>
      </c>
      <c r="Y28" s="188" t="s">
        <v>379</v>
      </c>
      <c r="Z28" s="188" t="s">
        <v>379</v>
      </c>
      <c r="AA28" s="188" t="s">
        <v>379</v>
      </c>
      <c r="AB28" s="188" t="s">
        <v>379</v>
      </c>
      <c r="AC28" s="188" t="s">
        <v>379</v>
      </c>
      <c r="AD28" s="188" t="s">
        <v>379</v>
      </c>
    </row>
    <row r="29" spans="1:30" s="167" customFormat="1" ht="63.75">
      <c r="A29" s="181">
        <v>27</v>
      </c>
      <c r="B29" s="169" t="s">
        <v>557</v>
      </c>
      <c r="C29" s="166" t="s">
        <v>6115</v>
      </c>
      <c r="D29" s="165" t="s">
        <v>6116</v>
      </c>
      <c r="E29" s="165"/>
      <c r="F29" s="113"/>
      <c r="G29" s="125" t="str">
        <f>VLOOKUP($B29,'Product-Requirement'!$B:$M,8,FALSE)</f>
        <v>PROTECT</v>
      </c>
      <c r="H29" s="125" t="str">
        <f>VLOOKUP($B29,'Product-Requirement'!$B:$M,9,FALSE)</f>
        <v>Identity_Management_Authentication_and_Access_Control</v>
      </c>
      <c r="I29" s="125" t="str">
        <f>VLOOKUP($B29,'Product-Requirement'!$B:$M,10,FALSE)</f>
        <v>PR.AC-4: Access permissions and authorizations are managed, incorporating the principles of least privilege and separation of duties</v>
      </c>
      <c r="J29" s="125" t="str">
        <f>VLOOKUP($B29,'Product-Requirement'!$B:$M,11,FALSE)</f>
        <v>System_Design</v>
      </c>
      <c r="K29" s="125" t="str">
        <f>VLOOKUP($B29,'Product-Requirement'!$B:$M,12,FALSE)</f>
        <v>Manufacturer</v>
      </c>
      <c r="L29" s="125" t="s">
        <v>6100</v>
      </c>
      <c r="M29" s="185"/>
      <c r="N29" s="185"/>
      <c r="O29" s="185" t="s">
        <v>6117</v>
      </c>
      <c r="P29" s="185" t="s">
        <v>6118</v>
      </c>
      <c r="Q29" s="185"/>
      <c r="R29" s="185"/>
      <c r="S29" s="185"/>
      <c r="T29" s="185" t="s">
        <v>6119</v>
      </c>
      <c r="U29" s="187" t="s">
        <v>378</v>
      </c>
      <c r="V29" s="187" t="s">
        <v>378</v>
      </c>
      <c r="W29" s="187" t="s">
        <v>378</v>
      </c>
      <c r="X29" s="188" t="s">
        <v>379</v>
      </c>
      <c r="Y29" s="188" t="s">
        <v>379</v>
      </c>
      <c r="Z29" s="188" t="s">
        <v>379</v>
      </c>
      <c r="AA29" s="187" t="s">
        <v>378</v>
      </c>
      <c r="AB29" s="187" t="s">
        <v>378</v>
      </c>
      <c r="AC29" s="187" t="s">
        <v>378</v>
      </c>
      <c r="AD29" s="187" t="s">
        <v>378</v>
      </c>
    </row>
    <row r="30" spans="1:30" s="167" customFormat="1" ht="51">
      <c r="A30" s="182">
        <v>28</v>
      </c>
      <c r="B30" s="169" t="s">
        <v>1188</v>
      </c>
      <c r="C30" s="166" t="s">
        <v>6120</v>
      </c>
      <c r="D30" s="165" t="s">
        <v>6121</v>
      </c>
      <c r="E30" s="165"/>
      <c r="F30" s="84" t="s">
        <v>6122</v>
      </c>
      <c r="G30" s="125" t="str">
        <f>VLOOKUP($B30,'Product-Requirement'!$B:$M,8,FALSE)</f>
        <v>PROTECT</v>
      </c>
      <c r="H30" s="125" t="str">
        <f>VLOOKUP($B30,'Product-Requirement'!$B:$M,9,FALSE)</f>
        <v>Identity_Management_Authentication_and_Access_Control</v>
      </c>
      <c r="I30" s="125" t="str">
        <f>VLOOKUP($B30,'Product-Requirement'!$B:$M,10,FALSE)</f>
        <v>PR.AC-5: Network integrity is protected (e.g., network segregation, network segmentation)</v>
      </c>
      <c r="J30" s="125" t="str">
        <f>VLOOKUP($B30,'Product-Requirement'!$B:$M,11,FALSE)</f>
        <v>System_Design</v>
      </c>
      <c r="K30" s="125" t="str">
        <f>VLOOKUP($B30,'Product-Requirement'!$B:$M,12,FALSE)</f>
        <v>Manufacturer</v>
      </c>
      <c r="L30" s="125" t="s">
        <v>5965</v>
      </c>
      <c r="M30" s="185"/>
      <c r="N30" s="185"/>
      <c r="O30" s="185"/>
      <c r="P30" s="185" t="s">
        <v>6123</v>
      </c>
      <c r="Q30" s="185"/>
      <c r="R30" s="185"/>
      <c r="S30" s="185"/>
      <c r="T30" s="185"/>
      <c r="U30" s="187" t="s">
        <v>378</v>
      </c>
      <c r="V30" s="187" t="s">
        <v>378</v>
      </c>
      <c r="W30" s="187" t="s">
        <v>378</v>
      </c>
      <c r="X30" s="188" t="s">
        <v>379</v>
      </c>
      <c r="Y30" s="188" t="s">
        <v>379</v>
      </c>
      <c r="Z30" s="188" t="s">
        <v>379</v>
      </c>
      <c r="AA30" s="188" t="s">
        <v>379</v>
      </c>
      <c r="AB30" s="188" t="s">
        <v>379</v>
      </c>
      <c r="AC30" s="188" t="s">
        <v>379</v>
      </c>
      <c r="AD30" s="188" t="s">
        <v>379</v>
      </c>
    </row>
    <row r="31" spans="1:30" s="167" customFormat="1" ht="178.5">
      <c r="A31" s="181">
        <v>29</v>
      </c>
      <c r="B31" s="166" t="s">
        <v>1586</v>
      </c>
      <c r="C31" s="166" t="s">
        <v>6124</v>
      </c>
      <c r="D31" s="165" t="s">
        <v>6125</v>
      </c>
      <c r="E31" s="165" t="s">
        <v>6126</v>
      </c>
      <c r="F31" s="125"/>
      <c r="G31" s="125" t="str">
        <f>VLOOKUP($B31,'Product-Requirement'!$B:$M,8,FALSE)</f>
        <v>PROTECT</v>
      </c>
      <c r="H31" s="125" t="str">
        <f>VLOOKUP($B31,'Product-Requirement'!$B:$M,9,FALSE)</f>
        <v>Identity_Management_Authentication_and_Access_Control</v>
      </c>
      <c r="I31" s="125" t="str">
        <f>VLOOKUP($B31,'Product-Requirement'!$B:$M,10,FALSE)</f>
        <v>PR.AC-5: Network integrity is protected (e.g., network segregation, network segmentation)</v>
      </c>
      <c r="J31" s="125" t="str">
        <f>VLOOKUP($B31,'Product-Requirement'!$B:$M,11,FALSE)</f>
        <v>Infrastructure&amp;Network</v>
      </c>
      <c r="K31" s="125" t="str">
        <f>VLOOKUP($B31,'Product-Requirement'!$B:$M,12,FALSE)</f>
        <v>Manufacturer</v>
      </c>
      <c r="L31" s="125" t="s">
        <v>5965</v>
      </c>
      <c r="M31" s="185"/>
      <c r="N31" s="185"/>
      <c r="O31" s="185" t="s">
        <v>6127</v>
      </c>
      <c r="P31" s="185" t="s">
        <v>6128</v>
      </c>
      <c r="Q31" s="185"/>
      <c r="R31" s="185"/>
      <c r="S31" s="185"/>
      <c r="T31" s="185" t="s">
        <v>6129</v>
      </c>
      <c r="U31" s="187" t="s">
        <v>378</v>
      </c>
      <c r="V31" s="187" t="s">
        <v>378</v>
      </c>
      <c r="W31" s="187" t="s">
        <v>378</v>
      </c>
      <c r="X31" s="187" t="s">
        <v>378</v>
      </c>
      <c r="Y31" s="187" t="s">
        <v>378</v>
      </c>
      <c r="Z31" s="187" t="s">
        <v>378</v>
      </c>
      <c r="AA31" s="187" t="s">
        <v>378</v>
      </c>
      <c r="AB31" s="187" t="s">
        <v>378</v>
      </c>
      <c r="AC31" s="187" t="s">
        <v>378</v>
      </c>
      <c r="AD31" s="187" t="s">
        <v>378</v>
      </c>
    </row>
    <row r="32" spans="1:30" s="167" customFormat="1" ht="102">
      <c r="A32" s="182">
        <v>30</v>
      </c>
      <c r="B32" s="169" t="s">
        <v>2157</v>
      </c>
      <c r="C32" s="166" t="s">
        <v>6130</v>
      </c>
      <c r="D32" s="165" t="s">
        <v>6131</v>
      </c>
      <c r="E32" s="165" t="s">
        <v>6132</v>
      </c>
      <c r="F32" s="107"/>
      <c r="G32" s="125" t="str">
        <f>VLOOKUP($B32,'Product-Requirement'!$B:$M,8,FALSE)</f>
        <v>PROTECT</v>
      </c>
      <c r="H32" s="125" t="str">
        <f>VLOOKUP($B32,'Product-Requirement'!$B:$M,9,FALSE)</f>
        <v>Identity_Management_Authentication_and_Access_Control</v>
      </c>
      <c r="I32" s="125" t="str">
        <f>VLOOKUP($B32,'Product-Requirement'!$B:$M,10,FALSE)</f>
        <v>PR.AC-5: Network integrity is protected (e.g., network segregation, network segmentation)</v>
      </c>
      <c r="J32" s="125" t="str">
        <f>VLOOKUP($B32,'Product-Requirement'!$B:$M,11,FALSE)</f>
        <v>Infrastructure&amp;Network</v>
      </c>
      <c r="K32" s="125" t="str">
        <f>VLOOKUP($B32,'Product-Requirement'!$B:$M,12,FALSE)</f>
        <v>Medical facilities(e.g.: Healthcare Delivery Organization/Hospital, Operator)</v>
      </c>
      <c r="L32" s="125" t="s">
        <v>5965</v>
      </c>
      <c r="M32" s="185"/>
      <c r="N32" s="185"/>
      <c r="O32" s="185" t="s">
        <v>6133</v>
      </c>
      <c r="P32" s="185"/>
      <c r="Q32" s="185" t="s">
        <v>6134</v>
      </c>
      <c r="R32" s="185"/>
      <c r="S32" s="185"/>
      <c r="T32" s="185"/>
      <c r="U32" s="187" t="s">
        <v>378</v>
      </c>
      <c r="V32" s="187" t="s">
        <v>378</v>
      </c>
      <c r="W32" s="187" t="s">
        <v>378</v>
      </c>
      <c r="X32" s="187" t="s">
        <v>378</v>
      </c>
      <c r="Y32" s="187" t="s">
        <v>378</v>
      </c>
      <c r="Z32" s="187" t="s">
        <v>378</v>
      </c>
      <c r="AA32" s="187" t="s">
        <v>378</v>
      </c>
      <c r="AB32" s="187" t="s">
        <v>378</v>
      </c>
      <c r="AC32" s="187" t="s">
        <v>378</v>
      </c>
      <c r="AD32" s="187" t="s">
        <v>378</v>
      </c>
    </row>
    <row r="33" spans="1:30" s="167" customFormat="1" ht="178.5">
      <c r="A33" s="181">
        <v>31</v>
      </c>
      <c r="B33" s="169" t="s">
        <v>5540</v>
      </c>
      <c r="C33" s="166" t="s">
        <v>6135</v>
      </c>
      <c r="D33" s="165" t="s">
        <v>6136</v>
      </c>
      <c r="E33" s="165"/>
      <c r="F33" s="84" t="s">
        <v>6137</v>
      </c>
      <c r="G33" s="125" t="str">
        <f>VLOOKUP($B33,'Product-Requirement'!$B:$M,8,FALSE)</f>
        <v>PROTECT</v>
      </c>
      <c r="H33" s="125" t="str">
        <f>VLOOKUP($B33,'Product-Requirement'!$B:$M,9,FALSE)</f>
        <v>Identity_Management_Authentication_and_Access_Control</v>
      </c>
      <c r="I33" s="125" t="str">
        <f>VLOOKUP($B33,'Product-Requirement'!$B:$M,10,FALSE)</f>
        <v>PR.AC-6: Identities are proofed and bound to credentials and asserted in interactions</v>
      </c>
      <c r="J33" s="125" t="str">
        <f>VLOOKUP($B33,'Product-Requirement'!$B:$M,11,FALSE)</f>
        <v>System_Design</v>
      </c>
      <c r="K33" s="125" t="str">
        <f>VLOOKUP($B33,'Product-Requirement'!$B:$M,12,FALSE)</f>
        <v>Manufacturer</v>
      </c>
      <c r="L33" s="125" t="s">
        <v>5965</v>
      </c>
      <c r="M33" s="185"/>
      <c r="N33" s="185"/>
      <c r="O33" s="185"/>
      <c r="P33" s="185" t="s">
        <v>6138</v>
      </c>
      <c r="Q33" s="185"/>
      <c r="R33" s="185"/>
      <c r="S33" s="185"/>
      <c r="T33" s="185"/>
      <c r="U33" s="188" t="s">
        <v>379</v>
      </c>
      <c r="V33" s="188" t="s">
        <v>379</v>
      </c>
      <c r="W33" s="188" t="s">
        <v>379</v>
      </c>
      <c r="X33" s="188" t="s">
        <v>379</v>
      </c>
      <c r="Y33" s="188" t="s">
        <v>379</v>
      </c>
      <c r="Z33" s="188" t="s">
        <v>379</v>
      </c>
      <c r="AA33" s="188" t="s">
        <v>379</v>
      </c>
      <c r="AB33" s="188" t="s">
        <v>379</v>
      </c>
      <c r="AC33" s="188" t="s">
        <v>379</v>
      </c>
      <c r="AD33" s="188" t="s">
        <v>379</v>
      </c>
    </row>
    <row r="34" spans="1:30" s="167" customFormat="1" ht="229.5">
      <c r="A34" s="182">
        <v>32</v>
      </c>
      <c r="B34" s="169" t="s">
        <v>1218</v>
      </c>
      <c r="C34" s="166" t="s">
        <v>6139</v>
      </c>
      <c r="D34" s="165" t="s">
        <v>6140</v>
      </c>
      <c r="E34" s="165" t="s">
        <v>6141</v>
      </c>
      <c r="F34" s="152"/>
      <c r="G34" s="125" t="str">
        <f>VLOOKUP($B34,'Product-Requirement'!$B:$M,8,FALSE)</f>
        <v>PROTECT</v>
      </c>
      <c r="H34" s="125" t="str">
        <f>VLOOKUP($B34,'Product-Requirement'!$B:$M,9,FALSE)</f>
        <v>Identity_Management_Authentication_and_Access_Control</v>
      </c>
      <c r="I34" s="125" t="str">
        <f>VLOOKUP($B34,'Product-Requirement'!$B:$M,10,FALSE)</f>
        <v>PR.AC-6: Identities are proofed and bound to credentials and asserted in interactions</v>
      </c>
      <c r="J34" s="125" t="str">
        <f>VLOOKUP($B34,'Product-Requirement'!$B:$M,11,FALSE)</f>
        <v>System_Design</v>
      </c>
      <c r="K34" s="125" t="str">
        <f>VLOOKUP($B34,'Product-Requirement'!$B:$M,12,FALSE)</f>
        <v>Manufacturer</v>
      </c>
      <c r="L34" s="125" t="s">
        <v>5965</v>
      </c>
      <c r="M34" s="185"/>
      <c r="N34" s="185"/>
      <c r="O34" s="185" t="s">
        <v>6142</v>
      </c>
      <c r="P34" s="185" t="s">
        <v>6143</v>
      </c>
      <c r="Q34" s="185"/>
      <c r="R34" s="185"/>
      <c r="S34" s="185"/>
      <c r="T34" s="185" t="s">
        <v>6144</v>
      </c>
      <c r="U34" s="187" t="s">
        <v>378</v>
      </c>
      <c r="V34" s="187" t="s">
        <v>378</v>
      </c>
      <c r="W34" s="187" t="s">
        <v>378</v>
      </c>
      <c r="X34" s="187" t="s">
        <v>378</v>
      </c>
      <c r="Y34" s="187" t="s">
        <v>378</v>
      </c>
      <c r="Z34" s="187" t="s">
        <v>378</v>
      </c>
      <c r="AA34" s="187" t="s">
        <v>378</v>
      </c>
      <c r="AB34" s="187" t="s">
        <v>378</v>
      </c>
      <c r="AC34" s="187" t="s">
        <v>378</v>
      </c>
      <c r="AD34" s="187" t="s">
        <v>378</v>
      </c>
    </row>
    <row r="35" spans="1:30" s="167" customFormat="1" ht="114.75">
      <c r="A35" s="181">
        <v>33</v>
      </c>
      <c r="B35" s="169" t="s">
        <v>1237</v>
      </c>
      <c r="C35" s="166" t="s">
        <v>6145</v>
      </c>
      <c r="D35" s="165" t="s">
        <v>6146</v>
      </c>
      <c r="E35" s="165" t="s">
        <v>6147</v>
      </c>
      <c r="F35" s="107"/>
      <c r="G35" s="125" t="str">
        <f>VLOOKUP($B35,'Product-Requirement'!$B:$M,8,FALSE)</f>
        <v>PROTECT</v>
      </c>
      <c r="H35" s="125" t="str">
        <f>VLOOKUP($B35,'Product-Requirement'!$B:$M,9,FALSE)</f>
        <v>Identity_Management_Authentication_and_Access_Control</v>
      </c>
      <c r="I35" s="125" t="str">
        <f>VLOOKUP($B35,'Product-Requirement'!$B:$M,10,FALSE)</f>
        <v>PR.AC-6: Identities are proofed and bound to credentials and asserted in interactions</v>
      </c>
      <c r="J35" s="125" t="str">
        <f>VLOOKUP($B35,'Product-Requirement'!$B:$M,11,FALSE)</f>
        <v>System_Design</v>
      </c>
      <c r="K35" s="125" t="str">
        <f>VLOOKUP($B35,'Product-Requirement'!$B:$M,12,FALSE)</f>
        <v>Manufacturer</v>
      </c>
      <c r="L35" s="125" t="s">
        <v>5965</v>
      </c>
      <c r="M35" s="185"/>
      <c r="N35" s="185"/>
      <c r="O35" s="185" t="s">
        <v>6148</v>
      </c>
      <c r="P35" s="185" t="s">
        <v>6149</v>
      </c>
      <c r="Q35" s="185" t="s">
        <v>6150</v>
      </c>
      <c r="R35" s="185"/>
      <c r="S35" s="185"/>
      <c r="T35" s="185" t="s">
        <v>6144</v>
      </c>
      <c r="U35" s="187" t="s">
        <v>378</v>
      </c>
      <c r="V35" s="187" t="s">
        <v>378</v>
      </c>
      <c r="W35" s="187" t="s">
        <v>378</v>
      </c>
      <c r="X35" s="187" t="s">
        <v>378</v>
      </c>
      <c r="Y35" s="187" t="s">
        <v>378</v>
      </c>
      <c r="Z35" s="187" t="s">
        <v>378</v>
      </c>
      <c r="AA35" s="187" t="s">
        <v>378</v>
      </c>
      <c r="AB35" s="187" t="s">
        <v>378</v>
      </c>
      <c r="AC35" s="187" t="s">
        <v>378</v>
      </c>
      <c r="AD35" s="187" t="s">
        <v>378</v>
      </c>
    </row>
    <row r="36" spans="1:30" s="167" customFormat="1" ht="102">
      <c r="A36" s="182">
        <v>34</v>
      </c>
      <c r="B36" s="169" t="s">
        <v>1230</v>
      </c>
      <c r="C36" s="166" t="s">
        <v>6151</v>
      </c>
      <c r="D36" s="165" t="s">
        <v>6152</v>
      </c>
      <c r="E36" s="165" t="s">
        <v>6153</v>
      </c>
      <c r="F36" s="107"/>
      <c r="G36" s="125" t="str">
        <f>VLOOKUP($B36,'Product-Requirement'!$B:$M,8,FALSE)</f>
        <v>PROTECT</v>
      </c>
      <c r="H36" s="125" t="str">
        <f>VLOOKUP($B36,'Product-Requirement'!$B:$M,9,FALSE)</f>
        <v>Identity_Management_Authentication_and_Access_Control</v>
      </c>
      <c r="I36" s="125" t="str">
        <f>VLOOKUP($B36,'Product-Requirement'!$B:$M,10,FALSE)</f>
        <v>PR.AC-6: Identities are proofed and bound to credentials and asserted in interactions</v>
      </c>
      <c r="J36" s="125" t="str">
        <f>VLOOKUP($B36,'Product-Requirement'!$B:$M,11,FALSE)</f>
        <v>System_Design</v>
      </c>
      <c r="K36" s="125" t="str">
        <f>VLOOKUP($B36,'Product-Requirement'!$B:$M,12,FALSE)</f>
        <v>Manufacturer</v>
      </c>
      <c r="L36" s="125" t="s">
        <v>5965</v>
      </c>
      <c r="M36" s="185"/>
      <c r="N36" s="185"/>
      <c r="O36" s="185" t="s">
        <v>6154</v>
      </c>
      <c r="P36" s="185" t="s">
        <v>6155</v>
      </c>
      <c r="Q36" s="185" t="s">
        <v>6156</v>
      </c>
      <c r="R36" s="185" t="s">
        <v>5993</v>
      </c>
      <c r="S36" s="185"/>
      <c r="T36" s="185" t="s">
        <v>6144</v>
      </c>
      <c r="U36" s="187" t="s">
        <v>378</v>
      </c>
      <c r="V36" s="187" t="s">
        <v>378</v>
      </c>
      <c r="W36" s="187" t="s">
        <v>378</v>
      </c>
      <c r="X36" s="187" t="s">
        <v>378</v>
      </c>
      <c r="Y36" s="187" t="s">
        <v>378</v>
      </c>
      <c r="Z36" s="187" t="s">
        <v>378</v>
      </c>
      <c r="AA36" s="187" t="s">
        <v>378</v>
      </c>
      <c r="AB36" s="187" t="s">
        <v>378</v>
      </c>
      <c r="AC36" s="187" t="s">
        <v>378</v>
      </c>
      <c r="AD36" s="187" t="s">
        <v>378</v>
      </c>
    </row>
    <row r="37" spans="1:30" s="167" customFormat="1" ht="165.75">
      <c r="A37" s="181">
        <v>35</v>
      </c>
      <c r="B37" s="169" t="s">
        <v>5419</v>
      </c>
      <c r="C37" s="166" t="s">
        <v>6157</v>
      </c>
      <c r="D37" s="165" t="s">
        <v>6158</v>
      </c>
      <c r="E37" s="165"/>
      <c r="F37" s="84" t="s">
        <v>6159</v>
      </c>
      <c r="G37" s="125" t="str">
        <f>VLOOKUP($B37,'Product-Requirement'!$B:$M,8,FALSE)</f>
        <v>PROTECT</v>
      </c>
      <c r="H37" s="125" t="str">
        <f>VLOOKUP($B37,'Product-Requirement'!$B:$M,9,FALSE)</f>
        <v>Identity_Management_Authentication_and_Access_Control</v>
      </c>
      <c r="I37" s="125" t="str">
        <f>VLOOKUP($B37,'Product-Requirement'!$B:$M,10,FALSE)</f>
        <v>PR.AC-6: Identities are proofed and bound to credentials and asserted in interactions</v>
      </c>
      <c r="J37" s="125" t="str">
        <f>VLOOKUP($B37,'Product-Requirement'!$B:$M,11,FALSE)</f>
        <v>System_Design</v>
      </c>
      <c r="K37" s="125" t="str">
        <f>VLOOKUP($B37,'Product-Requirement'!$B:$M,12,FALSE)</f>
        <v>Manufacturer</v>
      </c>
      <c r="L37" s="125" t="s">
        <v>5965</v>
      </c>
      <c r="M37" s="185"/>
      <c r="N37" s="185"/>
      <c r="O37" s="185"/>
      <c r="P37" s="185" t="s">
        <v>6160</v>
      </c>
      <c r="Q37" s="185"/>
      <c r="R37" s="185"/>
      <c r="S37" s="185"/>
      <c r="T37" s="185"/>
      <c r="U37" s="188" t="s">
        <v>379</v>
      </c>
      <c r="V37" s="188" t="s">
        <v>379</v>
      </c>
      <c r="W37" s="188" t="s">
        <v>379</v>
      </c>
      <c r="X37" s="188" t="s">
        <v>379</v>
      </c>
      <c r="Y37" s="188" t="s">
        <v>379</v>
      </c>
      <c r="Z37" s="188" t="s">
        <v>379</v>
      </c>
      <c r="AA37" s="188" t="s">
        <v>379</v>
      </c>
      <c r="AB37" s="188" t="s">
        <v>379</v>
      </c>
      <c r="AC37" s="188" t="s">
        <v>379</v>
      </c>
      <c r="AD37" s="188" t="s">
        <v>379</v>
      </c>
    </row>
    <row r="38" spans="1:30" s="167" customFormat="1" ht="255">
      <c r="A38" s="182">
        <v>36</v>
      </c>
      <c r="B38" s="169" t="s">
        <v>5352</v>
      </c>
      <c r="C38" s="166" t="s">
        <v>6161</v>
      </c>
      <c r="D38" s="165" t="s">
        <v>6162</v>
      </c>
      <c r="E38" s="165"/>
      <c r="F38" s="84" t="s">
        <v>6163</v>
      </c>
      <c r="G38" s="125" t="str">
        <f>VLOOKUP($B38,'Product-Requirement'!$B:$M,8,FALSE)</f>
        <v>PROTECT</v>
      </c>
      <c r="H38" s="125" t="str">
        <f>VLOOKUP($B38,'Product-Requirement'!$B:$M,9,FALSE)</f>
        <v>Identity_Management_Authentication_and_Access_Control</v>
      </c>
      <c r="I38" s="125" t="str">
        <f>VLOOKUP($B38,'Product-Requirement'!$B:$M,10,FALSE)</f>
        <v>PR.AC-6: Identities are proofed and bound to credentials and asserted in interactions</v>
      </c>
      <c r="J38" s="125" t="str">
        <f>VLOOKUP($B38,'Product-Requirement'!$B:$M,11,FALSE)</f>
        <v>System_Design</v>
      </c>
      <c r="K38" s="125" t="str">
        <f>VLOOKUP($B38,'Product-Requirement'!$B:$M,12,FALSE)</f>
        <v>Manufacturer</v>
      </c>
      <c r="L38" s="125" t="s">
        <v>5965</v>
      </c>
      <c r="M38" s="185"/>
      <c r="N38" s="185"/>
      <c r="O38" s="185"/>
      <c r="P38" s="185" t="s">
        <v>6164</v>
      </c>
      <c r="Q38" s="185"/>
      <c r="R38" s="185"/>
      <c r="S38" s="185"/>
      <c r="T38" s="185"/>
      <c r="U38" s="188" t="s">
        <v>379</v>
      </c>
      <c r="V38" s="188" t="s">
        <v>379</v>
      </c>
      <c r="W38" s="188" t="s">
        <v>379</v>
      </c>
      <c r="X38" s="188" t="s">
        <v>379</v>
      </c>
      <c r="Y38" s="188" t="s">
        <v>379</v>
      </c>
      <c r="Z38" s="188" t="s">
        <v>379</v>
      </c>
      <c r="AA38" s="188" t="s">
        <v>379</v>
      </c>
      <c r="AB38" s="188" t="s">
        <v>379</v>
      </c>
      <c r="AC38" s="188" t="s">
        <v>379</v>
      </c>
      <c r="AD38" s="188" t="s">
        <v>379</v>
      </c>
    </row>
    <row r="39" spans="1:30" s="167" customFormat="1" ht="38.25">
      <c r="A39" s="181">
        <v>37</v>
      </c>
      <c r="B39" s="169" t="s">
        <v>4186</v>
      </c>
      <c r="C39" s="166" t="s">
        <v>6165</v>
      </c>
      <c r="D39" s="165" t="s">
        <v>6166</v>
      </c>
      <c r="E39" s="165"/>
      <c r="F39" s="107"/>
      <c r="G39" s="125" t="str">
        <f>VLOOKUP($B39,'Product-Requirement'!$B:$M,8,FALSE)</f>
        <v>PROTECT</v>
      </c>
      <c r="H39" s="125" t="str">
        <f>VLOOKUP($B39,'Product-Requirement'!$B:$M,9,FALSE)</f>
        <v>Identity_Management_Authentication_and_Access_Control</v>
      </c>
      <c r="I39" s="125" t="str">
        <f>VLOOKUP($B39,'Product-Requirement'!$B:$M,10,FALSE)</f>
        <v>PR.AC-6: Identities are proofed and bound to credentials and asserted in interactions</v>
      </c>
      <c r="J39" s="125" t="str">
        <f>VLOOKUP($B39,'Product-Requirement'!$B:$M,11,FALSE)</f>
        <v>System_Design</v>
      </c>
      <c r="K39" s="125" t="str">
        <f>VLOOKUP($B39,'Product-Requirement'!$B:$M,12,FALSE)</f>
        <v>Manufacturer</v>
      </c>
      <c r="L39" s="125" t="s">
        <v>5965</v>
      </c>
      <c r="M39" s="185"/>
      <c r="N39" s="185" t="s">
        <v>5989</v>
      </c>
      <c r="O39" s="185"/>
      <c r="P39" s="185" t="s">
        <v>6167</v>
      </c>
      <c r="Q39" s="185"/>
      <c r="R39" s="185"/>
      <c r="S39" s="185"/>
      <c r="T39" s="185"/>
      <c r="U39" s="187" t="s">
        <v>378</v>
      </c>
      <c r="V39" s="187" t="s">
        <v>378</v>
      </c>
      <c r="W39" s="187" t="s">
        <v>378</v>
      </c>
      <c r="X39" s="188" t="s">
        <v>379</v>
      </c>
      <c r="Y39" s="188" t="s">
        <v>379</v>
      </c>
      <c r="Z39" s="188" t="s">
        <v>379</v>
      </c>
      <c r="AA39" s="188" t="s">
        <v>379</v>
      </c>
      <c r="AB39" s="188" t="s">
        <v>379</v>
      </c>
      <c r="AC39" s="187" t="s">
        <v>378</v>
      </c>
      <c r="AD39" s="188" t="s">
        <v>379</v>
      </c>
    </row>
    <row r="40" spans="1:30" s="167" customFormat="1" ht="331.5">
      <c r="A40" s="182">
        <v>38</v>
      </c>
      <c r="B40" s="169" t="s">
        <v>1221</v>
      </c>
      <c r="C40" s="166" t="s">
        <v>6168</v>
      </c>
      <c r="D40" s="165" t="s">
        <v>6169</v>
      </c>
      <c r="E40" s="165" t="s">
        <v>6170</v>
      </c>
      <c r="F40" s="125"/>
      <c r="G40" s="125" t="str">
        <f>VLOOKUP($B40,'Product-Requirement'!$B:$M,8,FALSE)</f>
        <v>PROTECT</v>
      </c>
      <c r="H40" s="125" t="str">
        <f>VLOOKUP($B40,'Product-Requirement'!$B:$M,9,FALSE)</f>
        <v>Identity_Management_Authentication_and_Access_Control</v>
      </c>
      <c r="I40" s="125" t="str">
        <f>VLOOKUP($B40,'Product-Requirement'!$B:$M,10,FALSE)</f>
        <v>PR.AC-6: Identities are proofed and bound to credentials and asserted in interactions</v>
      </c>
      <c r="J40" s="125" t="str">
        <f>VLOOKUP($B40,'Product-Requirement'!$B:$M,11,FALSE)</f>
        <v>System_Design</v>
      </c>
      <c r="K40" s="125" t="str">
        <f>VLOOKUP($B40,'Product-Requirement'!$B:$M,12,FALSE)</f>
        <v>Manufacturer</v>
      </c>
      <c r="L40" s="125" t="s">
        <v>5965</v>
      </c>
      <c r="M40" s="185"/>
      <c r="N40" s="185" t="s">
        <v>5989</v>
      </c>
      <c r="O40" s="185" t="s">
        <v>6171</v>
      </c>
      <c r="P40" s="185" t="s">
        <v>6172</v>
      </c>
      <c r="Q40" s="185" t="s">
        <v>6173</v>
      </c>
      <c r="R40" s="185"/>
      <c r="S40" s="185" t="s">
        <v>6110</v>
      </c>
      <c r="T40" s="185" t="s">
        <v>6174</v>
      </c>
      <c r="U40" s="187" t="s">
        <v>378</v>
      </c>
      <c r="V40" s="187" t="s">
        <v>378</v>
      </c>
      <c r="W40" s="187" t="s">
        <v>378</v>
      </c>
      <c r="X40" s="187" t="s">
        <v>378</v>
      </c>
      <c r="Y40" s="187" t="s">
        <v>378</v>
      </c>
      <c r="Z40" s="187" t="s">
        <v>378</v>
      </c>
      <c r="AA40" s="187" t="s">
        <v>378</v>
      </c>
      <c r="AB40" s="187" t="s">
        <v>378</v>
      </c>
      <c r="AC40" s="187" t="s">
        <v>378</v>
      </c>
      <c r="AD40" s="187" t="s">
        <v>378</v>
      </c>
    </row>
    <row r="41" spans="1:30" s="167" customFormat="1" ht="140.25">
      <c r="A41" s="181">
        <v>39</v>
      </c>
      <c r="B41" s="169" t="s">
        <v>1175</v>
      </c>
      <c r="C41" s="166" t="s">
        <v>6175</v>
      </c>
      <c r="D41" s="165" t="s">
        <v>6176</v>
      </c>
      <c r="E41" s="165" t="s">
        <v>6177</v>
      </c>
      <c r="F41" s="113" t="s">
        <v>6178</v>
      </c>
      <c r="G41" s="125" t="str">
        <f>VLOOKUP($B41,'Product-Requirement'!$B:$M,8,FALSE)</f>
        <v>PROTECT</v>
      </c>
      <c r="H41" s="125" t="str">
        <f>VLOOKUP($B41,'Product-Requirement'!$B:$M,9,FALSE)</f>
        <v>Identity_Management_Authentication_and_Access_Control</v>
      </c>
      <c r="I41" s="125" t="str">
        <f>VLOOKUP($B41,'Product-Requirement'!$B:$M,10,FALSE)</f>
        <v>PR.AC-6: Identities are proofed and bound to credentials and asserted in interactions</v>
      </c>
      <c r="J41" s="125" t="str">
        <f>VLOOKUP($B41,'Product-Requirement'!$B:$M,11,FALSE)</f>
        <v>System_Design</v>
      </c>
      <c r="K41" s="125" t="str">
        <f>VLOOKUP($B41,'Product-Requirement'!$B:$M,12,FALSE)</f>
        <v>Manufacturer</v>
      </c>
      <c r="L41" s="125" t="s">
        <v>5965</v>
      </c>
      <c r="M41" s="185"/>
      <c r="N41" s="185"/>
      <c r="O41" s="185"/>
      <c r="P41" s="185" t="s">
        <v>6179</v>
      </c>
      <c r="Q41" s="185" t="s">
        <v>6180</v>
      </c>
      <c r="R41" s="185"/>
      <c r="S41" s="185"/>
      <c r="T41" s="185" t="s">
        <v>6181</v>
      </c>
      <c r="U41" s="187" t="s">
        <v>378</v>
      </c>
      <c r="V41" s="187" t="s">
        <v>378</v>
      </c>
      <c r="W41" s="187" t="s">
        <v>378</v>
      </c>
      <c r="X41" s="187" t="s">
        <v>378</v>
      </c>
      <c r="Y41" s="187" t="s">
        <v>378</v>
      </c>
      <c r="Z41" s="187" t="s">
        <v>378</v>
      </c>
      <c r="AA41" s="187" t="s">
        <v>378</v>
      </c>
      <c r="AB41" s="187" t="s">
        <v>378</v>
      </c>
      <c r="AC41" s="187" t="s">
        <v>378</v>
      </c>
      <c r="AD41" s="187" t="s">
        <v>378</v>
      </c>
    </row>
    <row r="42" spans="1:30" s="167" customFormat="1" ht="127.5">
      <c r="A42" s="182">
        <v>40</v>
      </c>
      <c r="B42" s="169" t="s">
        <v>1209</v>
      </c>
      <c r="C42" s="166" t="s">
        <v>6182</v>
      </c>
      <c r="D42" s="165" t="s">
        <v>6183</v>
      </c>
      <c r="E42" s="165"/>
      <c r="F42" s="107"/>
      <c r="G42" s="125" t="str">
        <f>VLOOKUP($B42,'Product-Requirement'!$B:$M,8,FALSE)</f>
        <v>PROTECT</v>
      </c>
      <c r="H42" s="125" t="str">
        <f>VLOOKUP($B42,'Product-Requirement'!$B:$M,9,FALSE)</f>
        <v>Identity_Management_Authentication_and_Access_Control</v>
      </c>
      <c r="I42" s="125" t="str">
        <f>VLOOKUP($B42,'Product-Requirement'!$B:$M,10,FALSE)</f>
        <v>PR.AC-6: Identities are proofed and bound to credentials and asserted in interactions</v>
      </c>
      <c r="J42" s="125" t="str">
        <f>VLOOKUP($B42,'Product-Requirement'!$B:$M,11,FALSE)</f>
        <v>System_Design</v>
      </c>
      <c r="K42" s="125" t="str">
        <f>VLOOKUP($B42,'Product-Requirement'!$B:$M,12,FALSE)</f>
        <v>Manufacturer</v>
      </c>
      <c r="L42" s="125" t="s">
        <v>5965</v>
      </c>
      <c r="M42" s="185"/>
      <c r="N42" s="185"/>
      <c r="O42" s="185" t="s">
        <v>6184</v>
      </c>
      <c r="P42" s="185" t="s">
        <v>6185</v>
      </c>
      <c r="Q42" s="185"/>
      <c r="R42" s="185"/>
      <c r="S42" s="185"/>
      <c r="T42" s="185" t="s">
        <v>5984</v>
      </c>
      <c r="U42" s="187" t="s">
        <v>378</v>
      </c>
      <c r="V42" s="187" t="s">
        <v>378</v>
      </c>
      <c r="W42" s="187" t="s">
        <v>378</v>
      </c>
      <c r="X42" s="187" t="s">
        <v>378</v>
      </c>
      <c r="Y42" s="187" t="s">
        <v>378</v>
      </c>
      <c r="Z42" s="187" t="s">
        <v>378</v>
      </c>
      <c r="AA42" s="187" t="s">
        <v>378</v>
      </c>
      <c r="AB42" s="187" t="s">
        <v>378</v>
      </c>
      <c r="AC42" s="187" t="s">
        <v>378</v>
      </c>
      <c r="AD42" s="187" t="s">
        <v>378</v>
      </c>
    </row>
    <row r="43" spans="1:30" s="167" customFormat="1" ht="114.75">
      <c r="A43" s="181">
        <v>41</v>
      </c>
      <c r="B43" s="169" t="s">
        <v>527</v>
      </c>
      <c r="C43" s="166" t="s">
        <v>6186</v>
      </c>
      <c r="D43" s="166" t="s">
        <v>6187</v>
      </c>
      <c r="E43" s="166"/>
      <c r="F43" s="107"/>
      <c r="G43" s="125" t="str">
        <f>VLOOKUP($B43,'Product-Requirement'!$B:$M,8,FALSE)</f>
        <v>PROTECT</v>
      </c>
      <c r="H43" s="125" t="str">
        <f>VLOOKUP($B43,'Product-Requirement'!$B:$M,9,FALSE)</f>
        <v>Identity_Management_Authentication_and_Access_Control</v>
      </c>
      <c r="I43" s="125" t="str">
        <f>VLOOKUP($B43,'Product-Requirement'!$B:$M,10,FALSE)</f>
        <v>PR.AC-7: Users, devices, and other assets are authenticated (e.g., single-factor, multi-factor) commensurate with the risk of the transaction (e.g., individuals’ security and privacy risks and other organizational risks)</v>
      </c>
      <c r="J43" s="125" t="str">
        <f>VLOOKUP($B43,'Product-Requirement'!$B:$M,11,FALSE)</f>
        <v>System_Design</v>
      </c>
      <c r="K43" s="125" t="str">
        <f>VLOOKUP($B43,'Product-Requirement'!$B:$M,12,FALSE)</f>
        <v>Manufacturer</v>
      </c>
      <c r="L43" s="125" t="s">
        <v>5965</v>
      </c>
      <c r="M43" s="185"/>
      <c r="N43" s="185"/>
      <c r="O43" s="185" t="s">
        <v>6188</v>
      </c>
      <c r="P43" s="185" t="s">
        <v>6189</v>
      </c>
      <c r="Q43" s="185"/>
      <c r="R43" s="185"/>
      <c r="S43" s="185"/>
      <c r="T43" s="185" t="s">
        <v>6190</v>
      </c>
      <c r="U43" s="187" t="s">
        <v>378</v>
      </c>
      <c r="V43" s="187" t="s">
        <v>378</v>
      </c>
      <c r="W43" s="187" t="s">
        <v>378</v>
      </c>
      <c r="X43" s="187" t="s">
        <v>378</v>
      </c>
      <c r="Y43" s="187" t="s">
        <v>378</v>
      </c>
      <c r="Z43" s="187" t="s">
        <v>378</v>
      </c>
      <c r="AA43" s="187" t="s">
        <v>378</v>
      </c>
      <c r="AB43" s="187" t="s">
        <v>378</v>
      </c>
      <c r="AC43" s="187" t="s">
        <v>378</v>
      </c>
      <c r="AD43" s="187" t="s">
        <v>378</v>
      </c>
    </row>
    <row r="44" spans="1:30" s="167" customFormat="1" ht="89.25">
      <c r="A44" s="182">
        <v>42</v>
      </c>
      <c r="B44" s="169" t="s">
        <v>667</v>
      </c>
      <c r="C44" s="166" t="s">
        <v>6191</v>
      </c>
      <c r="D44" s="166" t="s">
        <v>6192</v>
      </c>
      <c r="E44" s="166" t="s">
        <v>6193</v>
      </c>
      <c r="F44" s="107"/>
      <c r="G44" s="125" t="str">
        <f>VLOOKUP($B44,'Product-Requirement'!$B:$M,8,FALSE)</f>
        <v>PROTECT</v>
      </c>
      <c r="H44" s="125" t="str">
        <f>VLOOKUP($B44,'Product-Requirement'!$B:$M,9,FALSE)</f>
        <v>Identity_Management_Authentication_and_Access_Control</v>
      </c>
      <c r="I44" s="125" t="str">
        <f>VLOOKUP($B44,'Product-Requirement'!$B:$M,10,FALSE)</f>
        <v>PR.AC-7: Users, devices, and other assets are authenticated (e.g., single-factor, multi-factor) commensurate with the risk of the transaction (e.g., individuals’ security and privacy risks and other organizational risks)</v>
      </c>
      <c r="J44" s="125" t="str">
        <f>VLOOKUP($B44,'Product-Requirement'!$B:$M,11,FALSE)</f>
        <v>System_Design</v>
      </c>
      <c r="K44" s="125" t="str">
        <f>VLOOKUP($B44,'Product-Requirement'!$B:$M,12,FALSE)</f>
        <v>Manufacturer</v>
      </c>
      <c r="L44" s="125" t="s">
        <v>5965</v>
      </c>
      <c r="M44" s="185"/>
      <c r="N44" s="185"/>
      <c r="O44" s="185" t="s">
        <v>6194</v>
      </c>
      <c r="P44" s="185" t="s">
        <v>6195</v>
      </c>
      <c r="Q44" s="185"/>
      <c r="R44" s="185"/>
      <c r="S44" s="185"/>
      <c r="T44" s="185" t="s">
        <v>6044</v>
      </c>
      <c r="U44" s="187" t="s">
        <v>378</v>
      </c>
      <c r="V44" s="187" t="s">
        <v>378</v>
      </c>
      <c r="W44" s="187" t="s">
        <v>378</v>
      </c>
      <c r="X44" s="187" t="s">
        <v>378</v>
      </c>
      <c r="Y44" s="187" t="s">
        <v>378</v>
      </c>
      <c r="Z44" s="187" t="s">
        <v>378</v>
      </c>
      <c r="AA44" s="187" t="s">
        <v>378</v>
      </c>
      <c r="AB44" s="187" t="s">
        <v>378</v>
      </c>
      <c r="AC44" s="187" t="s">
        <v>378</v>
      </c>
      <c r="AD44" s="187" t="s">
        <v>378</v>
      </c>
    </row>
    <row r="45" spans="1:30" s="167" customFormat="1" ht="76.5">
      <c r="A45" s="181">
        <v>43</v>
      </c>
      <c r="B45" s="169" t="s">
        <v>4593</v>
      </c>
      <c r="C45" s="166" t="s">
        <v>6196</v>
      </c>
      <c r="D45" s="166" t="s">
        <v>6197</v>
      </c>
      <c r="E45" s="166"/>
      <c r="F45" s="113"/>
      <c r="G45" s="125" t="str">
        <f>VLOOKUP($B45,'Product-Requirement'!$B:$M,8,FALSE)</f>
        <v>PROTECT</v>
      </c>
      <c r="H45" s="125" t="str">
        <f>VLOOKUP($B45,'Product-Requirement'!$B:$M,9,FALSE)</f>
        <v>Identity_Management_Authentication_and_Access_Control</v>
      </c>
      <c r="I45" s="125" t="str">
        <f>VLOOKUP($B45,'Product-Requirement'!$B:$M,10,FALSE)</f>
        <v>PR.AC-7: Users, devices, and other assets are authenticated (e.g., single-factor, multi-factor) commensurate with the risk of the transaction (e.g., individuals’ security and privacy risks and other organizational risks)</v>
      </c>
      <c r="J45" s="125" t="str">
        <f>VLOOKUP($B45,'Product-Requirement'!$B:$M,11,FALSE)</f>
        <v>Wireless</v>
      </c>
      <c r="K45" s="125" t="str">
        <f>VLOOKUP($B45,'Product-Requirement'!$B:$M,12,FALSE)</f>
        <v>Manufacturer</v>
      </c>
      <c r="L45" s="125" t="s">
        <v>5965</v>
      </c>
      <c r="M45" s="185"/>
      <c r="N45" s="185"/>
      <c r="O45" s="185"/>
      <c r="P45" s="185" t="s">
        <v>6198</v>
      </c>
      <c r="Q45" s="185"/>
      <c r="R45" s="185"/>
      <c r="S45" s="185"/>
      <c r="T45" s="185"/>
      <c r="U45" s="188" t="s">
        <v>379</v>
      </c>
      <c r="V45" s="188" t="s">
        <v>379</v>
      </c>
      <c r="W45" s="188" t="s">
        <v>379</v>
      </c>
      <c r="X45" s="188" t="s">
        <v>379</v>
      </c>
      <c r="Y45" s="188" t="s">
        <v>379</v>
      </c>
      <c r="Z45" s="188" t="s">
        <v>379</v>
      </c>
      <c r="AA45" s="188" t="s">
        <v>379</v>
      </c>
      <c r="AB45" s="188" t="s">
        <v>379</v>
      </c>
      <c r="AC45" s="188" t="s">
        <v>379</v>
      </c>
      <c r="AD45" s="188" t="s">
        <v>379</v>
      </c>
    </row>
    <row r="46" spans="1:30" s="167" customFormat="1" ht="76.5">
      <c r="A46" s="182">
        <v>44</v>
      </c>
      <c r="B46" s="169" t="s">
        <v>660</v>
      </c>
      <c r="C46" s="166" t="s">
        <v>6199</v>
      </c>
      <c r="D46" s="166" t="s">
        <v>6200</v>
      </c>
      <c r="E46" s="166"/>
      <c r="F46" s="107"/>
      <c r="G46" s="125" t="str">
        <f>VLOOKUP($B46,'Product-Requirement'!$B:$M,8,FALSE)</f>
        <v>PROTECT</v>
      </c>
      <c r="H46" s="125" t="str">
        <f>VLOOKUP($B46,'Product-Requirement'!$B:$M,9,FALSE)</f>
        <v>Identity_Management_Authentication_and_Access_Control</v>
      </c>
      <c r="I46" s="125" t="str">
        <f>VLOOKUP($B46,'Product-Requirement'!$B:$M,10,FALSE)</f>
        <v>PR.AC-7: Users, devices, and other assets are authenticated (e.g., single-factor, multi-factor) commensurate with the risk of the transaction (e.g., individuals’ security and privacy risks and other organizational risks)</v>
      </c>
      <c r="J46" s="125" t="str">
        <f>VLOOKUP($B46,'Product-Requirement'!$B:$M,11,FALSE)</f>
        <v>System_Design</v>
      </c>
      <c r="K46" s="125" t="str">
        <f>VLOOKUP($B46,'Product-Requirement'!$B:$M,12,FALSE)</f>
        <v>Manufacturer</v>
      </c>
      <c r="L46" s="125" t="s">
        <v>5965</v>
      </c>
      <c r="M46" s="185"/>
      <c r="N46" s="185"/>
      <c r="O46" s="185" t="s">
        <v>6201</v>
      </c>
      <c r="P46" s="185" t="s">
        <v>6202</v>
      </c>
      <c r="Q46" s="185"/>
      <c r="R46" s="185"/>
      <c r="S46" s="185"/>
      <c r="T46" s="185"/>
      <c r="U46" s="187" t="s">
        <v>378</v>
      </c>
      <c r="V46" s="187" t="s">
        <v>378</v>
      </c>
      <c r="W46" s="187" t="s">
        <v>378</v>
      </c>
      <c r="X46" s="187" t="s">
        <v>378</v>
      </c>
      <c r="Y46" s="187" t="s">
        <v>378</v>
      </c>
      <c r="Z46" s="187" t="s">
        <v>378</v>
      </c>
      <c r="AA46" s="187" t="s">
        <v>378</v>
      </c>
      <c r="AB46" s="187" t="s">
        <v>378</v>
      </c>
      <c r="AC46" s="187" t="s">
        <v>378</v>
      </c>
      <c r="AD46" s="187" t="s">
        <v>378</v>
      </c>
    </row>
    <row r="47" spans="1:30" s="167" customFormat="1" ht="76.5">
      <c r="A47" s="181">
        <v>45</v>
      </c>
      <c r="B47" s="169" t="s">
        <v>5320</v>
      </c>
      <c r="C47" s="166" t="s">
        <v>6203</v>
      </c>
      <c r="D47" s="166" t="s">
        <v>6204</v>
      </c>
      <c r="E47" s="166"/>
      <c r="F47" s="84" t="s">
        <v>6205</v>
      </c>
      <c r="G47" s="125" t="str">
        <f>VLOOKUP($B47,'Product-Requirement'!$B:$M,8,FALSE)</f>
        <v>PROTECT</v>
      </c>
      <c r="H47" s="125" t="str">
        <f>VLOOKUP($B47,'Product-Requirement'!$B:$M,9,FALSE)</f>
        <v>Identity_Management_Authentication_and_Access_Control</v>
      </c>
      <c r="I47" s="125" t="str">
        <f>VLOOKUP($B47,'Product-Requirement'!$B:$M,10,FALSE)</f>
        <v>PR.AC-7: Users, devices, and other assets are authenticated (e.g., single-factor, multi-factor) commensurate with the risk of the transaction (e.g., individuals’ security and privacy risks and other organizational risks)</v>
      </c>
      <c r="J47" s="125" t="str">
        <f>VLOOKUP($B47,'Product-Requirement'!$B:$M,11,FALSE)</f>
        <v>System_Design</v>
      </c>
      <c r="K47" s="125" t="str">
        <f>VLOOKUP($B47,'Product-Requirement'!$B:$M,12,FALSE)</f>
        <v>Manufacturer</v>
      </c>
      <c r="L47" s="125" t="s">
        <v>5965</v>
      </c>
      <c r="M47" s="185"/>
      <c r="N47" s="185"/>
      <c r="O47" s="185"/>
      <c r="P47" s="185" t="s">
        <v>6206</v>
      </c>
      <c r="Q47" s="185"/>
      <c r="R47" s="185"/>
      <c r="S47" s="185"/>
      <c r="T47" s="185"/>
      <c r="U47" s="188" t="s">
        <v>379</v>
      </c>
      <c r="V47" s="188" t="s">
        <v>379</v>
      </c>
      <c r="W47" s="188" t="s">
        <v>379</v>
      </c>
      <c r="X47" s="188" t="s">
        <v>379</v>
      </c>
      <c r="Y47" s="188" t="s">
        <v>379</v>
      </c>
      <c r="Z47" s="188" t="s">
        <v>379</v>
      </c>
      <c r="AA47" s="188" t="s">
        <v>379</v>
      </c>
      <c r="AB47" s="188" t="s">
        <v>379</v>
      </c>
      <c r="AC47" s="188" t="s">
        <v>379</v>
      </c>
      <c r="AD47" s="188" t="s">
        <v>379</v>
      </c>
    </row>
    <row r="48" spans="1:30" s="167" customFormat="1" ht="76.5">
      <c r="A48" s="182">
        <v>46</v>
      </c>
      <c r="B48" s="169" t="s">
        <v>5591</v>
      </c>
      <c r="C48" s="166" t="s">
        <v>6207</v>
      </c>
      <c r="D48" s="166" t="s">
        <v>6208</v>
      </c>
      <c r="E48" s="166"/>
      <c r="F48" s="107"/>
      <c r="G48" s="125" t="str">
        <f>VLOOKUP($B48,'Product-Requirement'!$B:$M,8,FALSE)</f>
        <v>PROTECT</v>
      </c>
      <c r="H48" s="125" t="str">
        <f>VLOOKUP($B48,'Product-Requirement'!$B:$M,9,FALSE)</f>
        <v>Identity_Management_Authentication_and_Access_Control</v>
      </c>
      <c r="I48" s="125" t="str">
        <f>VLOOKUP($B48,'Product-Requirement'!$B:$M,10,FALSE)</f>
        <v>PR.AC-7: Users, devices, and other assets are authenticated (e.g., single-factor, multi-factor) commensurate with the risk of the transaction (e.g., individuals’ security and privacy risks and other organizational risks)</v>
      </c>
      <c r="J48" s="125" t="str">
        <f>VLOOKUP($B48,'Product-Requirement'!$B:$M,11,FALSE)</f>
        <v>System_Design</v>
      </c>
      <c r="K48" s="125" t="str">
        <f>VLOOKUP($B48,'Product-Requirement'!$B:$M,12,FALSE)</f>
        <v>Manufacturer</v>
      </c>
      <c r="L48" s="125" t="s">
        <v>5965</v>
      </c>
      <c r="M48" s="185"/>
      <c r="N48" s="185"/>
      <c r="O48" s="185"/>
      <c r="P48" s="185" t="s">
        <v>6209</v>
      </c>
      <c r="Q48" s="185" t="s">
        <v>6210</v>
      </c>
      <c r="R48" s="185"/>
      <c r="S48" s="185"/>
      <c r="T48" s="185"/>
      <c r="U48" s="187" t="s">
        <v>378</v>
      </c>
      <c r="V48" s="187" t="s">
        <v>378</v>
      </c>
      <c r="W48" s="187" t="s">
        <v>378</v>
      </c>
      <c r="X48" s="187" t="s">
        <v>378</v>
      </c>
      <c r="Y48" s="187" t="s">
        <v>378</v>
      </c>
      <c r="Z48" s="187" t="s">
        <v>378</v>
      </c>
      <c r="AA48" s="187" t="s">
        <v>378</v>
      </c>
      <c r="AB48" s="187" t="s">
        <v>378</v>
      </c>
      <c r="AC48" s="187" t="s">
        <v>378</v>
      </c>
      <c r="AD48" s="187" t="s">
        <v>378</v>
      </c>
    </row>
    <row r="49" spans="1:30" s="167" customFormat="1" ht="76.5">
      <c r="A49" s="181">
        <v>47</v>
      </c>
      <c r="B49" s="169" t="s">
        <v>3785</v>
      </c>
      <c r="C49" s="166" t="s">
        <v>6211</v>
      </c>
      <c r="D49" s="166" t="s">
        <v>6212</v>
      </c>
      <c r="E49" s="166"/>
      <c r="F49" s="107"/>
      <c r="G49" s="125" t="str">
        <f>VLOOKUP($B49,'Product-Requirement'!$B:$M,8,FALSE)</f>
        <v>PROTECT</v>
      </c>
      <c r="H49" s="125" t="str">
        <f>VLOOKUP($B49,'Product-Requirement'!$B:$M,9,FALSE)</f>
        <v>Identity_Management_Authentication_and_Access_Control</v>
      </c>
      <c r="I49" s="125" t="str">
        <f>VLOOKUP($B49,'Product-Requirement'!$B:$M,10,FALSE)</f>
        <v>PR.AC-7: Users, devices, and other assets are authenticated (e.g., single-factor, multi-factor) commensurate with the risk of the transaction (e.g., individuals’ security and privacy risks and other organizational risks)</v>
      </c>
      <c r="J49" s="125" t="str">
        <f>VLOOKUP($B49,'Product-Requirement'!$B:$M,11,FALSE)</f>
        <v>System_Design</v>
      </c>
      <c r="K49" s="125" t="str">
        <f>VLOOKUP($B49,'Product-Requirement'!$B:$M,12,FALSE)</f>
        <v>Manufacturer</v>
      </c>
      <c r="L49" s="125" t="s">
        <v>5965</v>
      </c>
      <c r="M49" s="185"/>
      <c r="N49" s="185"/>
      <c r="O49" s="185" t="s">
        <v>6201</v>
      </c>
      <c r="P49" s="185" t="s">
        <v>6213</v>
      </c>
      <c r="Q49" s="185"/>
      <c r="R49" s="185"/>
      <c r="S49" s="185"/>
      <c r="T49" s="185"/>
      <c r="U49" s="187" t="s">
        <v>378</v>
      </c>
      <c r="V49" s="187" t="s">
        <v>378</v>
      </c>
      <c r="W49" s="187" t="s">
        <v>378</v>
      </c>
      <c r="X49" s="187" t="s">
        <v>378</v>
      </c>
      <c r="Y49" s="187" t="s">
        <v>378</v>
      </c>
      <c r="Z49" s="187" t="s">
        <v>378</v>
      </c>
      <c r="AA49" s="187" t="s">
        <v>378</v>
      </c>
      <c r="AB49" s="187" t="s">
        <v>378</v>
      </c>
      <c r="AC49" s="187" t="s">
        <v>378</v>
      </c>
      <c r="AD49" s="187" t="s">
        <v>378</v>
      </c>
    </row>
    <row r="50" spans="1:30" s="167" customFormat="1" ht="165.75">
      <c r="A50" s="182">
        <v>48</v>
      </c>
      <c r="B50" s="169" t="s">
        <v>684</v>
      </c>
      <c r="C50" s="166" t="s">
        <v>6214</v>
      </c>
      <c r="D50" s="165" t="s">
        <v>6215</v>
      </c>
      <c r="E50" s="166"/>
      <c r="F50" s="107"/>
      <c r="G50" s="125" t="str">
        <f>VLOOKUP($B50,'Product-Requirement'!$B:$M,8,FALSE)</f>
        <v>PROTECT</v>
      </c>
      <c r="H50" s="125" t="str">
        <f>VLOOKUP($B50,'Product-Requirement'!$B:$M,9,FALSE)</f>
        <v>Identity_Management_Authentication_and_Access_Control</v>
      </c>
      <c r="I50" s="125" t="str">
        <f>VLOOKUP($B50,'Product-Requirement'!$B:$M,10,FALSE)</f>
        <v>PR.AC-7: Users, devices, and other assets are authenticated (e.g., single-factor, multi-factor) commensurate with the risk of the transaction (e.g., individuals’ security and privacy risks and other organizational risks)</v>
      </c>
      <c r="J50" s="125" t="str">
        <f>VLOOKUP($B50,'Product-Requirement'!$B:$M,11,FALSE)</f>
        <v>System_Design</v>
      </c>
      <c r="K50" s="125" t="str">
        <f>VLOOKUP($B50,'Product-Requirement'!$B:$M,12,FALSE)</f>
        <v>Manufacturer</v>
      </c>
      <c r="L50" s="125" t="s">
        <v>5965</v>
      </c>
      <c r="M50" s="185"/>
      <c r="N50" s="185" t="s">
        <v>6216</v>
      </c>
      <c r="O50" s="185" t="s">
        <v>6217</v>
      </c>
      <c r="P50" s="185" t="s">
        <v>6218</v>
      </c>
      <c r="Q50" s="185"/>
      <c r="R50" s="185" t="s">
        <v>5993</v>
      </c>
      <c r="S50" s="185"/>
      <c r="T50" s="185" t="s">
        <v>6219</v>
      </c>
      <c r="U50" s="187" t="s">
        <v>378</v>
      </c>
      <c r="V50" s="187" t="s">
        <v>378</v>
      </c>
      <c r="W50" s="187" t="s">
        <v>378</v>
      </c>
      <c r="X50" s="188" t="s">
        <v>379</v>
      </c>
      <c r="Y50" s="188" t="s">
        <v>379</v>
      </c>
      <c r="Z50" s="188" t="s">
        <v>379</v>
      </c>
      <c r="AA50" s="187" t="s">
        <v>378</v>
      </c>
      <c r="AB50" s="187" t="s">
        <v>378</v>
      </c>
      <c r="AC50" s="187" t="s">
        <v>378</v>
      </c>
      <c r="AD50" s="187" t="s">
        <v>378</v>
      </c>
    </row>
    <row r="51" spans="1:30" s="167" customFormat="1" ht="89.25">
      <c r="A51" s="181">
        <v>49</v>
      </c>
      <c r="B51" s="169" t="s">
        <v>690</v>
      </c>
      <c r="C51" s="166" t="s">
        <v>6220</v>
      </c>
      <c r="D51" s="165" t="s">
        <v>6221</v>
      </c>
      <c r="E51" s="165" t="s">
        <v>6222</v>
      </c>
      <c r="F51" s="107"/>
      <c r="G51" s="125" t="str">
        <f>VLOOKUP($B51,'Product-Requirement'!$B:$M,8,FALSE)</f>
        <v>PROTECT</v>
      </c>
      <c r="H51" s="125" t="str">
        <f>VLOOKUP($B51,'Product-Requirement'!$B:$M,9,FALSE)</f>
        <v>Identity_Management_Authentication_and_Access_Control</v>
      </c>
      <c r="I51" s="125" t="str">
        <f>VLOOKUP($B51,'Product-Requirement'!$B:$M,10,FALSE)</f>
        <v>PR.AC-7: Users, devices, and other assets are authenticated (e.g., single-factor, multi-factor) commensurate with the risk of the transaction (e.g., individuals’ security and privacy risks and other organizational risks)</v>
      </c>
      <c r="J51" s="125" t="str">
        <f>VLOOKUP($B51,'Product-Requirement'!$B:$M,11,FALSE)</f>
        <v>System_Design</v>
      </c>
      <c r="K51" s="125" t="str">
        <f>VLOOKUP($B51,'Product-Requirement'!$B:$M,12,FALSE)</f>
        <v>Manufacturer</v>
      </c>
      <c r="L51" s="125" t="s">
        <v>5965</v>
      </c>
      <c r="M51" s="185"/>
      <c r="N51" s="185"/>
      <c r="O51" s="185" t="s">
        <v>6223</v>
      </c>
      <c r="P51" s="185" t="s">
        <v>6224</v>
      </c>
      <c r="Q51" s="185"/>
      <c r="R51" s="185"/>
      <c r="S51" s="185" t="s">
        <v>6110</v>
      </c>
      <c r="T51" s="185"/>
      <c r="U51" s="187" t="s">
        <v>378</v>
      </c>
      <c r="V51" s="187" t="s">
        <v>378</v>
      </c>
      <c r="W51" s="187" t="s">
        <v>378</v>
      </c>
      <c r="X51" s="187" t="s">
        <v>378</v>
      </c>
      <c r="Y51" s="187" t="s">
        <v>378</v>
      </c>
      <c r="Z51" s="187" t="s">
        <v>378</v>
      </c>
      <c r="AA51" s="187" t="s">
        <v>378</v>
      </c>
      <c r="AB51" s="187" t="s">
        <v>378</v>
      </c>
      <c r="AC51" s="187" t="s">
        <v>378</v>
      </c>
      <c r="AD51" s="187" t="s">
        <v>378</v>
      </c>
    </row>
    <row r="52" spans="1:30" s="167" customFormat="1" ht="229.5">
      <c r="A52" s="182">
        <v>50</v>
      </c>
      <c r="B52" s="169" t="s">
        <v>707</v>
      </c>
      <c r="C52" s="166" t="s">
        <v>6225</v>
      </c>
      <c r="D52" s="165" t="s">
        <v>6226</v>
      </c>
      <c r="E52" s="165" t="s">
        <v>6227</v>
      </c>
      <c r="F52" s="113" t="s">
        <v>6228</v>
      </c>
      <c r="G52" s="125" t="str">
        <f>VLOOKUP($B52,'Product-Requirement'!$B:$M,8,FALSE)</f>
        <v>PROTECT</v>
      </c>
      <c r="H52" s="125" t="str">
        <f>VLOOKUP($B52,'Product-Requirement'!$B:$M,9,FALSE)</f>
        <v>Identity_Management_Authentication_and_Access_Control</v>
      </c>
      <c r="I52" s="125" t="str">
        <f>VLOOKUP($B52,'Product-Requirement'!$B:$M,10,FALSE)</f>
        <v>PR.AC-7: Users, devices, and other assets are authenticated (e.g., single-factor, multi-factor) commensurate with the risk of the transaction (e.g., individuals’ security and privacy risks and other organizational risks)</v>
      </c>
      <c r="J52" s="125" t="str">
        <f>VLOOKUP($B52,'Product-Requirement'!$B:$M,11,FALSE)</f>
        <v>System_Design</v>
      </c>
      <c r="K52" s="125" t="str">
        <f>VLOOKUP($B52,'Product-Requirement'!$B:$M,12,FALSE)</f>
        <v>Manufacturer</v>
      </c>
      <c r="L52" s="125" t="s">
        <v>5965</v>
      </c>
      <c r="M52" s="185"/>
      <c r="N52" s="185" t="s">
        <v>6229</v>
      </c>
      <c r="O52" s="185" t="s">
        <v>6230</v>
      </c>
      <c r="P52" s="185" t="s">
        <v>6231</v>
      </c>
      <c r="Q52" s="185" t="s">
        <v>6232</v>
      </c>
      <c r="R52" s="185"/>
      <c r="S52" s="185"/>
      <c r="T52" s="185" t="s">
        <v>6233</v>
      </c>
      <c r="U52" s="187" t="s">
        <v>378</v>
      </c>
      <c r="V52" s="187" t="s">
        <v>378</v>
      </c>
      <c r="W52" s="187" t="s">
        <v>378</v>
      </c>
      <c r="X52" s="187" t="s">
        <v>378</v>
      </c>
      <c r="Y52" s="187" t="s">
        <v>378</v>
      </c>
      <c r="Z52" s="187" t="s">
        <v>378</v>
      </c>
      <c r="AA52" s="187" t="s">
        <v>378</v>
      </c>
      <c r="AB52" s="187" t="s">
        <v>378</v>
      </c>
      <c r="AC52" s="187" t="s">
        <v>378</v>
      </c>
      <c r="AD52" s="187" t="s">
        <v>378</v>
      </c>
    </row>
    <row r="53" spans="1:30" s="167" customFormat="1" ht="38.25">
      <c r="A53" s="181">
        <v>51</v>
      </c>
      <c r="B53" s="169" t="s">
        <v>5474</v>
      </c>
      <c r="C53" s="166" t="s">
        <v>6234</v>
      </c>
      <c r="D53" s="165" t="s">
        <v>6235</v>
      </c>
      <c r="E53" s="165"/>
      <c r="F53" s="107"/>
      <c r="G53" s="125" t="str">
        <f>VLOOKUP($B53,'Product-Requirement'!$B:$M,8,FALSE)</f>
        <v>PROTECT</v>
      </c>
      <c r="H53" s="125" t="str">
        <f>VLOOKUP($B53,'Product-Requirement'!$B:$M,9,FALSE)</f>
        <v>Identity_Management_Authentication_and_Access_Control</v>
      </c>
      <c r="I53" s="125" t="str">
        <f>VLOOKUP($B53,'Product-Requirement'!$B:$M,10,FALSE)</f>
        <v>PR.AC-6: Identities are proofed and bound to credentials and asserted in interactions</v>
      </c>
      <c r="J53" s="125" t="str">
        <f>VLOOKUP($B53,'Product-Requirement'!$B:$M,11,FALSE)</f>
        <v>System_Design</v>
      </c>
      <c r="K53" s="125" t="str">
        <f>VLOOKUP($B53,'Product-Requirement'!$B:$M,12,FALSE)</f>
        <v>Manufacturer</v>
      </c>
      <c r="L53" s="125" t="s">
        <v>5965</v>
      </c>
      <c r="M53" s="185"/>
      <c r="N53" s="185"/>
      <c r="O53" s="185"/>
      <c r="P53" s="185" t="s">
        <v>6236</v>
      </c>
      <c r="Q53" s="185"/>
      <c r="R53" s="185"/>
      <c r="S53" s="185"/>
      <c r="T53" s="185"/>
      <c r="U53" s="188" t="s">
        <v>379</v>
      </c>
      <c r="V53" s="188" t="s">
        <v>379</v>
      </c>
      <c r="W53" s="188" t="s">
        <v>379</v>
      </c>
      <c r="X53" s="188" t="s">
        <v>379</v>
      </c>
      <c r="Y53" s="188" t="s">
        <v>379</v>
      </c>
      <c r="Z53" s="188" t="s">
        <v>379</v>
      </c>
      <c r="AA53" s="188" t="s">
        <v>379</v>
      </c>
      <c r="AB53" s="188" t="s">
        <v>379</v>
      </c>
      <c r="AC53" s="188" t="s">
        <v>379</v>
      </c>
      <c r="AD53" s="188" t="s">
        <v>379</v>
      </c>
    </row>
    <row r="54" spans="1:30" s="167" customFormat="1" ht="76.5">
      <c r="A54" s="182">
        <v>52</v>
      </c>
      <c r="B54" s="169" t="s">
        <v>5459</v>
      </c>
      <c r="C54" s="166" t="s">
        <v>6237</v>
      </c>
      <c r="D54" s="165" t="s">
        <v>6238</v>
      </c>
      <c r="E54" s="165"/>
      <c r="F54" s="107"/>
      <c r="G54" s="125" t="str">
        <f>VLOOKUP($B54,'Product-Requirement'!$B:$M,8,FALSE)</f>
        <v>PROTECT</v>
      </c>
      <c r="H54" s="125" t="str">
        <f>VLOOKUP($B54,'Product-Requirement'!$B:$M,9,FALSE)</f>
        <v>Identity_Management_Authentication_and_Access_Control</v>
      </c>
      <c r="I54" s="125" t="str">
        <f>VLOOKUP($B54,'Product-Requirement'!$B:$M,10,FALSE)</f>
        <v>PR.AC-7: Users, devices, and other assets are authenticated (e.g., single-factor, multi-factor) commensurate with the risk of the transaction (e.g., individuals’ security and privacy risks and other organizational risks)</v>
      </c>
      <c r="J54" s="125" t="str">
        <f>VLOOKUP($B54,'Product-Requirement'!$B:$M,11,FALSE)</f>
        <v>System_Design</v>
      </c>
      <c r="K54" s="125" t="str">
        <f>VLOOKUP($B54,'Product-Requirement'!$B:$M,12,FALSE)</f>
        <v>Manufacturer</v>
      </c>
      <c r="L54" s="125" t="s">
        <v>5965</v>
      </c>
      <c r="M54" s="185"/>
      <c r="N54" s="185"/>
      <c r="O54" s="185"/>
      <c r="P54" s="185" t="s">
        <v>6239</v>
      </c>
      <c r="Q54" s="185"/>
      <c r="R54" s="185"/>
      <c r="S54" s="185"/>
      <c r="T54" s="185"/>
      <c r="U54" s="188" t="s">
        <v>379</v>
      </c>
      <c r="V54" s="188" t="s">
        <v>379</v>
      </c>
      <c r="W54" s="188" t="s">
        <v>379</v>
      </c>
      <c r="X54" s="188" t="s">
        <v>379</v>
      </c>
      <c r="Y54" s="188" t="s">
        <v>379</v>
      </c>
      <c r="Z54" s="188" t="s">
        <v>379</v>
      </c>
      <c r="AA54" s="188" t="s">
        <v>379</v>
      </c>
      <c r="AB54" s="188" t="s">
        <v>379</v>
      </c>
      <c r="AC54" s="188" t="s">
        <v>379</v>
      </c>
      <c r="AD54" s="188" t="s">
        <v>379</v>
      </c>
    </row>
    <row r="55" spans="1:30" s="167" customFormat="1" ht="280.5">
      <c r="A55" s="181">
        <v>53</v>
      </c>
      <c r="B55" s="169" t="s">
        <v>608</v>
      </c>
      <c r="C55" s="166" t="s">
        <v>6240</v>
      </c>
      <c r="D55" s="165" t="s">
        <v>6241</v>
      </c>
      <c r="E55" s="165" t="s">
        <v>6242</v>
      </c>
      <c r="F55" s="113" t="s">
        <v>6243</v>
      </c>
      <c r="G55" s="125" t="str">
        <f>VLOOKUP($B55,'Product-Requirement'!$B:$M,8,FALSE)</f>
        <v>PROTECT</v>
      </c>
      <c r="H55" s="125" t="str">
        <f>VLOOKUP($B55,'Product-Requirement'!$B:$M,9,FALSE)</f>
        <v>Identity_Management_Authentication_and_Access_Control</v>
      </c>
      <c r="I55" s="125" t="str">
        <f>VLOOKUP($B55,'Product-Requirement'!$B:$M,10,FALSE)</f>
        <v>PR.AC-7: Users, devices, and other assets are authenticated (e.g., single-factor, multi-factor) commensurate with the risk of the transaction (e.g., individuals’ security and privacy risks and other organizational risks)</v>
      </c>
      <c r="J55" s="125" t="str">
        <f>VLOOKUP($B55,'Product-Requirement'!$B:$M,11,FALSE)</f>
        <v>System_Design</v>
      </c>
      <c r="K55" s="125" t="str">
        <f>VLOOKUP($B55,'Product-Requirement'!$B:$M,12,FALSE)</f>
        <v>Manufacturer</v>
      </c>
      <c r="L55" s="125" t="s">
        <v>5965</v>
      </c>
      <c r="M55" s="185"/>
      <c r="N55" s="185" t="s">
        <v>6244</v>
      </c>
      <c r="O55" s="185" t="s">
        <v>6245</v>
      </c>
      <c r="P55" s="185" t="s">
        <v>6246</v>
      </c>
      <c r="Q55" s="185"/>
      <c r="R55" s="185"/>
      <c r="S55" s="185" t="s">
        <v>6110</v>
      </c>
      <c r="T55" s="185" t="s">
        <v>6247</v>
      </c>
      <c r="U55" s="187" t="s">
        <v>378</v>
      </c>
      <c r="V55" s="187" t="s">
        <v>378</v>
      </c>
      <c r="W55" s="187" t="s">
        <v>378</v>
      </c>
      <c r="X55" s="187" t="s">
        <v>378</v>
      </c>
      <c r="Y55" s="187" t="s">
        <v>378</v>
      </c>
      <c r="Z55" s="187" t="s">
        <v>378</v>
      </c>
      <c r="AA55" s="187" t="s">
        <v>378</v>
      </c>
      <c r="AB55" s="187" t="s">
        <v>378</v>
      </c>
      <c r="AC55" s="187" t="s">
        <v>378</v>
      </c>
      <c r="AD55" s="187" t="s">
        <v>378</v>
      </c>
    </row>
    <row r="56" spans="1:30" s="167" customFormat="1" ht="114.75">
      <c r="A56" s="182">
        <v>54</v>
      </c>
      <c r="B56" s="169" t="s">
        <v>1299</v>
      </c>
      <c r="C56" s="166" t="s">
        <v>6248</v>
      </c>
      <c r="D56" s="165" t="s">
        <v>6249</v>
      </c>
      <c r="E56" s="165" t="s">
        <v>6250</v>
      </c>
      <c r="F56" s="170"/>
      <c r="G56" s="125" t="str">
        <f>VLOOKUP($B56,'Product-Requirement'!$B:$M,8,FALSE)</f>
        <v>PROTECT</v>
      </c>
      <c r="H56" s="125" t="str">
        <f>VLOOKUP($B56,'Product-Requirement'!$B:$M,9,FALSE)</f>
        <v>Identity_Management_Authentication_and_Access_Control</v>
      </c>
      <c r="I56" s="125" t="str">
        <f>VLOOKUP($B56,'Product-Requirement'!$B:$M,10,FALSE)</f>
        <v>PR.AC-7: Users, devices, and other assets are authenticated (e.g., single-factor, multi-factor) commensurate with the risk of the transaction (e.g., individuals’ security and privacy risks and other organizational risks)</v>
      </c>
      <c r="J56" s="125" t="str">
        <f>VLOOKUP($B56,'Product-Requirement'!$B:$M,11,FALSE)</f>
        <v>System_Design</v>
      </c>
      <c r="K56" s="125" t="str">
        <f>VLOOKUP($B56,'Product-Requirement'!$B:$M,12,FALSE)</f>
        <v>Manufacturer</v>
      </c>
      <c r="L56" s="125" t="s">
        <v>5965</v>
      </c>
      <c r="M56" s="185"/>
      <c r="N56" s="185" t="s">
        <v>6251</v>
      </c>
      <c r="O56" s="185" t="s">
        <v>6252</v>
      </c>
      <c r="P56" s="185" t="s">
        <v>6253</v>
      </c>
      <c r="Q56" s="185" t="s">
        <v>6254</v>
      </c>
      <c r="R56" s="185"/>
      <c r="S56" s="185"/>
      <c r="T56" s="185" t="s">
        <v>6255</v>
      </c>
      <c r="U56" s="187" t="s">
        <v>378</v>
      </c>
      <c r="V56" s="187" t="s">
        <v>378</v>
      </c>
      <c r="W56" s="187" t="s">
        <v>378</v>
      </c>
      <c r="X56" s="187" t="s">
        <v>378</v>
      </c>
      <c r="Y56" s="187" t="s">
        <v>378</v>
      </c>
      <c r="Z56" s="187" t="s">
        <v>378</v>
      </c>
      <c r="AA56" s="187" t="s">
        <v>378</v>
      </c>
      <c r="AB56" s="187" t="s">
        <v>378</v>
      </c>
      <c r="AC56" s="187" t="s">
        <v>378</v>
      </c>
      <c r="AD56" s="187" t="s">
        <v>378</v>
      </c>
    </row>
    <row r="57" spans="1:30" s="167" customFormat="1" ht="76.5">
      <c r="A57" s="181">
        <v>55</v>
      </c>
      <c r="B57" s="169" t="s">
        <v>1272</v>
      </c>
      <c r="C57" s="166" t="s">
        <v>6256</v>
      </c>
      <c r="D57" s="165" t="s">
        <v>6257</v>
      </c>
      <c r="E57" s="165"/>
      <c r="F57" s="113" t="s">
        <v>6258</v>
      </c>
      <c r="G57" s="125" t="str">
        <f>VLOOKUP($B57,'Product-Requirement'!$B:$M,8,FALSE)</f>
        <v>PROTECT</v>
      </c>
      <c r="H57" s="125" t="str">
        <f>VLOOKUP($B57,'Product-Requirement'!$B:$M,9,FALSE)</f>
        <v>Identity_Management_Authentication_and_Access_Control</v>
      </c>
      <c r="I57" s="125" t="str">
        <f>VLOOKUP($B57,'Product-Requirement'!$B:$M,10,FALSE)</f>
        <v>PR.AC-7: Users, devices, and other assets are authenticated (e.g., single-factor, multi-factor) commensurate with the risk of the transaction (e.g., individuals’ security and privacy risks and other organizational risks)</v>
      </c>
      <c r="J57" s="125" t="str">
        <f>VLOOKUP($B57,'Product-Requirement'!$B:$M,11,FALSE)</f>
        <v>System_Design</v>
      </c>
      <c r="K57" s="125" t="str">
        <f>VLOOKUP($B57,'Product-Requirement'!$B:$M,12,FALSE)</f>
        <v>Manufacturer</v>
      </c>
      <c r="L57" s="125" t="s">
        <v>5965</v>
      </c>
      <c r="M57" s="185"/>
      <c r="N57" s="185"/>
      <c r="O57" s="185"/>
      <c r="P57" s="185" t="s">
        <v>6259</v>
      </c>
      <c r="Q57" s="185"/>
      <c r="R57" s="185"/>
      <c r="S57" s="185"/>
      <c r="T57" s="185" t="s">
        <v>6260</v>
      </c>
      <c r="U57" s="187" t="s">
        <v>378</v>
      </c>
      <c r="V57" s="187" t="s">
        <v>378</v>
      </c>
      <c r="W57" s="187" t="s">
        <v>378</v>
      </c>
      <c r="X57" s="188" t="s">
        <v>379</v>
      </c>
      <c r="Y57" s="188" t="s">
        <v>379</v>
      </c>
      <c r="Z57" s="187" t="s">
        <v>378</v>
      </c>
      <c r="AA57" s="188" t="s">
        <v>379</v>
      </c>
      <c r="AB57" s="187" t="s">
        <v>378</v>
      </c>
      <c r="AC57" s="188" t="s">
        <v>379</v>
      </c>
      <c r="AD57" s="188" t="s">
        <v>379</v>
      </c>
    </row>
    <row r="58" spans="1:30" s="167" customFormat="1" ht="191.25">
      <c r="A58" s="182">
        <v>56</v>
      </c>
      <c r="B58" s="169" t="s">
        <v>1263</v>
      </c>
      <c r="C58" s="166" t="s">
        <v>6261</v>
      </c>
      <c r="D58" s="165" t="s">
        <v>6262</v>
      </c>
      <c r="E58" s="165"/>
      <c r="F58" s="107"/>
      <c r="G58" s="125" t="str">
        <f>VLOOKUP($B58,'Product-Requirement'!$B:$M,8,FALSE)</f>
        <v>PROTECT</v>
      </c>
      <c r="H58" s="125" t="str">
        <f>VLOOKUP($B58,'Product-Requirement'!$B:$M,9,FALSE)</f>
        <v>Identity_Management_Authentication_and_Access_Control</v>
      </c>
      <c r="I58" s="125" t="str">
        <f>VLOOKUP($B58,'Product-Requirement'!$B:$M,10,FALSE)</f>
        <v>PR.AC-7: Users, devices, and other assets are authenticated (e.g., single-factor, multi-factor) commensurate with the risk of the transaction (e.g., individuals’ security and privacy risks and other organizational risks)</v>
      </c>
      <c r="J58" s="125" t="str">
        <f>VLOOKUP($B58,'Product-Requirement'!$B:$M,11,FALSE)</f>
        <v>System_Design</v>
      </c>
      <c r="K58" s="125" t="str">
        <f>VLOOKUP($B58,'Product-Requirement'!$B:$M,12,FALSE)</f>
        <v>Manufacturer</v>
      </c>
      <c r="L58" s="125" t="s">
        <v>5965</v>
      </c>
      <c r="M58" s="185"/>
      <c r="N58" s="185"/>
      <c r="O58" s="185"/>
      <c r="P58" s="185" t="s">
        <v>6263</v>
      </c>
      <c r="Q58" s="185"/>
      <c r="R58" s="185"/>
      <c r="S58" s="185"/>
      <c r="T58" s="185"/>
      <c r="U58" s="187" t="s">
        <v>378</v>
      </c>
      <c r="V58" s="187" t="s">
        <v>378</v>
      </c>
      <c r="W58" s="187" t="s">
        <v>378</v>
      </c>
      <c r="X58" s="188" t="s">
        <v>379</v>
      </c>
      <c r="Y58" s="188" t="s">
        <v>379</v>
      </c>
      <c r="Z58" s="188" t="s">
        <v>379</v>
      </c>
      <c r="AA58" s="188" t="s">
        <v>379</v>
      </c>
      <c r="AB58" s="188" t="s">
        <v>379</v>
      </c>
      <c r="AC58" s="188" t="s">
        <v>379</v>
      </c>
      <c r="AD58" s="188" t="s">
        <v>379</v>
      </c>
    </row>
    <row r="59" spans="1:30" s="167" customFormat="1" ht="395.25">
      <c r="A59" s="181">
        <v>57</v>
      </c>
      <c r="B59" s="169" t="s">
        <v>1148</v>
      </c>
      <c r="C59" s="166" t="s">
        <v>6264</v>
      </c>
      <c r="D59" s="165" t="s">
        <v>6265</v>
      </c>
      <c r="E59" s="165" t="s">
        <v>6266</v>
      </c>
      <c r="F59" s="113" t="s">
        <v>6267</v>
      </c>
      <c r="G59" s="125" t="str">
        <f>VLOOKUP($B59,'Product-Requirement'!$B:$M,8,FALSE)</f>
        <v>PROTECT</v>
      </c>
      <c r="H59" s="125" t="str">
        <f>VLOOKUP($B59,'Product-Requirement'!$B:$M,9,FALSE)</f>
        <v>Identity_Management_Authentication_and_Access_Control</v>
      </c>
      <c r="I59" s="125" t="str">
        <f>VLOOKUP($B59,'Product-Requirement'!$B:$M,10,FALSE)</f>
        <v>PR.AC-7: Users, devices, and other assets are authenticated (e.g., single-factor, multi-factor) commensurate with the risk of the transaction (e.g., individuals’ security and privacy risks and other organizational risks)</v>
      </c>
      <c r="J59" s="125" t="str">
        <f>VLOOKUP($B59,'Product-Requirement'!$B:$M,11,FALSE)</f>
        <v>System_Design</v>
      </c>
      <c r="K59" s="125" t="str">
        <f>VLOOKUP($B59,'Product-Requirement'!$B:$M,12,FALSE)</f>
        <v>Manufacturer</v>
      </c>
      <c r="L59" s="125" t="s">
        <v>5965</v>
      </c>
      <c r="M59" s="185"/>
      <c r="N59" s="185"/>
      <c r="O59" s="185" t="s">
        <v>6268</v>
      </c>
      <c r="P59" s="185" t="s">
        <v>6269</v>
      </c>
      <c r="Q59" s="185" t="s">
        <v>6270</v>
      </c>
      <c r="R59" s="185" t="s">
        <v>5993</v>
      </c>
      <c r="S59" s="185" t="s">
        <v>6110</v>
      </c>
      <c r="T59" s="185" t="s">
        <v>6271</v>
      </c>
      <c r="U59" s="187" t="s">
        <v>378</v>
      </c>
      <c r="V59" s="187" t="s">
        <v>378</v>
      </c>
      <c r="W59" s="187" t="s">
        <v>378</v>
      </c>
      <c r="X59" s="187" t="s">
        <v>378</v>
      </c>
      <c r="Y59" s="187" t="s">
        <v>378</v>
      </c>
      <c r="Z59" s="187" t="s">
        <v>378</v>
      </c>
      <c r="AA59" s="187" t="s">
        <v>378</v>
      </c>
      <c r="AB59" s="187" t="s">
        <v>378</v>
      </c>
      <c r="AC59" s="187" t="s">
        <v>378</v>
      </c>
      <c r="AD59" s="187" t="s">
        <v>378</v>
      </c>
    </row>
    <row r="60" spans="1:30" s="167" customFormat="1" ht="76.5">
      <c r="A60" s="182">
        <v>58</v>
      </c>
      <c r="B60" s="169" t="s">
        <v>1165</v>
      </c>
      <c r="C60" s="166" t="s">
        <v>6272</v>
      </c>
      <c r="D60" s="165" t="s">
        <v>6273</v>
      </c>
      <c r="E60" s="165" t="s">
        <v>6274</v>
      </c>
      <c r="F60" s="113" t="s">
        <v>6275</v>
      </c>
      <c r="G60" s="125" t="str">
        <f>VLOOKUP($B60,'Product-Requirement'!$B:$M,8,FALSE)</f>
        <v>PROTECT</v>
      </c>
      <c r="H60" s="125" t="str">
        <f>VLOOKUP($B60,'Product-Requirement'!$B:$M,9,FALSE)</f>
        <v>Identity_Management_Authentication_and_Access_Control</v>
      </c>
      <c r="I60" s="125" t="str">
        <f>VLOOKUP($B60,'Product-Requirement'!$B:$M,10,FALSE)</f>
        <v>PR.AC-7: Users, devices, and other assets are authenticated (e.g., single-factor, multi-factor) commensurate with the risk of the transaction (e.g., individuals’ security and privacy risks and other organizational risks)</v>
      </c>
      <c r="J60" s="125" t="str">
        <f>VLOOKUP($B60,'Product-Requirement'!$B:$M,11,FALSE)</f>
        <v>System_Design</v>
      </c>
      <c r="K60" s="125" t="str">
        <f>VLOOKUP($B60,'Product-Requirement'!$B:$M,12,FALSE)</f>
        <v>Manufacturer</v>
      </c>
      <c r="L60" s="125" t="s">
        <v>5965</v>
      </c>
      <c r="M60" s="185"/>
      <c r="N60" s="185"/>
      <c r="O60" s="185"/>
      <c r="P60" s="185" t="s">
        <v>6276</v>
      </c>
      <c r="Q60" s="185"/>
      <c r="R60" s="185"/>
      <c r="S60" s="185"/>
      <c r="T60" s="185"/>
      <c r="U60" s="187" t="s">
        <v>378</v>
      </c>
      <c r="V60" s="187" t="s">
        <v>378</v>
      </c>
      <c r="W60" s="187" t="s">
        <v>378</v>
      </c>
      <c r="X60" s="188" t="s">
        <v>379</v>
      </c>
      <c r="Y60" s="188" t="s">
        <v>379</v>
      </c>
      <c r="Z60" s="188" t="s">
        <v>379</v>
      </c>
      <c r="AA60" s="188" t="s">
        <v>379</v>
      </c>
      <c r="AB60" s="188" t="s">
        <v>379</v>
      </c>
      <c r="AC60" s="188" t="s">
        <v>379</v>
      </c>
      <c r="AD60" s="188" t="s">
        <v>379</v>
      </c>
    </row>
    <row r="61" spans="1:30" s="167" customFormat="1" ht="76.5">
      <c r="A61" s="181">
        <v>59</v>
      </c>
      <c r="B61" s="169" t="s">
        <v>1170</v>
      </c>
      <c r="C61" s="166" t="s">
        <v>6277</v>
      </c>
      <c r="D61" s="165" t="s">
        <v>6278</v>
      </c>
      <c r="E61" s="165"/>
      <c r="F61" s="84" t="s">
        <v>6279</v>
      </c>
      <c r="G61" s="125" t="str">
        <f>VLOOKUP($B61,'Product-Requirement'!$B:$M,8,FALSE)</f>
        <v>PROTECT</v>
      </c>
      <c r="H61" s="125" t="str">
        <f>VLOOKUP($B61,'Product-Requirement'!$B:$M,9,FALSE)</f>
        <v>Identity_Management_Authentication_and_Access_Control</v>
      </c>
      <c r="I61" s="125" t="str">
        <f>VLOOKUP($B61,'Product-Requirement'!$B:$M,10,FALSE)</f>
        <v>PR.AC-7: Users, devices, and other assets are authenticated (e.g., single-factor, multi-factor) commensurate with the risk of the transaction (e.g., individuals’ security and privacy risks and other organizational risks)</v>
      </c>
      <c r="J61" s="125" t="str">
        <f>VLOOKUP($B61,'Product-Requirement'!$B:$M,11,FALSE)</f>
        <v>System_Design</v>
      </c>
      <c r="K61" s="125" t="str">
        <f>VLOOKUP($B61,'Product-Requirement'!$B:$M,12,FALSE)</f>
        <v>Manufacturer</v>
      </c>
      <c r="L61" s="125" t="s">
        <v>5965</v>
      </c>
      <c r="M61" s="185"/>
      <c r="N61" s="185"/>
      <c r="O61" s="185" t="s">
        <v>6280</v>
      </c>
      <c r="P61" s="185" t="s">
        <v>6281</v>
      </c>
      <c r="Q61" s="185"/>
      <c r="R61" s="185"/>
      <c r="S61" s="185"/>
      <c r="T61" s="185" t="s">
        <v>6282</v>
      </c>
      <c r="U61" s="187" t="s">
        <v>378</v>
      </c>
      <c r="V61" s="187" t="s">
        <v>378</v>
      </c>
      <c r="W61" s="187" t="s">
        <v>378</v>
      </c>
      <c r="X61" s="188" t="s">
        <v>379</v>
      </c>
      <c r="Y61" s="188" t="s">
        <v>379</v>
      </c>
      <c r="Z61" s="187" t="s">
        <v>378</v>
      </c>
      <c r="AA61" s="187" t="s">
        <v>378</v>
      </c>
      <c r="AB61" s="187" t="s">
        <v>378</v>
      </c>
      <c r="AC61" s="187" t="s">
        <v>378</v>
      </c>
      <c r="AD61" s="187" t="s">
        <v>378</v>
      </c>
    </row>
    <row r="62" spans="1:30" s="167" customFormat="1" ht="89.25">
      <c r="A62" s="182">
        <v>60</v>
      </c>
      <c r="B62" s="169" t="s">
        <v>1179</v>
      </c>
      <c r="C62" s="166" t="s">
        <v>6283</v>
      </c>
      <c r="D62" s="165" t="s">
        <v>6284</v>
      </c>
      <c r="E62" s="165"/>
      <c r="F62" s="84"/>
      <c r="G62" s="125" t="str">
        <f>VLOOKUP($B62,'Product-Requirement'!$B:$M,8,FALSE)</f>
        <v>PROTECT</v>
      </c>
      <c r="H62" s="125" t="str">
        <f>VLOOKUP($B62,'Product-Requirement'!$B:$M,9,FALSE)</f>
        <v>Identity_Management_Authentication_and_Access_Control</v>
      </c>
      <c r="I62" s="125" t="str">
        <f>VLOOKUP($B62,'Product-Requirement'!$B:$M,10,FALSE)</f>
        <v>PR.AC-7: Users, devices, and other assets are authenticated (e.g., single-factor, multi-factor) commensurate with the risk of the transaction (e.g., individuals’ security and privacy risks and other organizational risks)</v>
      </c>
      <c r="J62" s="125" t="str">
        <f>VLOOKUP($B62,'Product-Requirement'!$B:$M,11,FALSE)</f>
        <v>System_Design</v>
      </c>
      <c r="K62" s="125" t="str">
        <f>VLOOKUP($B62,'Product-Requirement'!$B:$M,12,FALSE)</f>
        <v>Manufacturer</v>
      </c>
      <c r="L62" s="125" t="s">
        <v>5965</v>
      </c>
      <c r="M62" s="185"/>
      <c r="N62" s="185"/>
      <c r="O62" s="185"/>
      <c r="P62" s="185" t="s">
        <v>6285</v>
      </c>
      <c r="Q62" s="185"/>
      <c r="R62" s="185"/>
      <c r="S62" s="185"/>
      <c r="T62" s="185"/>
      <c r="U62" s="187" t="s">
        <v>378</v>
      </c>
      <c r="V62" s="187" t="s">
        <v>378</v>
      </c>
      <c r="W62" s="187" t="s">
        <v>378</v>
      </c>
      <c r="X62" s="188" t="s">
        <v>379</v>
      </c>
      <c r="Y62" s="188" t="s">
        <v>379</v>
      </c>
      <c r="Z62" s="188" t="s">
        <v>379</v>
      </c>
      <c r="AA62" s="188" t="s">
        <v>379</v>
      </c>
      <c r="AB62" s="188" t="s">
        <v>379</v>
      </c>
      <c r="AC62" s="188" t="s">
        <v>379</v>
      </c>
      <c r="AD62" s="188" t="s">
        <v>379</v>
      </c>
    </row>
    <row r="63" spans="1:30" s="167" customFormat="1" ht="102">
      <c r="A63" s="181">
        <v>61</v>
      </c>
      <c r="B63" s="169" t="s">
        <v>1240</v>
      </c>
      <c r="C63" s="166" t="s">
        <v>6286</v>
      </c>
      <c r="D63" s="165" t="s">
        <v>6287</v>
      </c>
      <c r="E63" s="165"/>
      <c r="F63" s="84" t="s">
        <v>6288</v>
      </c>
      <c r="G63" s="125" t="str">
        <f>VLOOKUP($B63,'Product-Requirement'!$B:$M,8,FALSE)</f>
        <v>PROTECT</v>
      </c>
      <c r="H63" s="125" t="str">
        <f>VLOOKUP($B63,'Product-Requirement'!$B:$M,9,FALSE)</f>
        <v>Identity_Management_Authentication_and_Access_Control</v>
      </c>
      <c r="I63" s="125" t="str">
        <f>VLOOKUP($B63,'Product-Requirement'!$B:$M,10,FALSE)</f>
        <v>PR.AC-7: Users, devices, and other assets are authenticated (e.g., single-factor, multi-factor) commensurate with the risk of the transaction (e.g., individuals’ security and privacy risks and other organizational risks)</v>
      </c>
      <c r="J63" s="125" t="str">
        <f>VLOOKUP($B63,'Product-Requirement'!$B:$M,11,FALSE)</f>
        <v>System_Design</v>
      </c>
      <c r="K63" s="125" t="str">
        <f>VLOOKUP($B63,'Product-Requirement'!$B:$M,12,FALSE)</f>
        <v>Manufacturer</v>
      </c>
      <c r="L63" s="125" t="s">
        <v>5965</v>
      </c>
      <c r="M63" s="185"/>
      <c r="N63" s="185"/>
      <c r="O63" s="185"/>
      <c r="P63" s="185" t="s">
        <v>6289</v>
      </c>
      <c r="Q63" s="185"/>
      <c r="R63" s="185"/>
      <c r="S63" s="185"/>
      <c r="T63" s="185"/>
      <c r="U63" s="187" t="s">
        <v>378</v>
      </c>
      <c r="V63" s="187" t="s">
        <v>378</v>
      </c>
      <c r="W63" s="187" t="s">
        <v>378</v>
      </c>
      <c r="X63" s="188" t="s">
        <v>379</v>
      </c>
      <c r="Y63" s="188" t="s">
        <v>379</v>
      </c>
      <c r="Z63" s="188" t="s">
        <v>379</v>
      </c>
      <c r="AA63" s="188" t="s">
        <v>379</v>
      </c>
      <c r="AB63" s="188" t="s">
        <v>379</v>
      </c>
      <c r="AC63" s="188" t="s">
        <v>379</v>
      </c>
      <c r="AD63" s="188" t="s">
        <v>379</v>
      </c>
    </row>
    <row r="64" spans="1:30" s="167" customFormat="1" ht="114.75">
      <c r="A64" s="182">
        <v>62</v>
      </c>
      <c r="B64" s="169" t="s">
        <v>1735</v>
      </c>
      <c r="C64" s="166" t="s">
        <v>6290</v>
      </c>
      <c r="D64" s="165" t="s">
        <v>6291</v>
      </c>
      <c r="E64" s="165"/>
      <c r="F64" s="165" t="s">
        <v>6292</v>
      </c>
      <c r="G64" s="125" t="str">
        <f>VLOOKUP($B64,'Product-Requirement'!$B:$M,8,FALSE)</f>
        <v>PROTECT</v>
      </c>
      <c r="H64" s="125" t="str">
        <f>VLOOKUP($B64,'Product-Requirement'!$B:$M,9,FALSE)</f>
        <v>Data_Security</v>
      </c>
      <c r="I64" s="125" t="str">
        <f>VLOOKUP($B64,'Product-Requirement'!$B:$M,10,FALSE)</f>
        <v>PR.DS-1: Data-at-rest is protected</v>
      </c>
      <c r="J64" s="125" t="str">
        <f>VLOOKUP($B64,'Product-Requirement'!$B:$M,11,FALSE)</f>
        <v>System_Design</v>
      </c>
      <c r="K64" s="125" t="str">
        <f>VLOOKUP($B64,'Product-Requirement'!$B:$M,12,FALSE)</f>
        <v>Manufacturer</v>
      </c>
      <c r="L64" s="125" t="s">
        <v>5965</v>
      </c>
      <c r="M64" s="185"/>
      <c r="N64" s="185"/>
      <c r="O64" s="185" t="s">
        <v>6293</v>
      </c>
      <c r="P64" s="185" t="s">
        <v>6294</v>
      </c>
      <c r="Q64" s="185"/>
      <c r="R64" s="185"/>
      <c r="S64" s="185"/>
      <c r="T64" s="185" t="s">
        <v>6295</v>
      </c>
      <c r="U64" s="187" t="s">
        <v>378</v>
      </c>
      <c r="V64" s="187" t="s">
        <v>378</v>
      </c>
      <c r="W64" s="187" t="s">
        <v>378</v>
      </c>
      <c r="X64" s="187" t="s">
        <v>378</v>
      </c>
      <c r="Y64" s="187" t="s">
        <v>378</v>
      </c>
      <c r="Z64" s="187" t="s">
        <v>378</v>
      </c>
      <c r="AA64" s="187" t="s">
        <v>378</v>
      </c>
      <c r="AB64" s="187" t="s">
        <v>378</v>
      </c>
      <c r="AC64" s="187" t="s">
        <v>378</v>
      </c>
      <c r="AD64" s="187" t="s">
        <v>378</v>
      </c>
    </row>
    <row r="65" spans="1:30" s="167" customFormat="1" ht="318.75">
      <c r="A65" s="181">
        <v>63</v>
      </c>
      <c r="B65" s="169" t="s">
        <v>600</v>
      </c>
      <c r="C65" s="166" t="s">
        <v>6296</v>
      </c>
      <c r="D65" s="165" t="s">
        <v>6297</v>
      </c>
      <c r="E65" s="165" t="s">
        <v>6298</v>
      </c>
      <c r="F65" s="171" t="s">
        <v>6299</v>
      </c>
      <c r="G65" s="125" t="str">
        <f>VLOOKUP($B65,'Product-Requirement'!$B:$M,8,FALSE)</f>
        <v>PROTECT</v>
      </c>
      <c r="H65" s="125" t="str">
        <f>VLOOKUP($B65,'Product-Requirement'!$B:$M,9,FALSE)</f>
        <v>Data_Security</v>
      </c>
      <c r="I65" s="125" t="str">
        <f>VLOOKUP($B65,'Product-Requirement'!$B:$M,10,FALSE)</f>
        <v>PR.DS-2: Data-in-transit is protected</v>
      </c>
      <c r="J65" s="125" t="str">
        <f>VLOOKUP($B65,'Product-Requirement'!$B:$M,11,FALSE)</f>
        <v>System_Design</v>
      </c>
      <c r="K65" s="125" t="str">
        <f>VLOOKUP($B65,'Product-Requirement'!$B:$M,12,FALSE)</f>
        <v>Manufacturer</v>
      </c>
      <c r="L65" s="125" t="s">
        <v>5965</v>
      </c>
      <c r="M65" s="185"/>
      <c r="N65" s="185"/>
      <c r="O65" s="185" t="s">
        <v>6300</v>
      </c>
      <c r="P65" s="185" t="s">
        <v>6301</v>
      </c>
      <c r="Q65" s="185"/>
      <c r="R65" s="185"/>
      <c r="S65" s="185" t="s">
        <v>6110</v>
      </c>
      <c r="T65" s="185" t="s">
        <v>6302</v>
      </c>
      <c r="U65" s="187" t="s">
        <v>378</v>
      </c>
      <c r="V65" s="187" t="s">
        <v>378</v>
      </c>
      <c r="W65" s="187" t="s">
        <v>378</v>
      </c>
      <c r="X65" s="187" t="s">
        <v>378</v>
      </c>
      <c r="Y65" s="187" t="s">
        <v>378</v>
      </c>
      <c r="Z65" s="187" t="s">
        <v>378</v>
      </c>
      <c r="AA65" s="187" t="s">
        <v>378</v>
      </c>
      <c r="AB65" s="187" t="s">
        <v>378</v>
      </c>
      <c r="AC65" s="187" t="s">
        <v>378</v>
      </c>
      <c r="AD65" s="187" t="s">
        <v>378</v>
      </c>
    </row>
    <row r="66" spans="1:30" s="167" customFormat="1" ht="51">
      <c r="A66" s="182">
        <v>64</v>
      </c>
      <c r="B66" s="169" t="s">
        <v>4490</v>
      </c>
      <c r="C66" s="166" t="s">
        <v>6303</v>
      </c>
      <c r="D66" s="165" t="s">
        <v>6304</v>
      </c>
      <c r="E66" s="165" t="s">
        <v>6305</v>
      </c>
      <c r="F66" s="113" t="s">
        <v>6306</v>
      </c>
      <c r="G66" s="125" t="str">
        <f>VLOOKUP($B66,'Product-Requirement'!$B:$M,8,FALSE)</f>
        <v>PROTECT</v>
      </c>
      <c r="H66" s="125" t="str">
        <f>VLOOKUP($B66,'Product-Requirement'!$B:$M,9,FALSE)</f>
        <v>Data_Security</v>
      </c>
      <c r="I66" s="125" t="str">
        <f>VLOOKUP($B66,'Product-Requirement'!$B:$M,10,FALSE)</f>
        <v>PR.DS-1: Data-at-rest is protected</v>
      </c>
      <c r="J66" s="125" t="str">
        <f>VLOOKUP($B66,'Product-Requirement'!$B:$M,11,FALSE)</f>
        <v>Wireless</v>
      </c>
      <c r="K66" s="125" t="str">
        <f>VLOOKUP($B66,'Product-Requirement'!$B:$M,12,FALSE)</f>
        <v>Manufacturer</v>
      </c>
      <c r="L66" s="125" t="s">
        <v>5965</v>
      </c>
      <c r="M66" s="185"/>
      <c r="N66" s="185"/>
      <c r="O66" s="185"/>
      <c r="P66" s="185" t="s">
        <v>6307</v>
      </c>
      <c r="Q66" s="185"/>
      <c r="R66" s="185"/>
      <c r="S66" s="185"/>
      <c r="T66" s="185"/>
      <c r="U66" s="188" t="s">
        <v>379</v>
      </c>
      <c r="V66" s="188" t="s">
        <v>379</v>
      </c>
      <c r="W66" s="188" t="s">
        <v>379</v>
      </c>
      <c r="X66" s="188" t="s">
        <v>379</v>
      </c>
      <c r="Y66" s="188" t="s">
        <v>379</v>
      </c>
      <c r="Z66" s="188" t="s">
        <v>379</v>
      </c>
      <c r="AA66" s="188" t="s">
        <v>379</v>
      </c>
      <c r="AB66" s="188" t="s">
        <v>379</v>
      </c>
      <c r="AC66" s="188" t="s">
        <v>379</v>
      </c>
      <c r="AD66" s="188" t="s">
        <v>379</v>
      </c>
    </row>
    <row r="67" spans="1:30" s="167" customFormat="1" ht="63.75">
      <c r="A67" s="181">
        <v>65</v>
      </c>
      <c r="B67" s="169" t="s">
        <v>2333</v>
      </c>
      <c r="C67" s="165" t="s">
        <v>6308</v>
      </c>
      <c r="D67" s="165" t="s">
        <v>6309</v>
      </c>
      <c r="E67" s="165"/>
      <c r="F67" s="172"/>
      <c r="G67" s="125" t="str">
        <f>VLOOKUP($B67,'Product-Requirement'!$B:$M,8,FALSE)</f>
        <v>PROTECT</v>
      </c>
      <c r="H67" s="125" t="str">
        <f>VLOOKUP($B67,'Product-Requirement'!$B:$M,9,FALSE)</f>
        <v>Data_Security</v>
      </c>
      <c r="I67" s="125" t="str">
        <f>VLOOKUP($B67,'Product-Requirement'!$B:$M,10,FALSE)</f>
        <v>PR.DS-1: Data-at-rest is protected</v>
      </c>
      <c r="J67" s="125" t="str">
        <f>VLOOKUP($B67,'Product-Requirement'!$B:$M,11,FALSE)</f>
        <v>Cloud</v>
      </c>
      <c r="K67" s="125" t="str">
        <f>VLOOKUP($B67,'Product-Requirement'!$B:$M,12,FALSE)</f>
        <v>Third Party(e.g:Vendor, Supplier, Contractor, Sub-Contractor etc.)</v>
      </c>
      <c r="L67" s="125" t="s">
        <v>5965</v>
      </c>
      <c r="M67" s="185"/>
      <c r="N67" s="185"/>
      <c r="O67" s="185"/>
      <c r="P67" s="185"/>
      <c r="Q67" s="185"/>
      <c r="R67" s="185"/>
      <c r="S67" s="185"/>
      <c r="T67" s="185" t="s">
        <v>6310</v>
      </c>
      <c r="U67" s="187" t="s">
        <v>378</v>
      </c>
      <c r="V67" s="188" t="s">
        <v>379</v>
      </c>
      <c r="W67" s="188" t="s">
        <v>379</v>
      </c>
      <c r="X67" s="188" t="s">
        <v>379</v>
      </c>
      <c r="Y67" s="188" t="s">
        <v>379</v>
      </c>
      <c r="Z67" s="187" t="s">
        <v>378</v>
      </c>
      <c r="AA67" s="188" t="s">
        <v>379</v>
      </c>
      <c r="AB67" s="188" t="s">
        <v>379</v>
      </c>
      <c r="AC67" s="188" t="s">
        <v>379</v>
      </c>
      <c r="AD67" s="188" t="s">
        <v>379</v>
      </c>
    </row>
    <row r="68" spans="1:30" s="167" customFormat="1" ht="114.75">
      <c r="A68" s="182">
        <v>66</v>
      </c>
      <c r="B68" s="169" t="s">
        <v>1575</v>
      </c>
      <c r="C68" s="166" t="s">
        <v>6311</v>
      </c>
      <c r="D68" s="165" t="s">
        <v>6312</v>
      </c>
      <c r="E68" s="165"/>
      <c r="F68" s="107"/>
      <c r="G68" s="125" t="str">
        <f>VLOOKUP($B68,'Product-Requirement'!$B:$M,8,FALSE)</f>
        <v>PROTECT</v>
      </c>
      <c r="H68" s="125" t="str">
        <f>VLOOKUP($B68,'Product-Requirement'!$B:$M,9,FALSE)</f>
        <v>Data_Security</v>
      </c>
      <c r="I68" s="125" t="str">
        <f>VLOOKUP($B68,'Product-Requirement'!$B:$M,10,FALSE)</f>
        <v>PR.DS-4: Adequate capacity to ensure availability is maintained</v>
      </c>
      <c r="J68" s="125" t="str">
        <f>VLOOKUP($B68,'Product-Requirement'!$B:$M,11,FALSE)</f>
        <v>Infrastructure&amp;Network</v>
      </c>
      <c r="K68" s="125" t="str">
        <f>VLOOKUP($B68,'Product-Requirement'!$B:$M,12,FALSE)</f>
        <v>Manufacturer</v>
      </c>
      <c r="L68" s="125" t="s">
        <v>5965</v>
      </c>
      <c r="M68" s="185"/>
      <c r="N68" s="185"/>
      <c r="O68" s="185" t="s">
        <v>6313</v>
      </c>
      <c r="P68" s="185" t="s">
        <v>6314</v>
      </c>
      <c r="Q68" s="185"/>
      <c r="R68" s="185"/>
      <c r="S68" s="185"/>
      <c r="T68" s="185" t="s">
        <v>6315</v>
      </c>
      <c r="U68" s="187" t="s">
        <v>378</v>
      </c>
      <c r="V68" s="187" t="s">
        <v>378</v>
      </c>
      <c r="W68" s="187" t="s">
        <v>378</v>
      </c>
      <c r="X68" s="187" t="s">
        <v>378</v>
      </c>
      <c r="Y68" s="187" t="s">
        <v>378</v>
      </c>
      <c r="Z68" s="187" t="s">
        <v>378</v>
      </c>
      <c r="AA68" s="187" t="s">
        <v>378</v>
      </c>
      <c r="AB68" s="187" t="s">
        <v>378</v>
      </c>
      <c r="AC68" s="187" t="s">
        <v>378</v>
      </c>
      <c r="AD68" s="187" t="s">
        <v>378</v>
      </c>
    </row>
    <row r="69" spans="1:30" s="167" customFormat="1" ht="344.25">
      <c r="A69" s="181">
        <v>67</v>
      </c>
      <c r="B69" s="169" t="s">
        <v>567</v>
      </c>
      <c r="C69" s="166" t="s">
        <v>6316</v>
      </c>
      <c r="D69" s="165" t="s">
        <v>6317</v>
      </c>
      <c r="E69" s="165" t="s">
        <v>6318</v>
      </c>
      <c r="F69" s="107"/>
      <c r="G69" s="125" t="str">
        <f>VLOOKUP($B69,'Product-Requirement'!$B:$M,8,FALSE)</f>
        <v>PROTECT</v>
      </c>
      <c r="H69" s="125" t="str">
        <f>VLOOKUP($B69,'Product-Requirement'!$B:$M,9,FALSE)</f>
        <v>Data_Security</v>
      </c>
      <c r="I69" s="125" t="str">
        <f>VLOOKUP($B69,'Product-Requirement'!$B:$M,10,FALSE)</f>
        <v>PR.DS-5: Protections against data leaks are implemented</v>
      </c>
      <c r="J69" s="125" t="str">
        <f>VLOOKUP($B69,'Product-Requirement'!$B:$M,11,FALSE)</f>
        <v>System_Design</v>
      </c>
      <c r="K69" s="125" t="str">
        <f>VLOOKUP($B69,'Product-Requirement'!$B:$M,12,FALSE)</f>
        <v>Manufacturer</v>
      </c>
      <c r="L69" s="125" t="s">
        <v>5965</v>
      </c>
      <c r="M69" s="185"/>
      <c r="N69" s="185"/>
      <c r="O69" s="185" t="s">
        <v>6319</v>
      </c>
      <c r="P69" s="185" t="s">
        <v>6320</v>
      </c>
      <c r="Q69" s="185"/>
      <c r="R69" s="185" t="s">
        <v>6321</v>
      </c>
      <c r="S69" s="185" t="s">
        <v>6110</v>
      </c>
      <c r="T69" s="185"/>
      <c r="U69" s="187" t="s">
        <v>378</v>
      </c>
      <c r="V69" s="187" t="s">
        <v>378</v>
      </c>
      <c r="W69" s="187" t="s">
        <v>378</v>
      </c>
      <c r="X69" s="187" t="s">
        <v>378</v>
      </c>
      <c r="Y69" s="187" t="s">
        <v>378</v>
      </c>
      <c r="Z69" s="187" t="s">
        <v>378</v>
      </c>
      <c r="AA69" s="187" t="s">
        <v>378</v>
      </c>
      <c r="AB69" s="187" t="s">
        <v>378</v>
      </c>
      <c r="AC69" s="187" t="s">
        <v>378</v>
      </c>
      <c r="AD69" s="187" t="s">
        <v>378</v>
      </c>
    </row>
    <row r="70" spans="1:30" s="167" customFormat="1" ht="63.75">
      <c r="A70" s="182">
        <v>68</v>
      </c>
      <c r="B70" s="169" t="s">
        <v>5714</v>
      </c>
      <c r="C70" s="166" t="s">
        <v>6322</v>
      </c>
      <c r="D70" s="165" t="s">
        <v>6323</v>
      </c>
      <c r="E70" s="165"/>
      <c r="F70" s="107"/>
      <c r="G70" s="125" t="str">
        <f>VLOOKUP($B70,'Product-Requirement'!$B:$M,8,FALSE)</f>
        <v>PROTECT</v>
      </c>
      <c r="H70" s="125" t="str">
        <f>VLOOKUP($B70,'Product-Requirement'!$B:$M,9,FALSE)</f>
        <v>Data_Security</v>
      </c>
      <c r="I70" s="125" t="str">
        <f>VLOOKUP($B70,'Product-Requirement'!$B:$M,10,FALSE)</f>
        <v>PR.DS-5: Protections against data leaks are implemented</v>
      </c>
      <c r="J70" s="125" t="str">
        <f>VLOOKUP($B70,'Product-Requirement'!$B:$M,11,FALSE)</f>
        <v>System_Design</v>
      </c>
      <c r="K70" s="125" t="str">
        <f>VLOOKUP($B70,'Product-Requirement'!$B:$M,12,FALSE)</f>
        <v>Manufacturer</v>
      </c>
      <c r="L70" s="125" t="s">
        <v>5965</v>
      </c>
      <c r="M70" s="185"/>
      <c r="N70" s="185"/>
      <c r="O70" s="185"/>
      <c r="P70" s="185"/>
      <c r="Q70" s="185" t="s">
        <v>6324</v>
      </c>
      <c r="R70" s="185"/>
      <c r="S70" s="185"/>
      <c r="T70" s="185"/>
      <c r="U70" s="187" t="s">
        <v>378</v>
      </c>
      <c r="V70" s="187" t="s">
        <v>378</v>
      </c>
      <c r="W70" s="187" t="s">
        <v>378</v>
      </c>
      <c r="X70" s="187" t="s">
        <v>378</v>
      </c>
      <c r="Y70" s="187" t="s">
        <v>378</v>
      </c>
      <c r="Z70" s="187" t="s">
        <v>378</v>
      </c>
      <c r="AA70" s="187" t="s">
        <v>378</v>
      </c>
      <c r="AB70" s="187" t="s">
        <v>378</v>
      </c>
      <c r="AC70" s="187" t="s">
        <v>378</v>
      </c>
      <c r="AD70" s="187" t="s">
        <v>378</v>
      </c>
    </row>
    <row r="71" spans="1:30" s="167" customFormat="1" ht="153">
      <c r="A71" s="181">
        <v>69</v>
      </c>
      <c r="B71" s="169" t="s">
        <v>931</v>
      </c>
      <c r="C71" s="166" t="s">
        <v>6325</v>
      </c>
      <c r="D71" s="165" t="s">
        <v>6326</v>
      </c>
      <c r="E71" s="173"/>
      <c r="F71" s="107" t="s">
        <v>3577</v>
      </c>
      <c r="G71" s="125" t="str">
        <f>VLOOKUP($B71,'Product-Requirement'!$B:$M,8,FALSE)</f>
        <v>PROTECT</v>
      </c>
      <c r="H71" s="125" t="str">
        <f>VLOOKUP($B71,'Product-Requirement'!$B:$M,9,FALSE)</f>
        <v>Data_Security</v>
      </c>
      <c r="I71" s="125" t="str">
        <f>VLOOKUP($B71,'Product-Requirement'!$B:$M,10,FALSE)</f>
        <v>PR.DS-5: Protections against data leaks are implemented</v>
      </c>
      <c r="J71" s="125" t="str">
        <f>VLOOKUP($B71,'Product-Requirement'!$B:$M,11,FALSE)</f>
        <v>System_Design</v>
      </c>
      <c r="K71" s="125" t="str">
        <f>VLOOKUP($B71,'Product-Requirement'!$B:$M,12,FALSE)</f>
        <v>Manufacturer</v>
      </c>
      <c r="L71" s="125" t="s">
        <v>5965</v>
      </c>
      <c r="M71" s="185"/>
      <c r="N71" s="185" t="s">
        <v>6327</v>
      </c>
      <c r="O71" s="185" t="s">
        <v>6328</v>
      </c>
      <c r="P71" s="185" t="s">
        <v>6329</v>
      </c>
      <c r="Q71" s="185"/>
      <c r="R71" s="185" t="s">
        <v>6330</v>
      </c>
      <c r="S71" s="185"/>
      <c r="T71" s="185"/>
      <c r="U71" s="187" t="s">
        <v>378</v>
      </c>
      <c r="V71" s="187" t="s">
        <v>378</v>
      </c>
      <c r="W71" s="187" t="s">
        <v>378</v>
      </c>
      <c r="X71" s="187" t="s">
        <v>378</v>
      </c>
      <c r="Y71" s="187" t="s">
        <v>378</v>
      </c>
      <c r="Z71" s="187" t="s">
        <v>378</v>
      </c>
      <c r="AA71" s="187" t="s">
        <v>378</v>
      </c>
      <c r="AB71" s="187" t="s">
        <v>378</v>
      </c>
      <c r="AC71" s="187" t="s">
        <v>378</v>
      </c>
      <c r="AD71" s="187" t="s">
        <v>378</v>
      </c>
    </row>
    <row r="72" spans="1:30" s="167" customFormat="1" ht="38.25">
      <c r="A72" s="182">
        <v>70</v>
      </c>
      <c r="B72" s="169" t="s">
        <v>583</v>
      </c>
      <c r="C72" s="166" t="s">
        <v>6331</v>
      </c>
      <c r="D72" s="165" t="s">
        <v>6332</v>
      </c>
      <c r="E72" s="173"/>
      <c r="F72" s="107" t="s">
        <v>3577</v>
      </c>
      <c r="G72" s="125" t="str">
        <f>VLOOKUP($B72,'Product-Requirement'!$B:$M,8,FALSE)</f>
        <v>PROTECT</v>
      </c>
      <c r="H72" s="125" t="str">
        <f>VLOOKUP($B72,'Product-Requirement'!$B:$M,9,FALSE)</f>
        <v>Data_Security</v>
      </c>
      <c r="I72" s="125" t="str">
        <f>VLOOKUP($B72,'Product-Requirement'!$B:$M,10,FALSE)</f>
        <v>PR.DS-5: Protections against data leaks are implemented</v>
      </c>
      <c r="J72" s="125" t="str">
        <f>VLOOKUP($B72,'Product-Requirement'!$B:$M,11,FALSE)</f>
        <v>System_Design</v>
      </c>
      <c r="K72" s="125" t="str">
        <f>VLOOKUP($B72,'Product-Requirement'!$B:$M,12,FALSE)</f>
        <v>Manufacturer</v>
      </c>
      <c r="L72" s="125" t="s">
        <v>5965</v>
      </c>
      <c r="M72" s="185"/>
      <c r="N72" s="185"/>
      <c r="O72" s="185"/>
      <c r="P72" s="185" t="s">
        <v>6333</v>
      </c>
      <c r="Q72" s="185"/>
      <c r="R72" s="185"/>
      <c r="S72" s="185"/>
      <c r="T72" s="185"/>
      <c r="U72" s="187" t="s">
        <v>378</v>
      </c>
      <c r="V72" s="187" t="s">
        <v>378</v>
      </c>
      <c r="W72" s="187" t="s">
        <v>378</v>
      </c>
      <c r="X72" s="188" t="s">
        <v>379</v>
      </c>
      <c r="Y72" s="188" t="s">
        <v>379</v>
      </c>
      <c r="Z72" s="188" t="s">
        <v>379</v>
      </c>
      <c r="AA72" s="188" t="s">
        <v>379</v>
      </c>
      <c r="AB72" s="188" t="s">
        <v>379</v>
      </c>
      <c r="AC72" s="188" t="s">
        <v>379</v>
      </c>
      <c r="AD72" s="188" t="s">
        <v>379</v>
      </c>
    </row>
    <row r="73" spans="1:30" s="167" customFormat="1" ht="204">
      <c r="A73" s="181">
        <v>71</v>
      </c>
      <c r="B73" s="169" t="s">
        <v>1964</v>
      </c>
      <c r="C73" s="166" t="s">
        <v>6334</v>
      </c>
      <c r="D73" s="165" t="s">
        <v>6335</v>
      </c>
      <c r="E73" s="173"/>
      <c r="F73" s="107"/>
      <c r="G73" s="125" t="str">
        <f>VLOOKUP($B73,'Product-Requirement'!$B:$M,8,FALSE)</f>
        <v>PROTECT</v>
      </c>
      <c r="H73" s="125" t="str">
        <f>VLOOKUP($B73,'Product-Requirement'!$B:$M,9,FALSE)</f>
        <v>Data_Security</v>
      </c>
      <c r="I73" s="125" t="str">
        <f>VLOOKUP($B73,'Product-Requirement'!$B:$M,10,FALSE)</f>
        <v>PR.DS-5: Protections against data leaks are implemented</v>
      </c>
      <c r="J73" s="125" t="str">
        <f>VLOOKUP($B73,'Product-Requirement'!$B:$M,11,FALSE)</f>
        <v>System_Design</v>
      </c>
      <c r="K73" s="125" t="str">
        <f>VLOOKUP($B73,'Product-Requirement'!$B:$M,12,FALSE)</f>
        <v>Manufacturer</v>
      </c>
      <c r="L73" s="125" t="s">
        <v>5965</v>
      </c>
      <c r="M73" s="185"/>
      <c r="N73" s="185"/>
      <c r="O73" s="185" t="s">
        <v>6194</v>
      </c>
      <c r="P73" s="185" t="s">
        <v>6336</v>
      </c>
      <c r="Q73" s="185" t="s">
        <v>6337</v>
      </c>
      <c r="R73" s="185" t="s">
        <v>6338</v>
      </c>
      <c r="S73" s="185"/>
      <c r="T73" s="185" t="s">
        <v>6219</v>
      </c>
      <c r="U73" s="187" t="s">
        <v>378</v>
      </c>
      <c r="V73" s="187" t="s">
        <v>378</v>
      </c>
      <c r="W73" s="187" t="s">
        <v>378</v>
      </c>
      <c r="X73" s="187" t="s">
        <v>378</v>
      </c>
      <c r="Y73" s="187" t="s">
        <v>378</v>
      </c>
      <c r="Z73" s="187" t="s">
        <v>378</v>
      </c>
      <c r="AA73" s="187" t="s">
        <v>378</v>
      </c>
      <c r="AB73" s="187" t="s">
        <v>378</v>
      </c>
      <c r="AC73" s="187" t="s">
        <v>378</v>
      </c>
      <c r="AD73" s="187" t="s">
        <v>378</v>
      </c>
    </row>
    <row r="74" spans="1:30" s="167" customFormat="1" ht="89.25">
      <c r="A74" s="182">
        <v>72</v>
      </c>
      <c r="B74" s="169" t="s">
        <v>1983</v>
      </c>
      <c r="C74" s="166" t="s">
        <v>6339</v>
      </c>
      <c r="D74" s="165" t="s">
        <v>6340</v>
      </c>
      <c r="E74" s="173"/>
      <c r="F74" s="174"/>
      <c r="G74" s="125" t="str">
        <f>VLOOKUP($B74,'Product-Requirement'!$B:$M,8,FALSE)</f>
        <v>PROTECT</v>
      </c>
      <c r="H74" s="125" t="str">
        <f>VLOOKUP($B74,'Product-Requirement'!$B:$M,9,FALSE)</f>
        <v>Data_Security</v>
      </c>
      <c r="I74" s="125" t="str">
        <f>VLOOKUP($B74,'Product-Requirement'!$B:$M,10,FALSE)</f>
        <v>PR.DS-5: Protections against data leaks are implemented</v>
      </c>
      <c r="J74" s="125" t="str">
        <f>VLOOKUP($B74,'Product-Requirement'!$B:$M,11,FALSE)</f>
        <v>System_Design</v>
      </c>
      <c r="K74" s="125" t="str">
        <f>VLOOKUP($B74,'Product-Requirement'!$B:$M,12,FALSE)</f>
        <v>Manufacturer</v>
      </c>
      <c r="L74" s="125" t="s">
        <v>5965</v>
      </c>
      <c r="M74" s="185"/>
      <c r="N74" s="185" t="s">
        <v>5989</v>
      </c>
      <c r="O74" s="185"/>
      <c r="P74" s="185" t="s">
        <v>6341</v>
      </c>
      <c r="Q74" s="185" t="s">
        <v>6342</v>
      </c>
      <c r="R74" s="185" t="s">
        <v>5993</v>
      </c>
      <c r="S74" s="185"/>
      <c r="T74" s="185" t="s">
        <v>6119</v>
      </c>
      <c r="U74" s="187" t="s">
        <v>378</v>
      </c>
      <c r="V74" s="187" t="s">
        <v>378</v>
      </c>
      <c r="W74" s="187" t="s">
        <v>378</v>
      </c>
      <c r="X74" s="187" t="s">
        <v>378</v>
      </c>
      <c r="Y74" s="187" t="s">
        <v>378</v>
      </c>
      <c r="Z74" s="187" t="s">
        <v>378</v>
      </c>
      <c r="AA74" s="187" t="s">
        <v>378</v>
      </c>
      <c r="AB74" s="187" t="s">
        <v>378</v>
      </c>
      <c r="AC74" s="187" t="s">
        <v>378</v>
      </c>
      <c r="AD74" s="187" t="s">
        <v>378</v>
      </c>
    </row>
    <row r="75" spans="1:30" s="167" customFormat="1" ht="127.5">
      <c r="A75" s="181">
        <v>73</v>
      </c>
      <c r="B75" s="169" t="s">
        <v>1474</v>
      </c>
      <c r="C75" s="166" t="s">
        <v>6343</v>
      </c>
      <c r="D75" s="165" t="s">
        <v>6344</v>
      </c>
      <c r="E75" s="173"/>
      <c r="F75" s="84" t="s">
        <v>6345</v>
      </c>
      <c r="G75" s="125" t="str">
        <f>VLOOKUP($B75,'Product-Requirement'!$B:$M,8,FALSE)</f>
        <v>PROTECT</v>
      </c>
      <c r="H75" s="125" t="str">
        <f>VLOOKUP($B75,'Product-Requirement'!$B:$M,9,FALSE)</f>
        <v>Data_Security</v>
      </c>
      <c r="I75" s="125" t="str">
        <f>VLOOKUP($B75,'Product-Requirement'!$B:$M,10,FALSE)</f>
        <v>PR.DS-6: Integrity checking mechanisms are used to verify software, firmware, and information integrity</v>
      </c>
      <c r="J75" s="125" t="str">
        <f>VLOOKUP($B75,'Product-Requirement'!$B:$M,11,FALSE)</f>
        <v>System_Design</v>
      </c>
      <c r="K75" s="125" t="str">
        <f>VLOOKUP($B75,'Product-Requirement'!$B:$M,12,FALSE)</f>
        <v>Manufacturer</v>
      </c>
      <c r="L75" s="125" t="s">
        <v>5965</v>
      </c>
      <c r="M75" s="185"/>
      <c r="N75" s="185"/>
      <c r="O75" s="185"/>
      <c r="P75" s="185" t="s">
        <v>6346</v>
      </c>
      <c r="Q75" s="185" t="s">
        <v>6347</v>
      </c>
      <c r="R75" s="185" t="s">
        <v>6330</v>
      </c>
      <c r="S75" s="185"/>
      <c r="T75" s="185" t="s">
        <v>6348</v>
      </c>
      <c r="U75" s="187" t="s">
        <v>378</v>
      </c>
      <c r="V75" s="187" t="s">
        <v>378</v>
      </c>
      <c r="W75" s="187" t="s">
        <v>378</v>
      </c>
      <c r="X75" s="187" t="s">
        <v>378</v>
      </c>
      <c r="Y75" s="187" t="s">
        <v>378</v>
      </c>
      <c r="Z75" s="187" t="s">
        <v>378</v>
      </c>
      <c r="AA75" s="187" t="s">
        <v>378</v>
      </c>
      <c r="AB75" s="187" t="s">
        <v>378</v>
      </c>
      <c r="AC75" s="187" t="s">
        <v>378</v>
      </c>
      <c r="AD75" s="187" t="s">
        <v>378</v>
      </c>
    </row>
    <row r="76" spans="1:30" s="167" customFormat="1" ht="318.75">
      <c r="A76" s="182">
        <v>74</v>
      </c>
      <c r="B76" s="169" t="s">
        <v>896</v>
      </c>
      <c r="C76" s="166" t="s">
        <v>6349</v>
      </c>
      <c r="D76" s="165" t="s">
        <v>6350</v>
      </c>
      <c r="E76" s="165" t="s">
        <v>6351</v>
      </c>
      <c r="F76" s="165" t="s">
        <v>6352</v>
      </c>
      <c r="G76" s="125" t="str">
        <f>VLOOKUP($B76,'Product-Requirement'!$B:$M,8,FALSE)</f>
        <v>PROTECT</v>
      </c>
      <c r="H76" s="125" t="str">
        <f>VLOOKUP($B76,'Product-Requirement'!$B:$M,9,FALSE)</f>
        <v>Data_Security</v>
      </c>
      <c r="I76" s="125" t="str">
        <f>VLOOKUP($B76,'Product-Requirement'!$B:$M,10,FALSE)</f>
        <v>PR.DS-6: Integrity checking mechanisms are used to verify software, firmware, and information integrity</v>
      </c>
      <c r="J76" s="125" t="str">
        <f>VLOOKUP($B76,'Product-Requirement'!$B:$M,11,FALSE)</f>
        <v>System_Design</v>
      </c>
      <c r="K76" s="125" t="str">
        <f>VLOOKUP($B76,'Product-Requirement'!$B:$M,12,FALSE)</f>
        <v>Manufacturer</v>
      </c>
      <c r="L76" s="125" t="s">
        <v>5965</v>
      </c>
      <c r="M76" s="185"/>
      <c r="N76" s="185" t="s">
        <v>5989</v>
      </c>
      <c r="O76" s="185" t="s">
        <v>6353</v>
      </c>
      <c r="P76" s="185" t="s">
        <v>6354</v>
      </c>
      <c r="Q76" s="185"/>
      <c r="R76" s="185" t="s">
        <v>6330</v>
      </c>
      <c r="S76" s="185" t="s">
        <v>6355</v>
      </c>
      <c r="T76" s="185" t="s">
        <v>6356</v>
      </c>
      <c r="U76" s="187" t="s">
        <v>378</v>
      </c>
      <c r="V76" s="187" t="s">
        <v>378</v>
      </c>
      <c r="W76" s="187" t="s">
        <v>378</v>
      </c>
      <c r="X76" s="187" t="s">
        <v>378</v>
      </c>
      <c r="Y76" s="187" t="s">
        <v>378</v>
      </c>
      <c r="Z76" s="187" t="s">
        <v>378</v>
      </c>
      <c r="AA76" s="187" t="s">
        <v>378</v>
      </c>
      <c r="AB76" s="187" t="s">
        <v>378</v>
      </c>
      <c r="AC76" s="187" t="s">
        <v>378</v>
      </c>
      <c r="AD76" s="187" t="s">
        <v>378</v>
      </c>
    </row>
    <row r="77" spans="1:30" s="167" customFormat="1" ht="76.5">
      <c r="A77" s="181">
        <v>75</v>
      </c>
      <c r="B77" s="169" t="s">
        <v>773</v>
      </c>
      <c r="C77" s="166" t="s">
        <v>6357</v>
      </c>
      <c r="D77" s="165" t="s">
        <v>6358</v>
      </c>
      <c r="E77" s="165"/>
      <c r="F77" s="113" t="s">
        <v>6359</v>
      </c>
      <c r="G77" s="125" t="str">
        <f>VLOOKUP($B77,'Product-Requirement'!$B:$M,8,FALSE)</f>
        <v>PROTECT</v>
      </c>
      <c r="H77" s="125" t="str">
        <f>VLOOKUP($B77,'Product-Requirement'!$B:$M,9,FALSE)</f>
        <v>Data_Security</v>
      </c>
      <c r="I77" s="125" t="str">
        <f>VLOOKUP($B77,'Product-Requirement'!$B:$M,10,FALSE)</f>
        <v>PR.DS-6: Integrity checking mechanisms are used to verify software, firmware, and information integrity</v>
      </c>
      <c r="J77" s="125" t="str">
        <f>VLOOKUP($B77,'Product-Requirement'!$B:$M,11,FALSE)</f>
        <v>Wireless</v>
      </c>
      <c r="K77" s="125" t="str">
        <f>VLOOKUP($B77,'Product-Requirement'!$B:$M,12,FALSE)</f>
        <v>Manufacturer</v>
      </c>
      <c r="L77" s="125" t="s">
        <v>5965</v>
      </c>
      <c r="M77" s="185"/>
      <c r="N77" s="185"/>
      <c r="O77" s="185"/>
      <c r="P77" s="185" t="s">
        <v>6360</v>
      </c>
      <c r="Q77" s="185"/>
      <c r="R77" s="185"/>
      <c r="S77" s="185"/>
      <c r="T77" s="185" t="s">
        <v>6361</v>
      </c>
      <c r="U77" s="187" t="s">
        <v>378</v>
      </c>
      <c r="V77" s="187" t="s">
        <v>378</v>
      </c>
      <c r="W77" s="187" t="s">
        <v>378</v>
      </c>
      <c r="X77" s="188" t="s">
        <v>379</v>
      </c>
      <c r="Y77" s="188" t="s">
        <v>379</v>
      </c>
      <c r="Z77" s="188" t="s">
        <v>379</v>
      </c>
      <c r="AA77" s="188" t="s">
        <v>379</v>
      </c>
      <c r="AB77" s="188" t="s">
        <v>379</v>
      </c>
      <c r="AC77" s="188" t="s">
        <v>379</v>
      </c>
      <c r="AD77" s="188" t="s">
        <v>379</v>
      </c>
    </row>
    <row r="78" spans="1:30" s="167" customFormat="1" ht="63.75">
      <c r="A78" s="182">
        <v>76</v>
      </c>
      <c r="B78" s="169" t="s">
        <v>4519</v>
      </c>
      <c r="C78" s="166" t="s">
        <v>6362</v>
      </c>
      <c r="D78" s="165" t="s">
        <v>6363</v>
      </c>
      <c r="E78" s="165"/>
      <c r="F78" s="113" t="s">
        <v>6364</v>
      </c>
      <c r="G78" s="125" t="str">
        <f>VLOOKUP($B78,'Product-Requirement'!$B:$M,8,FALSE)</f>
        <v>PROTECT</v>
      </c>
      <c r="H78" s="125" t="str">
        <f>VLOOKUP($B78,'Product-Requirement'!$B:$M,9,FALSE)</f>
        <v>Data_Security</v>
      </c>
      <c r="I78" s="125" t="str">
        <f>VLOOKUP($B78,'Product-Requirement'!$B:$M,10,FALSE)</f>
        <v>PR.DS-6: Integrity checking mechanisms are used to verify software, firmware, and information integrity</v>
      </c>
      <c r="J78" s="125" t="str">
        <f>VLOOKUP($B78,'Product-Requirement'!$B:$M,11,FALSE)</f>
        <v>Wireless</v>
      </c>
      <c r="K78" s="125" t="str">
        <f>VLOOKUP($B78,'Product-Requirement'!$B:$M,12,FALSE)</f>
        <v>Manufacturer</v>
      </c>
      <c r="L78" s="125" t="s">
        <v>5965</v>
      </c>
      <c r="M78" s="185"/>
      <c r="N78" s="185"/>
      <c r="O78" s="185"/>
      <c r="P78" s="185" t="s">
        <v>6365</v>
      </c>
      <c r="Q78" s="185"/>
      <c r="R78" s="185"/>
      <c r="S78" s="185"/>
      <c r="T78" s="185" t="s">
        <v>6366</v>
      </c>
      <c r="U78" s="188" t="s">
        <v>379</v>
      </c>
      <c r="V78" s="188" t="s">
        <v>379</v>
      </c>
      <c r="W78" s="188" t="s">
        <v>379</v>
      </c>
      <c r="X78" s="188" t="s">
        <v>379</v>
      </c>
      <c r="Y78" s="188" t="s">
        <v>379</v>
      </c>
      <c r="Z78" s="188" t="s">
        <v>379</v>
      </c>
      <c r="AA78" s="188" t="s">
        <v>379</v>
      </c>
      <c r="AB78" s="188" t="s">
        <v>379</v>
      </c>
      <c r="AC78" s="188" t="s">
        <v>379</v>
      </c>
      <c r="AD78" s="188" t="s">
        <v>379</v>
      </c>
    </row>
    <row r="79" spans="1:30" s="167" customFormat="1" ht="165.75">
      <c r="A79" s="181">
        <v>77</v>
      </c>
      <c r="B79" s="169" t="s">
        <v>577</v>
      </c>
      <c r="C79" s="165" t="s">
        <v>6367</v>
      </c>
      <c r="D79" s="165" t="s">
        <v>6368</v>
      </c>
      <c r="E79" s="165"/>
      <c r="F79" s="165" t="s">
        <v>6369</v>
      </c>
      <c r="G79" s="125" t="str">
        <f>VLOOKUP($B79,'Product-Requirement'!$B:$M,8,FALSE)</f>
        <v>PROTECT</v>
      </c>
      <c r="H79" s="125" t="str">
        <f>VLOOKUP($B79,'Product-Requirement'!$B:$M,9,FALSE)</f>
        <v>Data_Security</v>
      </c>
      <c r="I79" s="125" t="str">
        <f>VLOOKUP($B79,'Product-Requirement'!$B:$M,10,FALSE)</f>
        <v>PR.DS-6: Integrity checking mechanisms are used to verify software, firmware, and information integrity</v>
      </c>
      <c r="J79" s="125" t="str">
        <f>VLOOKUP($B79,'Product-Requirement'!$B:$M,11,FALSE)</f>
        <v>System_Design</v>
      </c>
      <c r="K79" s="125" t="str">
        <f>VLOOKUP($B79,'Product-Requirement'!$B:$M,12,FALSE)</f>
        <v>Manufacturer</v>
      </c>
      <c r="L79" s="125" t="s">
        <v>5965</v>
      </c>
      <c r="M79" s="185"/>
      <c r="N79" s="185"/>
      <c r="O79" s="185"/>
      <c r="P79" s="185" t="s">
        <v>6333</v>
      </c>
      <c r="Q79" s="185"/>
      <c r="R79" s="185" t="s">
        <v>6330</v>
      </c>
      <c r="S79" s="185"/>
      <c r="T79" s="185" t="s">
        <v>6370</v>
      </c>
      <c r="U79" s="187" t="s">
        <v>378</v>
      </c>
      <c r="V79" s="187" t="s">
        <v>378</v>
      </c>
      <c r="W79" s="187" t="s">
        <v>378</v>
      </c>
      <c r="X79" s="188" t="s">
        <v>379</v>
      </c>
      <c r="Y79" s="188" t="s">
        <v>379</v>
      </c>
      <c r="Z79" s="187" t="s">
        <v>378</v>
      </c>
      <c r="AA79" s="188" t="s">
        <v>379</v>
      </c>
      <c r="AB79" s="187" t="s">
        <v>378</v>
      </c>
      <c r="AC79" s="188" t="s">
        <v>379</v>
      </c>
      <c r="AD79" s="188" t="s">
        <v>379</v>
      </c>
    </row>
    <row r="80" spans="1:30" s="167" customFormat="1" ht="344.25">
      <c r="A80" s="182">
        <v>78</v>
      </c>
      <c r="B80" s="169" t="s">
        <v>1671</v>
      </c>
      <c r="C80" s="166" t="s">
        <v>6371</v>
      </c>
      <c r="D80" s="165" t="s">
        <v>6372</v>
      </c>
      <c r="E80" s="165"/>
      <c r="F80" s="113" t="s">
        <v>6373</v>
      </c>
      <c r="G80" s="125" t="str">
        <f>VLOOKUP($B80,'Product-Requirement'!$B:$M,8,FALSE)</f>
        <v>PROTECT</v>
      </c>
      <c r="H80" s="125" t="str">
        <f>VLOOKUP($B80,'Product-Requirement'!$B:$M,9,FALSE)</f>
        <v>Data_Security</v>
      </c>
      <c r="I80" s="125" t="str">
        <f>VLOOKUP($B80,'Product-Requirement'!$B:$M,10,FALSE)</f>
        <v>PR.DS-6: Integrity checking mechanisms are used to verify software, firmware, and information integrity</v>
      </c>
      <c r="J80" s="125" t="str">
        <f>VLOOKUP($B80,'Product-Requirement'!$B:$M,11,FALSE)</f>
        <v>System_Design</v>
      </c>
      <c r="K80" s="125" t="str">
        <f>VLOOKUP($B80,'Product-Requirement'!$B:$M,12,FALSE)</f>
        <v>Manufacturer</v>
      </c>
      <c r="L80" s="125" t="s">
        <v>5965</v>
      </c>
      <c r="M80" s="185"/>
      <c r="N80" s="185"/>
      <c r="O80" s="185" t="s">
        <v>6374</v>
      </c>
      <c r="P80" s="185" t="s">
        <v>6375</v>
      </c>
      <c r="Q80" s="185"/>
      <c r="R80" s="185"/>
      <c r="S80" s="185" t="s">
        <v>6110</v>
      </c>
      <c r="T80" s="185" t="s">
        <v>6376</v>
      </c>
      <c r="U80" s="187" t="s">
        <v>378</v>
      </c>
      <c r="V80" s="187" t="s">
        <v>378</v>
      </c>
      <c r="W80" s="187" t="s">
        <v>378</v>
      </c>
      <c r="X80" s="187" t="s">
        <v>378</v>
      </c>
      <c r="Y80" s="187" t="s">
        <v>378</v>
      </c>
      <c r="Z80" s="187" t="s">
        <v>378</v>
      </c>
      <c r="AA80" s="187" t="s">
        <v>378</v>
      </c>
      <c r="AB80" s="187" t="s">
        <v>378</v>
      </c>
      <c r="AC80" s="187" t="s">
        <v>378</v>
      </c>
      <c r="AD80" s="187" t="s">
        <v>378</v>
      </c>
    </row>
    <row r="81" spans="1:30" s="167" customFormat="1" ht="51">
      <c r="A81" s="181">
        <v>79</v>
      </c>
      <c r="B81" s="169" t="s">
        <v>2055</v>
      </c>
      <c r="C81" s="166" t="s">
        <v>6377</v>
      </c>
      <c r="D81" s="165" t="s">
        <v>6378</v>
      </c>
      <c r="E81" s="165"/>
      <c r="F81" s="113" t="s">
        <v>6379</v>
      </c>
      <c r="G81" s="125" t="str">
        <f>VLOOKUP($B81,'Product-Requirement'!$B:$M,8,FALSE)</f>
        <v>PROTECT</v>
      </c>
      <c r="H81" s="125" t="str">
        <f>VLOOKUP($B81,'Product-Requirement'!$B:$M,9,FALSE)</f>
        <v>Data_Security</v>
      </c>
      <c r="I81" s="125" t="str">
        <f>VLOOKUP($B81,'Product-Requirement'!$B:$M,10,FALSE)</f>
        <v>PR.DS-6: Integrity checking mechanisms are used to verify software, firmware, and information integrity</v>
      </c>
      <c r="J81" s="125" t="str">
        <f>VLOOKUP($B81,'Product-Requirement'!$B:$M,11,FALSE)</f>
        <v>System_Design</v>
      </c>
      <c r="K81" s="125" t="str">
        <f>VLOOKUP($B81,'Product-Requirement'!$B:$M,12,FALSE)</f>
        <v>Manufacturer</v>
      </c>
      <c r="L81" s="125" t="s">
        <v>5965</v>
      </c>
      <c r="M81" s="185"/>
      <c r="N81" s="185"/>
      <c r="O81" s="185" t="s">
        <v>6380</v>
      </c>
      <c r="P81" s="185" t="s">
        <v>6381</v>
      </c>
      <c r="Q81" s="185"/>
      <c r="R81" s="185"/>
      <c r="S81" s="185"/>
      <c r="T81" s="185" t="s">
        <v>6382</v>
      </c>
      <c r="U81" s="187" t="s">
        <v>378</v>
      </c>
      <c r="V81" s="187" t="s">
        <v>378</v>
      </c>
      <c r="W81" s="187" t="s">
        <v>378</v>
      </c>
      <c r="X81" s="187" t="s">
        <v>378</v>
      </c>
      <c r="Y81" s="187" t="s">
        <v>378</v>
      </c>
      <c r="Z81" s="187" t="s">
        <v>378</v>
      </c>
      <c r="AA81" s="187" t="s">
        <v>378</v>
      </c>
      <c r="AB81" s="187" t="s">
        <v>378</v>
      </c>
      <c r="AC81" s="187" t="s">
        <v>378</v>
      </c>
      <c r="AD81" s="187" t="s">
        <v>378</v>
      </c>
    </row>
    <row r="82" spans="1:30" s="167" customFormat="1" ht="293.25">
      <c r="A82" s="182">
        <v>80</v>
      </c>
      <c r="B82" s="169" t="s">
        <v>1024</v>
      </c>
      <c r="C82" s="166" t="s">
        <v>6383</v>
      </c>
      <c r="D82" s="165" t="s">
        <v>6384</v>
      </c>
      <c r="E82" s="165" t="s">
        <v>6385</v>
      </c>
      <c r="F82" s="171" t="s">
        <v>6386</v>
      </c>
      <c r="G82" s="125" t="str">
        <f>VLOOKUP($B82,'Product-Requirement'!$B:$M,8,FALSE)</f>
        <v>PROTECT</v>
      </c>
      <c r="H82" s="125" t="str">
        <f>VLOOKUP($B82,'Product-Requirement'!$B:$M,9,FALSE)</f>
        <v>Data_Security</v>
      </c>
      <c r="I82" s="125" t="str">
        <f>VLOOKUP($B82,'Product-Requirement'!$B:$M,10,FALSE)</f>
        <v>PR.DS-6: Integrity checking mechanisms are used to verify software, firmware, and information integrity</v>
      </c>
      <c r="J82" s="125" t="str">
        <f>VLOOKUP($B82,'Product-Requirement'!$B:$M,11,FALSE)</f>
        <v>System_Design</v>
      </c>
      <c r="K82" s="125" t="str">
        <f>VLOOKUP($B82,'Product-Requirement'!$B:$M,12,FALSE)</f>
        <v>Manufacturer</v>
      </c>
      <c r="L82" s="125" t="s">
        <v>5965</v>
      </c>
      <c r="M82" s="185"/>
      <c r="N82" s="185" t="s">
        <v>6387</v>
      </c>
      <c r="O82" s="185" t="s">
        <v>6388</v>
      </c>
      <c r="P82" s="185" t="s">
        <v>6389</v>
      </c>
      <c r="Q82" s="185"/>
      <c r="R82" s="185" t="s">
        <v>6390</v>
      </c>
      <c r="S82" s="185" t="s">
        <v>6110</v>
      </c>
      <c r="T82" s="185" t="s">
        <v>6391</v>
      </c>
      <c r="U82" s="187" t="s">
        <v>378</v>
      </c>
      <c r="V82" s="187" t="s">
        <v>378</v>
      </c>
      <c r="W82" s="187" t="s">
        <v>378</v>
      </c>
      <c r="X82" s="187" t="s">
        <v>378</v>
      </c>
      <c r="Y82" s="187" t="s">
        <v>378</v>
      </c>
      <c r="Z82" s="187" t="s">
        <v>378</v>
      </c>
      <c r="AA82" s="187" t="s">
        <v>378</v>
      </c>
      <c r="AB82" s="187" t="s">
        <v>378</v>
      </c>
      <c r="AC82" s="187" t="s">
        <v>378</v>
      </c>
      <c r="AD82" s="187" t="s">
        <v>378</v>
      </c>
    </row>
    <row r="83" spans="1:30" s="167" customFormat="1" ht="63.75">
      <c r="A83" s="181">
        <v>81</v>
      </c>
      <c r="B83" s="169" t="s">
        <v>5426</v>
      </c>
      <c r="C83" s="166" t="s">
        <v>6392</v>
      </c>
      <c r="D83" s="165" t="s">
        <v>6393</v>
      </c>
      <c r="E83" s="165"/>
      <c r="F83" s="107"/>
      <c r="G83" s="125" t="str">
        <f>VLOOKUP($B83,'Product-Requirement'!$B:$M,8,FALSE)</f>
        <v>PROTECT</v>
      </c>
      <c r="H83" s="125" t="str">
        <f>VLOOKUP($B83,'Product-Requirement'!$B:$M,9,FALSE)</f>
        <v>Data_Security</v>
      </c>
      <c r="I83" s="125" t="str">
        <f>VLOOKUP($B83,'Product-Requirement'!$B:$M,10,FALSE)</f>
        <v>PR.DS-6: Integrity checking mechanisms are used to verify software, firmware, and information integrity</v>
      </c>
      <c r="J83" s="125" t="str">
        <f>VLOOKUP($B83,'Product-Requirement'!$B:$M,11,FALSE)</f>
        <v>System_Design</v>
      </c>
      <c r="K83" s="125" t="str">
        <f>VLOOKUP($B83,'Product-Requirement'!$B:$M,12,FALSE)</f>
        <v>Manufacturer</v>
      </c>
      <c r="L83" s="125" t="s">
        <v>5965</v>
      </c>
      <c r="M83" s="185"/>
      <c r="N83" s="185"/>
      <c r="O83" s="185"/>
      <c r="P83" s="185" t="s">
        <v>6394</v>
      </c>
      <c r="Q83" s="185"/>
      <c r="R83" s="185"/>
      <c r="S83" s="185"/>
      <c r="T83" s="185"/>
      <c r="U83" s="188" t="s">
        <v>379</v>
      </c>
      <c r="V83" s="188" t="s">
        <v>379</v>
      </c>
      <c r="W83" s="188" t="s">
        <v>379</v>
      </c>
      <c r="X83" s="188" t="s">
        <v>379</v>
      </c>
      <c r="Y83" s="188" t="s">
        <v>379</v>
      </c>
      <c r="Z83" s="188" t="s">
        <v>379</v>
      </c>
      <c r="AA83" s="188" t="s">
        <v>379</v>
      </c>
      <c r="AB83" s="188" t="s">
        <v>379</v>
      </c>
      <c r="AC83" s="188" t="s">
        <v>379</v>
      </c>
      <c r="AD83" s="188" t="s">
        <v>379</v>
      </c>
    </row>
    <row r="84" spans="1:30" s="167" customFormat="1" ht="153">
      <c r="A84" s="182">
        <v>82</v>
      </c>
      <c r="B84" s="169" t="s">
        <v>5729</v>
      </c>
      <c r="C84" s="166" t="s">
        <v>6395</v>
      </c>
      <c r="D84" s="165" t="s">
        <v>6396</v>
      </c>
      <c r="E84" s="165"/>
      <c r="F84" s="107"/>
      <c r="G84" s="125" t="str">
        <f>VLOOKUP($B84,'Product-Requirement'!$B:$M,8,FALSE)</f>
        <v>PROTECT</v>
      </c>
      <c r="H84" s="125" t="str">
        <f>VLOOKUP($B84,'Product-Requirement'!$B:$M,9,FALSE)</f>
        <v>Data_Security</v>
      </c>
      <c r="I84" s="125" t="str">
        <f>VLOOKUP($B84,'Product-Requirement'!$B:$M,10,FALSE)</f>
        <v>PR.DS-6: Integrity checking mechanisms are used to verify software, firmware, and information integrity</v>
      </c>
      <c r="J84" s="125" t="str">
        <f>VLOOKUP($B84,'Product-Requirement'!$B:$M,11,FALSE)</f>
        <v>System_Design</v>
      </c>
      <c r="K84" s="125" t="str">
        <f>VLOOKUP($B84,'Product-Requirement'!$B:$M,12,FALSE)</f>
        <v>Manufacturer</v>
      </c>
      <c r="L84" s="125" t="s">
        <v>5965</v>
      </c>
      <c r="M84" s="185"/>
      <c r="N84" s="185"/>
      <c r="O84" s="185"/>
      <c r="P84" s="185"/>
      <c r="Q84" s="185" t="s">
        <v>6397</v>
      </c>
      <c r="R84" s="185"/>
      <c r="S84" s="185"/>
      <c r="T84" s="185"/>
      <c r="U84" s="187" t="s">
        <v>378</v>
      </c>
      <c r="V84" s="187" t="s">
        <v>378</v>
      </c>
      <c r="W84" s="187" t="s">
        <v>378</v>
      </c>
      <c r="X84" s="187" t="s">
        <v>378</v>
      </c>
      <c r="Y84" s="187" t="s">
        <v>378</v>
      </c>
      <c r="Z84" s="187" t="s">
        <v>378</v>
      </c>
      <c r="AA84" s="187" t="s">
        <v>378</v>
      </c>
      <c r="AB84" s="187" t="s">
        <v>378</v>
      </c>
      <c r="AC84" s="187" t="s">
        <v>378</v>
      </c>
      <c r="AD84" s="187" t="s">
        <v>378</v>
      </c>
    </row>
    <row r="85" spans="1:30" s="167" customFormat="1" ht="229.5">
      <c r="A85" s="181">
        <v>83</v>
      </c>
      <c r="B85" s="169" t="s">
        <v>1650</v>
      </c>
      <c r="C85" s="166" t="s">
        <v>6398</v>
      </c>
      <c r="D85" s="165" t="s">
        <v>6399</v>
      </c>
      <c r="E85" s="165"/>
      <c r="F85" s="84" t="s">
        <v>6400</v>
      </c>
      <c r="G85" s="125" t="str">
        <f>VLOOKUP($B85,'Product-Requirement'!$B:$M,8,FALSE)</f>
        <v>PROTECT</v>
      </c>
      <c r="H85" s="125" t="str">
        <f>VLOOKUP($B85,'Product-Requirement'!$B:$M,9,FALSE)</f>
        <v>Data_Security</v>
      </c>
      <c r="I85" s="125" t="str">
        <f>VLOOKUP($B85,'Product-Requirement'!$B:$M,10,FALSE)</f>
        <v>PR.DS-6: Integrity checking mechanisms are used to verify software, firmware, and information integrity</v>
      </c>
      <c r="J85" s="125" t="str">
        <f>VLOOKUP($B85,'Product-Requirement'!$B:$M,11,FALSE)</f>
        <v>System_Design</v>
      </c>
      <c r="K85" s="125" t="str">
        <f>VLOOKUP($B85,'Product-Requirement'!$B:$M,12,FALSE)</f>
        <v>Manufacturer</v>
      </c>
      <c r="L85" s="125" t="s">
        <v>5965</v>
      </c>
      <c r="M85" s="185"/>
      <c r="N85" s="185" t="s">
        <v>6401</v>
      </c>
      <c r="O85" s="185" t="s">
        <v>6402</v>
      </c>
      <c r="P85" s="185" t="s">
        <v>6403</v>
      </c>
      <c r="Q85" s="185"/>
      <c r="R85" s="185"/>
      <c r="S85" s="185" t="s">
        <v>6110</v>
      </c>
      <c r="T85" s="185" t="s">
        <v>6404</v>
      </c>
      <c r="U85" s="187" t="s">
        <v>378</v>
      </c>
      <c r="V85" s="187" t="s">
        <v>378</v>
      </c>
      <c r="W85" s="187" t="s">
        <v>378</v>
      </c>
      <c r="X85" s="187" t="s">
        <v>378</v>
      </c>
      <c r="Y85" s="187" t="s">
        <v>378</v>
      </c>
      <c r="Z85" s="187" t="s">
        <v>378</v>
      </c>
      <c r="AA85" s="187" t="s">
        <v>378</v>
      </c>
      <c r="AB85" s="187" t="s">
        <v>378</v>
      </c>
      <c r="AC85" s="187" t="s">
        <v>378</v>
      </c>
      <c r="AD85" s="187" t="s">
        <v>378</v>
      </c>
    </row>
    <row r="86" spans="1:30" s="167" customFormat="1" ht="89.25">
      <c r="A86" s="182">
        <v>84</v>
      </c>
      <c r="B86" s="169" t="s">
        <v>1672</v>
      </c>
      <c r="C86" s="166" t="s">
        <v>6405</v>
      </c>
      <c r="D86" s="165" t="s">
        <v>6406</v>
      </c>
      <c r="E86" s="173"/>
      <c r="F86" s="113" t="s">
        <v>6407</v>
      </c>
      <c r="G86" s="125" t="str">
        <f>VLOOKUP($B86,'Product-Requirement'!$B:$M,8,FALSE)</f>
        <v>PROTECT</v>
      </c>
      <c r="H86" s="125" t="str">
        <f>VLOOKUP($B86,'Product-Requirement'!$B:$M,9,FALSE)</f>
        <v>Data_Security</v>
      </c>
      <c r="I86" s="125" t="str">
        <f>VLOOKUP($B86,'Product-Requirement'!$B:$M,10,FALSE)</f>
        <v>PR.DS-6: Integrity checking mechanisms are used to verify software, firmware, and information integrity</v>
      </c>
      <c r="J86" s="125" t="str">
        <f>VLOOKUP($B86,'Product-Requirement'!$B:$M,11,FALSE)</f>
        <v>System_Design</v>
      </c>
      <c r="K86" s="125" t="str">
        <f>VLOOKUP($B86,'Product-Requirement'!$B:$M,12,FALSE)</f>
        <v>Manufacturer</v>
      </c>
      <c r="L86" s="125" t="s">
        <v>5965</v>
      </c>
      <c r="M86" s="185"/>
      <c r="N86" s="185"/>
      <c r="O86" s="185" t="s">
        <v>6408</v>
      </c>
      <c r="P86" s="185" t="s">
        <v>6409</v>
      </c>
      <c r="Q86" s="185"/>
      <c r="R86" s="185"/>
      <c r="S86" s="185"/>
      <c r="T86" s="185" t="s">
        <v>6410</v>
      </c>
      <c r="U86" s="187" t="s">
        <v>378</v>
      </c>
      <c r="V86" s="187" t="s">
        <v>378</v>
      </c>
      <c r="W86" s="187" t="s">
        <v>378</v>
      </c>
      <c r="X86" s="187" t="s">
        <v>378</v>
      </c>
      <c r="Y86" s="187" t="s">
        <v>378</v>
      </c>
      <c r="Z86" s="187" t="s">
        <v>378</v>
      </c>
      <c r="AA86" s="187" t="s">
        <v>378</v>
      </c>
      <c r="AB86" s="187" t="s">
        <v>378</v>
      </c>
      <c r="AC86" s="187" t="s">
        <v>378</v>
      </c>
      <c r="AD86" s="187" t="s">
        <v>378</v>
      </c>
    </row>
    <row r="87" spans="1:30" s="167" customFormat="1" ht="229.5">
      <c r="A87" s="181">
        <v>85</v>
      </c>
      <c r="B87" s="169" t="s">
        <v>4681</v>
      </c>
      <c r="C87" s="166" t="s">
        <v>6411</v>
      </c>
      <c r="D87" s="165" t="s">
        <v>6412</v>
      </c>
      <c r="E87" s="165"/>
      <c r="F87" s="107"/>
      <c r="G87" s="125" t="str">
        <f>VLOOKUP($B87,'Product-Requirement'!$B:$M,8,FALSE)</f>
        <v>PROTECT</v>
      </c>
      <c r="H87" s="125" t="str">
        <f>VLOOKUP($B87,'Product-Requirement'!$B:$M,9,FALSE)</f>
        <v>Data_Security</v>
      </c>
      <c r="I87" s="125" t="str">
        <f>VLOOKUP($B87,'Product-Requirement'!$B:$M,10,FALSE)</f>
        <v>PR.DS-6: Integrity checking mechanisms are used to verify software, firmware, and information integrity</v>
      </c>
      <c r="J87" s="125" t="str">
        <f>VLOOKUP($B87,'Product-Requirement'!$B:$M,11,FALSE)</f>
        <v>Wireless</v>
      </c>
      <c r="K87" s="125" t="str">
        <f>VLOOKUP($B87,'Product-Requirement'!$B:$M,12,FALSE)</f>
        <v>Manufacturer</v>
      </c>
      <c r="L87" s="125" t="s">
        <v>5965</v>
      </c>
      <c r="M87" s="185"/>
      <c r="N87" s="185"/>
      <c r="O87" s="185"/>
      <c r="P87" s="185" t="s">
        <v>6413</v>
      </c>
      <c r="Q87" s="185"/>
      <c r="R87" s="185"/>
      <c r="S87" s="185"/>
      <c r="T87" s="185"/>
      <c r="U87" s="188" t="s">
        <v>379</v>
      </c>
      <c r="V87" s="188" t="s">
        <v>379</v>
      </c>
      <c r="W87" s="188" t="s">
        <v>379</v>
      </c>
      <c r="X87" s="188" t="s">
        <v>379</v>
      </c>
      <c r="Y87" s="188" t="s">
        <v>379</v>
      </c>
      <c r="Z87" s="188" t="s">
        <v>379</v>
      </c>
      <c r="AA87" s="188" t="s">
        <v>379</v>
      </c>
      <c r="AB87" s="188" t="s">
        <v>379</v>
      </c>
      <c r="AC87" s="188" t="s">
        <v>379</v>
      </c>
      <c r="AD87" s="188" t="s">
        <v>379</v>
      </c>
    </row>
    <row r="88" spans="1:30" s="167" customFormat="1" ht="63.75">
      <c r="A88" s="182">
        <v>86</v>
      </c>
      <c r="B88" s="169" t="s">
        <v>4568</v>
      </c>
      <c r="C88" s="166" t="s">
        <v>6414</v>
      </c>
      <c r="D88" s="165" t="s">
        <v>6415</v>
      </c>
      <c r="E88" s="165"/>
      <c r="F88" s="175" t="s">
        <v>6416</v>
      </c>
      <c r="G88" s="125" t="str">
        <f>VLOOKUP($B88,'Product-Requirement'!$B:$M,8,FALSE)</f>
        <v>PROTECT</v>
      </c>
      <c r="H88" s="125" t="str">
        <f>VLOOKUP($B88,'Product-Requirement'!$B:$M,9,FALSE)</f>
        <v>Data_Security</v>
      </c>
      <c r="I88" s="125" t="str">
        <f>VLOOKUP($B88,'Product-Requirement'!$B:$M,10,FALSE)</f>
        <v>PR.DS-6: Integrity checking mechanisms are used to verify software, firmware, and information integrity</v>
      </c>
      <c r="J88" s="125" t="str">
        <f>VLOOKUP($B88,'Product-Requirement'!$B:$M,11,FALSE)</f>
        <v>Wireless</v>
      </c>
      <c r="K88" s="125" t="str">
        <f>VLOOKUP($B88,'Product-Requirement'!$B:$M,12,FALSE)</f>
        <v>Manufacturer</v>
      </c>
      <c r="L88" s="125" t="s">
        <v>5965</v>
      </c>
      <c r="M88" s="185"/>
      <c r="N88" s="185"/>
      <c r="O88" s="185"/>
      <c r="P88" s="185" t="s">
        <v>6198</v>
      </c>
      <c r="Q88" s="185"/>
      <c r="R88" s="185"/>
      <c r="S88" s="185"/>
      <c r="T88" s="185"/>
      <c r="U88" s="188" t="s">
        <v>379</v>
      </c>
      <c r="V88" s="188" t="s">
        <v>379</v>
      </c>
      <c r="W88" s="188" t="s">
        <v>379</v>
      </c>
      <c r="X88" s="188" t="s">
        <v>379</v>
      </c>
      <c r="Y88" s="188" t="s">
        <v>379</v>
      </c>
      <c r="Z88" s="188" t="s">
        <v>379</v>
      </c>
      <c r="AA88" s="188" t="s">
        <v>379</v>
      </c>
      <c r="AB88" s="188" t="s">
        <v>379</v>
      </c>
      <c r="AC88" s="188" t="s">
        <v>379</v>
      </c>
      <c r="AD88" s="188" t="s">
        <v>379</v>
      </c>
    </row>
    <row r="89" spans="1:30" s="167" customFormat="1" ht="51">
      <c r="A89" s="181">
        <v>87</v>
      </c>
      <c r="B89" s="169" t="s">
        <v>1933</v>
      </c>
      <c r="C89" s="166" t="s">
        <v>6417</v>
      </c>
      <c r="D89" s="165" t="s">
        <v>6418</v>
      </c>
      <c r="E89" s="165"/>
      <c r="F89" s="84" t="s">
        <v>6419</v>
      </c>
      <c r="G89" s="125" t="str">
        <f>VLOOKUP($B89,'Product-Requirement'!$B:$M,8,FALSE)</f>
        <v>PROTECT</v>
      </c>
      <c r="H89" s="125" t="str">
        <f>VLOOKUP($B89,'Product-Requirement'!$B:$M,9,FALSE)</f>
        <v>Data_Security</v>
      </c>
      <c r="I89" s="125" t="str">
        <f>VLOOKUP($B89,'Product-Requirement'!$B:$M,10,FALSE)</f>
        <v>PR.DS-6: Integrity checking mechanisms are used to verify software, firmware, and information integrity</v>
      </c>
      <c r="J89" s="125" t="str">
        <f>VLOOKUP($B89,'Product-Requirement'!$B:$M,11,FALSE)</f>
        <v>System_Design</v>
      </c>
      <c r="K89" s="125" t="str">
        <f>VLOOKUP($B89,'Product-Requirement'!$B:$M,12,FALSE)</f>
        <v>Manufacturer</v>
      </c>
      <c r="L89" s="125" t="s">
        <v>5965</v>
      </c>
      <c r="M89" s="185"/>
      <c r="N89" s="185"/>
      <c r="O89" s="185"/>
      <c r="P89" s="185" t="s">
        <v>6420</v>
      </c>
      <c r="Q89" s="185"/>
      <c r="R89" s="185"/>
      <c r="S89" s="185"/>
      <c r="T89" s="185" t="s">
        <v>6421</v>
      </c>
      <c r="U89" s="187" t="s">
        <v>378</v>
      </c>
      <c r="V89" s="187" t="s">
        <v>378</v>
      </c>
      <c r="W89" s="187" t="s">
        <v>378</v>
      </c>
      <c r="X89" s="188" t="s">
        <v>379</v>
      </c>
      <c r="Y89" s="188" t="s">
        <v>379</v>
      </c>
      <c r="Z89" s="188" t="s">
        <v>379</v>
      </c>
      <c r="AA89" s="188" t="s">
        <v>379</v>
      </c>
      <c r="AB89" s="187" t="s">
        <v>378</v>
      </c>
      <c r="AC89" s="188" t="s">
        <v>379</v>
      </c>
      <c r="AD89" s="188" t="s">
        <v>379</v>
      </c>
    </row>
    <row r="90" spans="1:30" s="167" customFormat="1" ht="102">
      <c r="A90" s="182">
        <v>88</v>
      </c>
      <c r="B90" s="169" t="s">
        <v>1481</v>
      </c>
      <c r="C90" s="166" t="s">
        <v>6422</v>
      </c>
      <c r="D90" s="165" t="s">
        <v>6423</v>
      </c>
      <c r="E90" s="165"/>
      <c r="F90" s="136"/>
      <c r="G90" s="125" t="str">
        <f>VLOOKUP($B90,'Product-Requirement'!$B:$M,8,FALSE)</f>
        <v>PROTECT</v>
      </c>
      <c r="H90" s="125" t="str">
        <f>VLOOKUP($B90,'Product-Requirement'!$B:$M,9,FALSE)</f>
        <v>Data_Security</v>
      </c>
      <c r="I90" s="125" t="str">
        <f>VLOOKUP($B90,'Product-Requirement'!$B:$M,10,FALSE)</f>
        <v>PR.DS-8: Integrity checking mechanisms are used to verify hardware integrity</v>
      </c>
      <c r="J90" s="125" t="str">
        <f>VLOOKUP($B90,'Product-Requirement'!$B:$M,11,FALSE)</f>
        <v>System_Design</v>
      </c>
      <c r="K90" s="125" t="str">
        <f>VLOOKUP($B90,'Product-Requirement'!$B:$M,12,FALSE)</f>
        <v>Manufacturer</v>
      </c>
      <c r="L90" s="125" t="s">
        <v>5965</v>
      </c>
      <c r="M90" s="185"/>
      <c r="N90" s="185"/>
      <c r="O90" s="185"/>
      <c r="P90" s="185" t="s">
        <v>6424</v>
      </c>
      <c r="Q90" s="185"/>
      <c r="R90" s="185"/>
      <c r="S90" s="185"/>
      <c r="T90" s="185"/>
      <c r="U90" s="187" t="s">
        <v>378</v>
      </c>
      <c r="V90" s="187" t="s">
        <v>378</v>
      </c>
      <c r="W90" s="187" t="s">
        <v>378</v>
      </c>
      <c r="X90" s="188" t="s">
        <v>379</v>
      </c>
      <c r="Y90" s="188" t="s">
        <v>379</v>
      </c>
      <c r="Z90" s="188" t="s">
        <v>379</v>
      </c>
      <c r="AA90" s="188" t="s">
        <v>379</v>
      </c>
      <c r="AB90" s="188" t="s">
        <v>379</v>
      </c>
      <c r="AC90" s="188" t="s">
        <v>379</v>
      </c>
      <c r="AD90" s="188" t="s">
        <v>379</v>
      </c>
    </row>
    <row r="91" spans="1:30" s="167" customFormat="1" ht="89.25">
      <c r="A91" s="181">
        <v>89</v>
      </c>
      <c r="B91" s="169" t="s">
        <v>981</v>
      </c>
      <c r="C91" s="166" t="s">
        <v>6425</v>
      </c>
      <c r="D91" s="165" t="s">
        <v>6426</v>
      </c>
      <c r="E91" s="165"/>
      <c r="F91" s="107"/>
      <c r="G91" s="125" t="str">
        <f>VLOOKUP($B91,'Product-Requirement'!$B:$M,8,FALSE)</f>
        <v>PROTECT</v>
      </c>
      <c r="H91" s="125" t="str">
        <f>VLOOKUP($B91,'Product-Requirement'!$B:$M,9,FALSE)</f>
        <v>Information_Protection_Processes_and_Procedures</v>
      </c>
      <c r="I91" s="125" t="str">
        <f>VLOOKUP($B91,'Product-Requirement'!$B:$M,10,FALSE)</f>
        <v>PR.IP-1: A baseline configuration of information technology/industrial control systems is created and maintained incorporating security principles (e.g. concept of least functionality)</v>
      </c>
      <c r="J91" s="125" t="str">
        <f>VLOOKUP($B91,'Product-Requirement'!$B:$M,11,FALSE)</f>
        <v>System_Design</v>
      </c>
      <c r="K91" s="125" t="str">
        <f>VLOOKUP($B91,'Product-Requirement'!$B:$M,12,FALSE)</f>
        <v>Manufacturer</v>
      </c>
      <c r="L91" s="125" t="s">
        <v>5965</v>
      </c>
      <c r="M91" s="185"/>
      <c r="N91" s="185"/>
      <c r="O91" s="185"/>
      <c r="P91" s="185" t="s">
        <v>6427</v>
      </c>
      <c r="Q91" s="185"/>
      <c r="R91" s="185"/>
      <c r="S91" s="185"/>
      <c r="T91" s="185"/>
      <c r="U91" s="187" t="s">
        <v>378</v>
      </c>
      <c r="V91" s="187" t="s">
        <v>378</v>
      </c>
      <c r="W91" s="187" t="s">
        <v>378</v>
      </c>
      <c r="X91" s="188" t="s">
        <v>379</v>
      </c>
      <c r="Y91" s="188" t="s">
        <v>379</v>
      </c>
      <c r="Z91" s="188" t="s">
        <v>379</v>
      </c>
      <c r="AA91" s="188" t="s">
        <v>379</v>
      </c>
      <c r="AB91" s="188" t="s">
        <v>379</v>
      </c>
      <c r="AC91" s="188" t="s">
        <v>379</v>
      </c>
      <c r="AD91" s="188" t="s">
        <v>379</v>
      </c>
    </row>
    <row r="92" spans="1:30" s="167" customFormat="1" ht="165.75">
      <c r="A92" s="182">
        <v>90</v>
      </c>
      <c r="B92" s="169" t="s">
        <v>1450</v>
      </c>
      <c r="C92" s="166" t="s">
        <v>6428</v>
      </c>
      <c r="D92" s="165" t="s">
        <v>6429</v>
      </c>
      <c r="E92" s="165"/>
      <c r="F92" s="107"/>
      <c r="G92" s="125" t="str">
        <f>VLOOKUP($B92,'Product-Requirement'!$B:$M,8,FALSE)</f>
        <v>PROTECT</v>
      </c>
      <c r="H92" s="125" t="str">
        <f>VLOOKUP($B92,'Product-Requirement'!$B:$M,9,FALSE)</f>
        <v>Information_Protection_Processes_and_Procedures</v>
      </c>
      <c r="I92" s="125" t="str">
        <f>VLOOKUP($B92,'Product-Requirement'!$B:$M,10,FALSE)</f>
        <v>PR.IP-1: A baseline configuration of information technology/industrial control systems is created and maintained incorporating security principles (e.g. concept of least functionality)</v>
      </c>
      <c r="J92" s="125" t="str">
        <f>VLOOKUP($B92,'Product-Requirement'!$B:$M,11,FALSE)</f>
        <v>System_Design</v>
      </c>
      <c r="K92" s="125" t="str">
        <f>VLOOKUP($B92,'Product-Requirement'!$B:$M,12,FALSE)</f>
        <v>Manufacturer</v>
      </c>
      <c r="L92" s="125" t="s">
        <v>5965</v>
      </c>
      <c r="M92" s="185"/>
      <c r="N92" s="185"/>
      <c r="O92" s="185"/>
      <c r="P92" s="185" t="s">
        <v>6430</v>
      </c>
      <c r="Q92" s="185"/>
      <c r="R92" s="185" t="s">
        <v>6431</v>
      </c>
      <c r="S92" s="185" t="s">
        <v>6110</v>
      </c>
      <c r="T92" s="185"/>
      <c r="U92" s="187" t="s">
        <v>378</v>
      </c>
      <c r="V92" s="187" t="s">
        <v>378</v>
      </c>
      <c r="W92" s="187" t="s">
        <v>378</v>
      </c>
      <c r="X92" s="188" t="s">
        <v>379</v>
      </c>
      <c r="Y92" s="188" t="s">
        <v>379</v>
      </c>
      <c r="Z92" s="188" t="s">
        <v>379</v>
      </c>
      <c r="AA92" s="188" t="s">
        <v>379</v>
      </c>
      <c r="AB92" s="188" t="s">
        <v>379</v>
      </c>
      <c r="AC92" s="188" t="s">
        <v>379</v>
      </c>
      <c r="AD92" s="188" t="s">
        <v>379</v>
      </c>
    </row>
    <row r="93" spans="1:30" s="167" customFormat="1" ht="76.5">
      <c r="A93" s="181">
        <v>91</v>
      </c>
      <c r="B93" s="169" t="s">
        <v>1726</v>
      </c>
      <c r="C93" s="166" t="s">
        <v>6432</v>
      </c>
      <c r="D93" s="165" t="s">
        <v>6433</v>
      </c>
      <c r="E93" s="165"/>
      <c r="F93" s="107"/>
      <c r="G93" s="125" t="str">
        <f>VLOOKUP($B93,'Product-Requirement'!$B:$M,8,FALSE)</f>
        <v>PROTECT</v>
      </c>
      <c r="H93" s="125" t="str">
        <f>VLOOKUP($B93,'Product-Requirement'!$B:$M,9,FALSE)</f>
        <v>Information_Protection_Processes_and_Procedures</v>
      </c>
      <c r="I93" s="125" t="str">
        <f>VLOOKUP($B93,'Product-Requirement'!$B:$M,10,FALSE)</f>
        <v>PR.IP-1: A baseline configuration of information technology/industrial control systems is created and maintained incorporating security principles (e.g. concept of least functionality)</v>
      </c>
      <c r="J93" s="125" t="str">
        <f>VLOOKUP($B93,'Product-Requirement'!$B:$M,11,FALSE)</f>
        <v>System_Design</v>
      </c>
      <c r="K93" s="125" t="str">
        <f>VLOOKUP($B93,'Product-Requirement'!$B:$M,12,FALSE)</f>
        <v>Manufacturer</v>
      </c>
      <c r="L93" s="125" t="s">
        <v>6100</v>
      </c>
      <c r="M93" s="185"/>
      <c r="N93" s="185"/>
      <c r="O93" s="185"/>
      <c r="P93" s="185" t="s">
        <v>6434</v>
      </c>
      <c r="Q93" s="185"/>
      <c r="R93" s="185"/>
      <c r="S93" s="185"/>
      <c r="T93" s="185"/>
      <c r="U93" s="187" t="s">
        <v>378</v>
      </c>
      <c r="V93" s="187" t="s">
        <v>378</v>
      </c>
      <c r="W93" s="187" t="s">
        <v>378</v>
      </c>
      <c r="X93" s="188" t="s">
        <v>379</v>
      </c>
      <c r="Y93" s="188" t="s">
        <v>379</v>
      </c>
      <c r="Z93" s="188" t="s">
        <v>379</v>
      </c>
      <c r="AA93" s="188" t="s">
        <v>379</v>
      </c>
      <c r="AB93" s="188" t="s">
        <v>379</v>
      </c>
      <c r="AC93" s="188" t="s">
        <v>379</v>
      </c>
      <c r="AD93" s="188" t="s">
        <v>379</v>
      </c>
    </row>
    <row r="94" spans="1:30" s="167" customFormat="1" ht="306">
      <c r="A94" s="182">
        <v>92</v>
      </c>
      <c r="B94" s="169" t="s">
        <v>995</v>
      </c>
      <c r="C94" s="166" t="s">
        <v>6435</v>
      </c>
      <c r="D94" s="165" t="s">
        <v>6436</v>
      </c>
      <c r="E94" s="165"/>
      <c r="F94" s="113" t="s">
        <v>6437</v>
      </c>
      <c r="G94" s="125" t="str">
        <f>VLOOKUP($B94,'Product-Requirement'!$B:$M,8,FALSE)</f>
        <v>PROTECT</v>
      </c>
      <c r="H94" s="125" t="str">
        <f>VLOOKUP($B94,'Product-Requirement'!$B:$M,9,FALSE)</f>
        <v>Information_Protection_Processes_and_Procedures</v>
      </c>
      <c r="I94" s="125" t="str">
        <f>VLOOKUP($B94,'Product-Requirement'!$B:$M,10,FALSE)</f>
        <v>PR.IP-3: Configuration change control processes are in place</v>
      </c>
      <c r="J94" s="125" t="str">
        <f>VLOOKUP($B94,'Product-Requirement'!$B:$M,11,FALSE)</f>
        <v>Infrastructure&amp;Network</v>
      </c>
      <c r="K94" s="125" t="str">
        <f>VLOOKUP($B94,'Product-Requirement'!$B:$M,12,FALSE)</f>
        <v>Manufacturer</v>
      </c>
      <c r="L94" s="125" t="s">
        <v>5965</v>
      </c>
      <c r="M94" s="185"/>
      <c r="N94" s="185"/>
      <c r="O94" s="185" t="s">
        <v>6438</v>
      </c>
      <c r="P94" s="185" t="s">
        <v>6439</v>
      </c>
      <c r="Q94" s="185"/>
      <c r="R94" s="185"/>
      <c r="S94" s="185" t="s">
        <v>6110</v>
      </c>
      <c r="T94" s="185" t="s">
        <v>6410</v>
      </c>
      <c r="U94" s="187" t="s">
        <v>378</v>
      </c>
      <c r="V94" s="187" t="s">
        <v>378</v>
      </c>
      <c r="W94" s="187" t="s">
        <v>378</v>
      </c>
      <c r="X94" s="187" t="s">
        <v>378</v>
      </c>
      <c r="Y94" s="187" t="s">
        <v>378</v>
      </c>
      <c r="Z94" s="187" t="s">
        <v>378</v>
      </c>
      <c r="AA94" s="187" t="s">
        <v>378</v>
      </c>
      <c r="AB94" s="187" t="s">
        <v>378</v>
      </c>
      <c r="AC94" s="187" t="s">
        <v>378</v>
      </c>
      <c r="AD94" s="187" t="s">
        <v>378</v>
      </c>
    </row>
    <row r="95" spans="1:30" s="167" customFormat="1" ht="140.25">
      <c r="A95" s="181">
        <v>93</v>
      </c>
      <c r="B95" s="169" t="s">
        <v>892</v>
      </c>
      <c r="C95" s="166" t="s">
        <v>6440</v>
      </c>
      <c r="D95" s="165" t="s">
        <v>6441</v>
      </c>
      <c r="E95" s="165"/>
      <c r="F95" s="125"/>
      <c r="G95" s="125" t="str">
        <f>VLOOKUP($B95,'Product-Requirement'!$B:$M,8,FALSE)</f>
        <v>PROTECT</v>
      </c>
      <c r="H95" s="125" t="str">
        <f>VLOOKUP($B95,'Product-Requirement'!$B:$M,9,FALSE)</f>
        <v>Information_Protection_Processes_and_Procedures</v>
      </c>
      <c r="I95" s="125" t="str">
        <f>VLOOKUP($B95,'Product-Requirement'!$B:$M,10,FALSE)</f>
        <v xml:space="preserve">PR.IP-4: Backups of information are conducted, maintained, and tested </v>
      </c>
      <c r="J95" s="125" t="str">
        <f>VLOOKUP($B95,'Product-Requirement'!$B:$M,11,FALSE)</f>
        <v>System_Design</v>
      </c>
      <c r="K95" s="125" t="str">
        <f>VLOOKUP($B95,'Product-Requirement'!$B:$M,12,FALSE)</f>
        <v>Manufacturer</v>
      </c>
      <c r="L95" s="125" t="s">
        <v>5965</v>
      </c>
      <c r="M95" s="185"/>
      <c r="N95" s="185"/>
      <c r="O95" s="185" t="s">
        <v>6442</v>
      </c>
      <c r="P95" s="185" t="s">
        <v>6443</v>
      </c>
      <c r="Q95" s="185" t="s">
        <v>6444</v>
      </c>
      <c r="R95" s="185"/>
      <c r="S95" s="185"/>
      <c r="T95" s="185" t="s">
        <v>6445</v>
      </c>
      <c r="U95" s="187" t="s">
        <v>378</v>
      </c>
      <c r="V95" s="187" t="s">
        <v>378</v>
      </c>
      <c r="W95" s="187" t="s">
        <v>378</v>
      </c>
      <c r="X95" s="187" t="s">
        <v>378</v>
      </c>
      <c r="Y95" s="187" t="s">
        <v>378</v>
      </c>
      <c r="Z95" s="187" t="s">
        <v>378</v>
      </c>
      <c r="AA95" s="187" t="s">
        <v>378</v>
      </c>
      <c r="AB95" s="187" t="s">
        <v>378</v>
      </c>
      <c r="AC95" s="187" t="s">
        <v>378</v>
      </c>
      <c r="AD95" s="187" t="s">
        <v>378</v>
      </c>
    </row>
    <row r="96" spans="1:30" s="167" customFormat="1" ht="38.25">
      <c r="A96" s="182">
        <v>94</v>
      </c>
      <c r="B96" s="169" t="s">
        <v>3219</v>
      </c>
      <c r="C96" s="166" t="s">
        <v>6446</v>
      </c>
      <c r="D96" s="165" t="s">
        <v>6447</v>
      </c>
      <c r="E96" s="165"/>
      <c r="F96" s="125"/>
      <c r="G96" s="125" t="str">
        <f>VLOOKUP($B96,'Product-Requirement'!$B:$M,8,FALSE)</f>
        <v>PROTECT</v>
      </c>
      <c r="H96" s="125" t="str">
        <f>VLOOKUP($B96,'Product-Requirement'!$B:$M,9,FALSE)</f>
        <v>Information_Protection_Processes_and_Procedures</v>
      </c>
      <c r="I96" s="125" t="str">
        <f>VLOOKUP($B96,'Product-Requirement'!$B:$M,10,FALSE)</f>
        <v xml:space="preserve">PR.IP-4: Backups of information are conducted, maintained, and tested </v>
      </c>
      <c r="J96" s="125" t="str">
        <f>VLOOKUP($B96,'Product-Requirement'!$B:$M,11,FALSE)</f>
        <v>System_Design</v>
      </c>
      <c r="K96" s="125" t="str">
        <f>VLOOKUP($B96,'Product-Requirement'!$B:$M,12,FALSE)</f>
        <v>Manufacturer</v>
      </c>
      <c r="L96" s="125" t="s">
        <v>5965</v>
      </c>
      <c r="M96" s="185"/>
      <c r="N96" s="185"/>
      <c r="O96" s="185" t="s">
        <v>6448</v>
      </c>
      <c r="P96" s="185"/>
      <c r="Q96" s="185"/>
      <c r="R96" s="185"/>
      <c r="S96" s="185"/>
      <c r="T96" s="185" t="s">
        <v>6181</v>
      </c>
      <c r="U96" s="187" t="s">
        <v>378</v>
      </c>
      <c r="V96" s="187" t="s">
        <v>378</v>
      </c>
      <c r="W96" s="187" t="s">
        <v>378</v>
      </c>
      <c r="X96" s="187" t="s">
        <v>378</v>
      </c>
      <c r="Y96" s="187" t="s">
        <v>378</v>
      </c>
      <c r="Z96" s="187" t="s">
        <v>378</v>
      </c>
      <c r="AA96" s="187" t="s">
        <v>378</v>
      </c>
      <c r="AB96" s="187" t="s">
        <v>378</v>
      </c>
      <c r="AC96" s="187" t="s">
        <v>378</v>
      </c>
      <c r="AD96" s="187" t="s">
        <v>378</v>
      </c>
    </row>
    <row r="97" spans="1:100" s="167" customFormat="1" ht="89.25">
      <c r="A97" s="181">
        <v>95</v>
      </c>
      <c r="B97" s="169" t="s">
        <v>1131</v>
      </c>
      <c r="C97" s="166" t="s">
        <v>6449</v>
      </c>
      <c r="D97" s="165" t="s">
        <v>6450</v>
      </c>
      <c r="E97" s="165"/>
      <c r="F97" s="125"/>
      <c r="G97" s="125" t="str">
        <f>VLOOKUP($B97,'Product-Requirement'!$B:$M,8,FALSE)</f>
        <v>PROTECT</v>
      </c>
      <c r="H97" s="125" t="str">
        <f>VLOOKUP($B97,'Product-Requirement'!$B:$M,9,FALSE)</f>
        <v>Information_Protection_Processes_and_Procedures</v>
      </c>
      <c r="I97" s="125" t="str">
        <f>VLOOKUP($B97,'Product-Requirement'!$B:$M,10,FALSE)</f>
        <v xml:space="preserve">PR.IP-4: Backups of information are conducted, maintained, and tested </v>
      </c>
      <c r="J97" s="125" t="str">
        <f>VLOOKUP($B97,'Product-Requirement'!$B:$M,11,FALSE)</f>
        <v>System_Design</v>
      </c>
      <c r="K97" s="125" t="str">
        <f>VLOOKUP($B97,'Product-Requirement'!$B:$M,12,FALSE)</f>
        <v>Manufacturer</v>
      </c>
      <c r="L97" s="125" t="s">
        <v>5965</v>
      </c>
      <c r="M97" s="185"/>
      <c r="N97" s="185"/>
      <c r="O97" s="185" t="s">
        <v>6451</v>
      </c>
      <c r="P97" s="185" t="s">
        <v>6452</v>
      </c>
      <c r="Q97" s="185"/>
      <c r="R97" s="185"/>
      <c r="S97" s="185"/>
      <c r="T97" s="185" t="s">
        <v>6453</v>
      </c>
      <c r="U97" s="187" t="s">
        <v>378</v>
      </c>
      <c r="V97" s="187" t="s">
        <v>378</v>
      </c>
      <c r="W97" s="187" t="s">
        <v>378</v>
      </c>
      <c r="X97" s="187" t="s">
        <v>378</v>
      </c>
      <c r="Y97" s="187" t="s">
        <v>378</v>
      </c>
      <c r="Z97" s="187" t="s">
        <v>378</v>
      </c>
      <c r="AA97" s="187" t="s">
        <v>378</v>
      </c>
      <c r="AB97" s="187" t="s">
        <v>378</v>
      </c>
      <c r="AC97" s="187" t="s">
        <v>378</v>
      </c>
      <c r="AD97" s="187" t="s">
        <v>378</v>
      </c>
    </row>
    <row r="98" spans="1:100" s="167" customFormat="1" ht="63.75">
      <c r="A98" s="181">
        <v>97</v>
      </c>
      <c r="B98" s="176" t="s">
        <v>1490</v>
      </c>
      <c r="C98" s="165" t="s">
        <v>6454</v>
      </c>
      <c r="D98" s="165" t="s">
        <v>6455</v>
      </c>
      <c r="E98" s="165"/>
      <c r="F98" s="113" t="s">
        <v>6456</v>
      </c>
      <c r="G98" s="125" t="str">
        <f>VLOOKUP($B98,'Product-Requirement'!$B:$M,8,FALSE)</f>
        <v>PROTECT</v>
      </c>
      <c r="H98" s="125" t="str">
        <f>VLOOKUP($B98,'Product-Requirement'!$B:$M,9,FALSE)</f>
        <v>Information_Protection_Processes_and_Procedures</v>
      </c>
      <c r="I98" s="125" t="s">
        <v>761</v>
      </c>
      <c r="J98" s="125" t="str">
        <f>VLOOKUP($B98,'Product-Requirement'!$B:$M,11,FALSE)</f>
        <v>Infrastructure&amp;Network</v>
      </c>
      <c r="K98" s="125" t="str">
        <f>VLOOKUP($B98,'Product-Requirement'!$B:$M,12,FALSE)</f>
        <v>Manufacturer</v>
      </c>
      <c r="L98" s="125" t="s">
        <v>5965</v>
      </c>
      <c r="M98" s="185"/>
      <c r="N98" s="185"/>
      <c r="O98" s="185"/>
      <c r="P98" s="185" t="s">
        <v>6457</v>
      </c>
      <c r="Q98" s="185"/>
      <c r="R98" s="185"/>
      <c r="S98" s="185"/>
      <c r="T98" s="185" t="s">
        <v>6458</v>
      </c>
      <c r="U98" s="187" t="s">
        <v>378</v>
      </c>
      <c r="V98" s="187" t="s">
        <v>378</v>
      </c>
      <c r="W98" s="187" t="s">
        <v>378</v>
      </c>
      <c r="X98" s="188" t="s">
        <v>379</v>
      </c>
      <c r="Y98" s="188" t="s">
        <v>379</v>
      </c>
      <c r="Z98" s="188" t="s">
        <v>379</v>
      </c>
      <c r="AA98" s="188" t="s">
        <v>379</v>
      </c>
      <c r="AB98" s="187" t="s">
        <v>378</v>
      </c>
      <c r="AC98" s="188" t="s">
        <v>379</v>
      </c>
      <c r="AD98" s="188" t="s">
        <v>379</v>
      </c>
    </row>
    <row r="99" spans="1:100" s="167" customFormat="1" ht="38.25">
      <c r="A99" s="181">
        <v>99</v>
      </c>
      <c r="B99" s="169" t="s">
        <v>1547</v>
      </c>
      <c r="C99" s="166" t="s">
        <v>6459</v>
      </c>
      <c r="D99" s="165" t="s">
        <v>6460</v>
      </c>
      <c r="E99" s="173"/>
      <c r="F99" s="107"/>
      <c r="G99" s="125" t="str">
        <f>VLOOKUP($B99,'Product-Requirement'!$B:$M,8,FALSE)</f>
        <v>PROTECT</v>
      </c>
      <c r="H99" s="125" t="str">
        <f>VLOOKUP($B99,'Product-Requirement'!$B:$M,9,FALSE)</f>
        <v>Information_Protection_Processes_and_Procedures</v>
      </c>
      <c r="I99" s="125" t="s">
        <v>761</v>
      </c>
      <c r="J99" s="125" t="str">
        <f>VLOOKUP($B99,'Product-Requirement'!$B:$M,11,FALSE)</f>
        <v>System_Design</v>
      </c>
      <c r="K99" s="125" t="str">
        <f>VLOOKUP($B99,'Product-Requirement'!$B:$M,12,FALSE)</f>
        <v>Manufacturer</v>
      </c>
      <c r="L99" s="125" t="s">
        <v>5965</v>
      </c>
      <c r="M99" s="185"/>
      <c r="N99" s="185"/>
      <c r="O99" s="185"/>
      <c r="P99" s="185" t="s">
        <v>6461</v>
      </c>
      <c r="Q99" s="185"/>
      <c r="R99" s="185"/>
      <c r="S99" s="185"/>
      <c r="T99" s="185"/>
      <c r="U99" s="187" t="s">
        <v>378</v>
      </c>
      <c r="V99" s="187" t="s">
        <v>378</v>
      </c>
      <c r="W99" s="187" t="s">
        <v>378</v>
      </c>
      <c r="X99" s="188" t="s">
        <v>379</v>
      </c>
      <c r="Y99" s="188" t="s">
        <v>379</v>
      </c>
      <c r="Z99" s="188" t="s">
        <v>379</v>
      </c>
      <c r="AA99" s="188" t="s">
        <v>379</v>
      </c>
      <c r="AB99" s="188" t="s">
        <v>379</v>
      </c>
      <c r="AC99" s="188" t="s">
        <v>379</v>
      </c>
      <c r="AD99" s="188" t="s">
        <v>379</v>
      </c>
    </row>
    <row r="100" spans="1:100" s="177" customFormat="1" ht="153">
      <c r="A100" s="182">
        <v>100</v>
      </c>
      <c r="B100" s="169" t="s">
        <v>5207</v>
      </c>
      <c r="C100" s="166" t="s">
        <v>6462</v>
      </c>
      <c r="D100" s="165" t="s">
        <v>6463</v>
      </c>
      <c r="E100" s="173"/>
      <c r="F100" s="113" t="s">
        <v>6464</v>
      </c>
      <c r="G100" s="125" t="str">
        <f>VLOOKUP($B100,'Product-Requirement'!$B:$M,8,FALSE)</f>
        <v>PROTECT</v>
      </c>
      <c r="H100" s="125" t="str">
        <f>VLOOKUP($B100,'Product-Requirement'!$B:$M,9,FALSE)</f>
        <v>Information_Protection_Processes_and_Procedures</v>
      </c>
      <c r="I100" s="125" t="s">
        <v>761</v>
      </c>
      <c r="J100" s="125" t="str">
        <f>VLOOKUP($B100,'Product-Requirement'!$B:$M,11,FALSE)</f>
        <v>System_Design</v>
      </c>
      <c r="K100" s="125" t="str">
        <f>VLOOKUP($B100,'Product-Requirement'!$B:$M,12,FALSE)</f>
        <v>Manufacturer</v>
      </c>
      <c r="L100" s="125" t="s">
        <v>5965</v>
      </c>
      <c r="M100" s="185"/>
      <c r="N100" s="185"/>
      <c r="O100" s="185"/>
      <c r="P100" s="185" t="s">
        <v>6465</v>
      </c>
      <c r="Q100" s="185"/>
      <c r="R100" s="185"/>
      <c r="S100" s="185"/>
      <c r="T100" s="185"/>
      <c r="U100" s="188" t="s">
        <v>379</v>
      </c>
      <c r="V100" s="188" t="s">
        <v>379</v>
      </c>
      <c r="W100" s="188" t="s">
        <v>379</v>
      </c>
      <c r="X100" s="188" t="s">
        <v>379</v>
      </c>
      <c r="Y100" s="188" t="s">
        <v>379</v>
      </c>
      <c r="Z100" s="188" t="s">
        <v>379</v>
      </c>
      <c r="AA100" s="188" t="s">
        <v>379</v>
      </c>
      <c r="AB100" s="188" t="s">
        <v>379</v>
      </c>
      <c r="AC100" s="188" t="s">
        <v>379</v>
      </c>
      <c r="AD100" s="188" t="s">
        <v>379</v>
      </c>
      <c r="AE100" s="167"/>
      <c r="AF100" s="167"/>
      <c r="AG100" s="167"/>
      <c r="AH100" s="167"/>
      <c r="AI100" s="167"/>
      <c r="AJ100" s="167"/>
      <c r="AK100" s="167"/>
      <c r="AL100" s="167"/>
      <c r="AM100" s="167"/>
      <c r="AN100" s="167"/>
      <c r="AO100" s="167"/>
      <c r="AP100" s="167"/>
      <c r="AQ100" s="167"/>
      <c r="AR100" s="167"/>
      <c r="AS100" s="167"/>
      <c r="AT100" s="167"/>
      <c r="AU100" s="167"/>
      <c r="AV100" s="167"/>
      <c r="AW100" s="167"/>
      <c r="AX100" s="167"/>
      <c r="AY100" s="167"/>
      <c r="AZ100" s="167"/>
      <c r="BA100" s="167"/>
      <c r="BB100" s="167"/>
      <c r="BC100" s="167"/>
      <c r="BD100" s="167"/>
      <c r="BE100" s="167"/>
      <c r="BF100" s="167"/>
      <c r="BG100" s="167"/>
      <c r="BH100" s="167"/>
      <c r="BI100" s="167"/>
      <c r="BJ100" s="167"/>
      <c r="BK100" s="167"/>
      <c r="BL100" s="167"/>
      <c r="BM100" s="167"/>
      <c r="BN100" s="167"/>
      <c r="BO100" s="167"/>
      <c r="BP100" s="167"/>
      <c r="BQ100" s="167"/>
      <c r="BR100" s="167"/>
      <c r="BS100" s="167"/>
      <c r="BT100" s="167"/>
      <c r="BU100" s="167"/>
      <c r="BV100" s="167"/>
      <c r="BW100" s="167"/>
      <c r="BX100" s="167"/>
      <c r="BY100" s="167"/>
      <c r="BZ100" s="167"/>
      <c r="CA100" s="167"/>
      <c r="CB100" s="167"/>
      <c r="CC100" s="167"/>
      <c r="CD100" s="167"/>
      <c r="CE100" s="167"/>
      <c r="CF100" s="167"/>
      <c r="CG100" s="167"/>
      <c r="CH100" s="167"/>
      <c r="CI100" s="167"/>
      <c r="CJ100" s="167"/>
      <c r="CK100" s="167"/>
      <c r="CL100" s="167"/>
      <c r="CM100" s="167"/>
      <c r="CN100" s="167"/>
      <c r="CO100" s="167"/>
      <c r="CP100" s="167"/>
      <c r="CQ100" s="167"/>
      <c r="CR100" s="167"/>
      <c r="CS100" s="167"/>
      <c r="CT100" s="167"/>
      <c r="CU100" s="167"/>
      <c r="CV100" s="167"/>
    </row>
    <row r="101" spans="1:100" s="167" customFormat="1" ht="153">
      <c r="A101" s="181">
        <v>101</v>
      </c>
      <c r="B101" s="169" t="s">
        <v>5232</v>
      </c>
      <c r="C101" s="166" t="s">
        <v>6466</v>
      </c>
      <c r="D101" s="165" t="s">
        <v>6467</v>
      </c>
      <c r="E101" s="173"/>
      <c r="F101" s="113" t="s">
        <v>6468</v>
      </c>
      <c r="G101" s="125" t="str">
        <f>VLOOKUP($B101,'Product-Requirement'!$B:$M,8,FALSE)</f>
        <v>PROTECT</v>
      </c>
      <c r="H101" s="125" t="str">
        <f>VLOOKUP($B101,'Product-Requirement'!$B:$M,9,FALSE)</f>
        <v>Information_Protection_Processes_and_Procedures</v>
      </c>
      <c r="I101" s="125" t="s">
        <v>761</v>
      </c>
      <c r="J101" s="125" t="str">
        <f>VLOOKUP($B101,'Product-Requirement'!$B:$M,11,FALSE)</f>
        <v>System_Design</v>
      </c>
      <c r="K101" s="125" t="str">
        <f>VLOOKUP($B101,'Product-Requirement'!$B:$M,12,FALSE)</f>
        <v>Manufacturer</v>
      </c>
      <c r="L101" s="125" t="s">
        <v>5965</v>
      </c>
      <c r="M101" s="185"/>
      <c r="N101" s="185"/>
      <c r="O101" s="185"/>
      <c r="P101" s="185" t="s">
        <v>6469</v>
      </c>
      <c r="Q101" s="185"/>
      <c r="R101" s="185"/>
      <c r="S101" s="185"/>
      <c r="T101" s="185"/>
      <c r="U101" s="188" t="s">
        <v>379</v>
      </c>
      <c r="V101" s="188" t="s">
        <v>379</v>
      </c>
      <c r="W101" s="188" t="s">
        <v>379</v>
      </c>
      <c r="X101" s="188" t="s">
        <v>379</v>
      </c>
      <c r="Y101" s="188" t="s">
        <v>379</v>
      </c>
      <c r="Z101" s="188" t="s">
        <v>379</v>
      </c>
      <c r="AA101" s="188" t="s">
        <v>379</v>
      </c>
      <c r="AB101" s="188" t="s">
        <v>379</v>
      </c>
      <c r="AC101" s="188" t="s">
        <v>379</v>
      </c>
      <c r="AD101" s="188" t="s">
        <v>379</v>
      </c>
    </row>
    <row r="102" spans="1:100" s="177" customFormat="1" ht="140.25">
      <c r="A102" s="182">
        <v>102</v>
      </c>
      <c r="B102" s="169" t="s">
        <v>5242</v>
      </c>
      <c r="C102" s="166" t="s">
        <v>6470</v>
      </c>
      <c r="D102" s="165" t="s">
        <v>6471</v>
      </c>
      <c r="E102" s="173"/>
      <c r="F102" s="113" t="s">
        <v>6472</v>
      </c>
      <c r="G102" s="125" t="str">
        <f>VLOOKUP($B102,'Product-Requirement'!$B:$M,8,FALSE)</f>
        <v>PROTECT</v>
      </c>
      <c r="H102" s="125" t="str">
        <f>VLOOKUP($B102,'Product-Requirement'!$B:$M,9,FALSE)</f>
        <v>Information_Protection_Processes_and_Procedures</v>
      </c>
      <c r="I102" s="125" t="s">
        <v>761</v>
      </c>
      <c r="J102" s="125" t="str">
        <f>VLOOKUP($B102,'Product-Requirement'!$B:$M,11,FALSE)</f>
        <v>System_Design</v>
      </c>
      <c r="K102" s="125" t="str">
        <f>VLOOKUP($B102,'Product-Requirement'!$B:$M,12,FALSE)</f>
        <v>Manufacturer</v>
      </c>
      <c r="L102" s="125" t="s">
        <v>5965</v>
      </c>
      <c r="M102" s="185"/>
      <c r="N102" s="185"/>
      <c r="O102" s="185"/>
      <c r="P102" s="185" t="s">
        <v>6473</v>
      </c>
      <c r="Q102" s="185"/>
      <c r="R102" s="185"/>
      <c r="S102" s="185"/>
      <c r="T102" s="185"/>
      <c r="U102" s="188" t="s">
        <v>379</v>
      </c>
      <c r="V102" s="188" t="s">
        <v>379</v>
      </c>
      <c r="W102" s="188" t="s">
        <v>379</v>
      </c>
      <c r="X102" s="188" t="s">
        <v>379</v>
      </c>
      <c r="Y102" s="188" t="s">
        <v>379</v>
      </c>
      <c r="Z102" s="188" t="s">
        <v>379</v>
      </c>
      <c r="AA102" s="188" t="s">
        <v>379</v>
      </c>
      <c r="AB102" s="188" t="s">
        <v>379</v>
      </c>
      <c r="AC102" s="188" t="s">
        <v>379</v>
      </c>
      <c r="AD102" s="188" t="s">
        <v>379</v>
      </c>
      <c r="AE102" s="167"/>
      <c r="AF102" s="167"/>
      <c r="AG102" s="167"/>
      <c r="AH102" s="167"/>
      <c r="AI102" s="167"/>
      <c r="AJ102" s="167"/>
      <c r="AK102" s="167"/>
      <c r="AL102" s="167"/>
      <c r="AM102" s="167"/>
      <c r="AN102" s="167"/>
      <c r="AO102" s="167"/>
      <c r="AP102" s="167"/>
      <c r="AQ102" s="167"/>
      <c r="AR102" s="167"/>
      <c r="AS102" s="167"/>
      <c r="AT102" s="167"/>
      <c r="AU102" s="167"/>
      <c r="AV102" s="167"/>
      <c r="AW102" s="167"/>
      <c r="AX102" s="167"/>
      <c r="AY102" s="167"/>
      <c r="AZ102" s="167"/>
      <c r="BA102" s="167"/>
      <c r="BB102" s="167"/>
      <c r="BC102" s="167"/>
      <c r="BD102" s="167"/>
      <c r="BE102" s="167"/>
      <c r="BF102" s="167"/>
      <c r="BG102" s="167"/>
      <c r="BH102" s="167"/>
      <c r="BI102" s="167"/>
      <c r="BJ102" s="167"/>
      <c r="BK102" s="167"/>
      <c r="BL102" s="167"/>
      <c r="BM102" s="167"/>
      <c r="BN102" s="167"/>
      <c r="BO102" s="167"/>
      <c r="BP102" s="167"/>
      <c r="BQ102" s="167"/>
      <c r="BR102" s="167"/>
      <c r="BS102" s="167"/>
      <c r="BT102" s="167"/>
      <c r="BU102" s="167"/>
      <c r="BV102" s="167"/>
      <c r="BW102" s="167"/>
      <c r="BX102" s="167"/>
      <c r="BY102" s="167"/>
      <c r="BZ102" s="167"/>
      <c r="CA102" s="167"/>
      <c r="CB102" s="167"/>
      <c r="CC102" s="167"/>
      <c r="CD102" s="167"/>
      <c r="CE102" s="167"/>
      <c r="CF102" s="167"/>
      <c r="CG102" s="167"/>
      <c r="CH102" s="167"/>
      <c r="CI102" s="167"/>
      <c r="CJ102" s="167"/>
      <c r="CK102" s="167"/>
      <c r="CL102" s="167"/>
      <c r="CM102" s="167"/>
      <c r="CN102" s="167"/>
      <c r="CO102" s="167"/>
      <c r="CP102" s="167"/>
      <c r="CQ102" s="167"/>
      <c r="CR102" s="167"/>
      <c r="CS102" s="167"/>
      <c r="CT102" s="167"/>
      <c r="CU102" s="167"/>
      <c r="CV102" s="167"/>
    </row>
    <row r="103" spans="1:100" s="167" customFormat="1" ht="51">
      <c r="A103" s="181">
        <v>103</v>
      </c>
      <c r="B103" s="169" t="s">
        <v>5344</v>
      </c>
      <c r="C103" s="166" t="s">
        <v>6474</v>
      </c>
      <c r="D103" s="165" t="s">
        <v>6475</v>
      </c>
      <c r="E103" s="173"/>
      <c r="F103" s="113" t="s">
        <v>6476</v>
      </c>
      <c r="G103" s="125" t="str">
        <f>VLOOKUP($B103,'Product-Requirement'!$B:$M,8,FALSE)</f>
        <v>PROTECT</v>
      </c>
      <c r="H103" s="125" t="str">
        <f>VLOOKUP($B103,'Product-Requirement'!$B:$M,9,FALSE)</f>
        <v>Information_Protection_Processes_and_Procedures</v>
      </c>
      <c r="I103" s="125" t="s">
        <v>761</v>
      </c>
      <c r="J103" s="125" t="str">
        <f>VLOOKUP($B103,'Product-Requirement'!$B:$M,11,FALSE)</f>
        <v>System_Design</v>
      </c>
      <c r="K103" s="125" t="str">
        <f>VLOOKUP($B103,'Product-Requirement'!$B:$M,12,FALSE)</f>
        <v>Manufacturer</v>
      </c>
      <c r="L103" s="125" t="s">
        <v>5965</v>
      </c>
      <c r="M103" s="185"/>
      <c r="N103" s="185"/>
      <c r="O103" s="185"/>
      <c r="P103" s="185" t="s">
        <v>6477</v>
      </c>
      <c r="Q103" s="185"/>
      <c r="R103" s="185"/>
      <c r="S103" s="185"/>
      <c r="T103" s="185"/>
      <c r="U103" s="188" t="s">
        <v>379</v>
      </c>
      <c r="V103" s="188" t="s">
        <v>379</v>
      </c>
      <c r="W103" s="188" t="s">
        <v>379</v>
      </c>
      <c r="X103" s="188" t="s">
        <v>379</v>
      </c>
      <c r="Y103" s="188" t="s">
        <v>379</v>
      </c>
      <c r="Z103" s="188" t="s">
        <v>379</v>
      </c>
      <c r="AA103" s="188" t="s">
        <v>379</v>
      </c>
      <c r="AB103" s="188" t="s">
        <v>379</v>
      </c>
      <c r="AC103" s="188" t="s">
        <v>379</v>
      </c>
      <c r="AD103" s="188" t="s">
        <v>379</v>
      </c>
    </row>
    <row r="104" spans="1:100" s="167" customFormat="1" ht="63.75">
      <c r="A104" s="182">
        <v>104</v>
      </c>
      <c r="B104" s="169" t="s">
        <v>3451</v>
      </c>
      <c r="C104" s="166" t="s">
        <v>6478</v>
      </c>
      <c r="D104" s="165" t="s">
        <v>6479</v>
      </c>
      <c r="E104" s="173"/>
      <c r="F104" s="107" t="s">
        <v>3577</v>
      </c>
      <c r="G104" s="125" t="str">
        <f>VLOOKUP($B104,'Product-Requirement'!$B:$M,8,FALSE)</f>
        <v>PROTECT</v>
      </c>
      <c r="H104" s="125" t="str">
        <f>VLOOKUP($B104,'Product-Requirement'!$B:$M,9,FALSE)</f>
        <v>Information_Protection_Processes_and_Procedures</v>
      </c>
      <c r="I104" s="125" t="s">
        <v>761</v>
      </c>
      <c r="J104" s="125" t="str">
        <f>VLOOKUP($B104,'Product-Requirement'!$B:$M,11,FALSE)</f>
        <v>System_Design</v>
      </c>
      <c r="K104" s="125" t="str">
        <f>VLOOKUP($B104,'Product-Requirement'!$B:$M,12,FALSE)</f>
        <v>Manufacturer</v>
      </c>
      <c r="L104" s="125" t="s">
        <v>5965</v>
      </c>
      <c r="M104" s="185"/>
      <c r="N104" s="185"/>
      <c r="O104" s="185"/>
      <c r="P104" s="185"/>
      <c r="Q104" s="185" t="s">
        <v>6480</v>
      </c>
      <c r="R104" s="185" t="s">
        <v>6431</v>
      </c>
      <c r="S104" s="185"/>
      <c r="T104" s="185" t="s">
        <v>6481</v>
      </c>
      <c r="U104" s="187" t="s">
        <v>378</v>
      </c>
      <c r="V104" s="187" t="s">
        <v>378</v>
      </c>
      <c r="W104" s="187" t="s">
        <v>378</v>
      </c>
      <c r="X104" s="187" t="s">
        <v>378</v>
      </c>
      <c r="Y104" s="187" t="s">
        <v>378</v>
      </c>
      <c r="Z104" s="187" t="s">
        <v>378</v>
      </c>
      <c r="AA104" s="187" t="s">
        <v>378</v>
      </c>
      <c r="AB104" s="187" t="s">
        <v>378</v>
      </c>
      <c r="AC104" s="187" t="s">
        <v>378</v>
      </c>
      <c r="AD104" s="187" t="s">
        <v>378</v>
      </c>
    </row>
    <row r="105" spans="1:100" s="167" customFormat="1" ht="408">
      <c r="A105" s="181">
        <v>105</v>
      </c>
      <c r="B105" s="169" t="s">
        <v>1531</v>
      </c>
      <c r="C105" s="166" t="s">
        <v>6482</v>
      </c>
      <c r="D105" s="165" t="s">
        <v>6483</v>
      </c>
      <c r="E105" s="165"/>
      <c r="F105" s="107"/>
      <c r="G105" s="125" t="str">
        <f>VLOOKUP($B105,'Product-Requirement'!$B:$M,8,FALSE)</f>
        <v>PROTECT</v>
      </c>
      <c r="H105" s="125" t="str">
        <f>VLOOKUP($B105,'Product-Requirement'!$B:$M,9,FALSE)</f>
        <v>Information_Protection_Processes_and_Procedures</v>
      </c>
      <c r="I105" s="125" t="s">
        <v>761</v>
      </c>
      <c r="J105" s="125" t="str">
        <f>VLOOKUP($B105,'Product-Requirement'!$B:$M,11,FALSE)</f>
        <v>System_Design</v>
      </c>
      <c r="K105" s="125" t="str">
        <f>VLOOKUP($B105,'Product-Requirement'!$B:$M,12,FALSE)</f>
        <v>Manufacturer</v>
      </c>
      <c r="L105" s="125" t="s">
        <v>5965</v>
      </c>
      <c r="M105" s="185"/>
      <c r="N105" s="185" t="s">
        <v>6484</v>
      </c>
      <c r="O105" s="185" t="s">
        <v>6485</v>
      </c>
      <c r="P105" s="185" t="s">
        <v>6486</v>
      </c>
      <c r="Q105" s="185" t="s">
        <v>6487</v>
      </c>
      <c r="R105" s="185" t="s">
        <v>6488</v>
      </c>
      <c r="S105" s="185" t="s">
        <v>6489</v>
      </c>
      <c r="T105" s="185" t="s">
        <v>6490</v>
      </c>
      <c r="U105" s="187" t="s">
        <v>378</v>
      </c>
      <c r="V105" s="187" t="s">
        <v>378</v>
      </c>
      <c r="W105" s="187" t="s">
        <v>378</v>
      </c>
      <c r="X105" s="187" t="s">
        <v>378</v>
      </c>
      <c r="Y105" s="187" t="s">
        <v>378</v>
      </c>
      <c r="Z105" s="187" t="s">
        <v>378</v>
      </c>
      <c r="AA105" s="187" t="s">
        <v>378</v>
      </c>
      <c r="AB105" s="187" t="s">
        <v>378</v>
      </c>
      <c r="AC105" s="187" t="s">
        <v>378</v>
      </c>
      <c r="AD105" s="187" t="s">
        <v>378</v>
      </c>
    </row>
    <row r="106" spans="1:100" s="167" customFormat="1" ht="242.25">
      <c r="A106" s="182">
        <v>106</v>
      </c>
      <c r="B106" s="169" t="s">
        <v>1568</v>
      </c>
      <c r="C106" s="166" t="s">
        <v>6491</v>
      </c>
      <c r="D106" s="165" t="s">
        <v>6492</v>
      </c>
      <c r="E106" s="178"/>
      <c r="F106" s="125"/>
      <c r="G106" s="125" t="str">
        <f>VLOOKUP($B106,'Product-Requirement'!$B:$M,8,FALSE)</f>
        <v>PROTECT</v>
      </c>
      <c r="H106" s="125" t="str">
        <f>VLOOKUP($B106,'Product-Requirement'!$B:$M,9,FALSE)</f>
        <v>Information_Protection_Processes_and_Procedures</v>
      </c>
      <c r="I106" s="125" t="s">
        <v>761</v>
      </c>
      <c r="J106" s="125" t="str">
        <f>VLOOKUP($B106,'Product-Requirement'!$B:$M,11,FALSE)</f>
        <v>System_Design</v>
      </c>
      <c r="K106" s="125" t="str">
        <f>VLOOKUP($B106,'Product-Requirement'!$B:$M,12,FALSE)</f>
        <v>Manufacturer</v>
      </c>
      <c r="L106" s="125" t="s">
        <v>5965</v>
      </c>
      <c r="M106" s="185"/>
      <c r="N106" s="185"/>
      <c r="O106" s="185" t="s">
        <v>6493</v>
      </c>
      <c r="P106" s="185" t="s">
        <v>6494</v>
      </c>
      <c r="Q106" s="185" t="s">
        <v>6495</v>
      </c>
      <c r="R106" s="185"/>
      <c r="S106" s="185"/>
      <c r="T106" s="185" t="s">
        <v>6496</v>
      </c>
      <c r="U106" s="187" t="s">
        <v>378</v>
      </c>
      <c r="V106" s="187" t="s">
        <v>378</v>
      </c>
      <c r="W106" s="187" t="s">
        <v>378</v>
      </c>
      <c r="X106" s="187" t="s">
        <v>378</v>
      </c>
      <c r="Y106" s="187" t="s">
        <v>378</v>
      </c>
      <c r="Z106" s="187" t="s">
        <v>378</v>
      </c>
      <c r="AA106" s="187" t="s">
        <v>378</v>
      </c>
      <c r="AB106" s="187" t="s">
        <v>378</v>
      </c>
      <c r="AC106" s="187" t="s">
        <v>378</v>
      </c>
      <c r="AD106" s="187" t="s">
        <v>378</v>
      </c>
    </row>
    <row r="107" spans="1:100" s="177" customFormat="1" ht="51">
      <c r="A107" s="181">
        <v>107</v>
      </c>
      <c r="B107" s="169" t="s">
        <v>1952</v>
      </c>
      <c r="C107" s="166" t="s">
        <v>6497</v>
      </c>
      <c r="D107" s="165" t="s">
        <v>6498</v>
      </c>
      <c r="E107" s="165"/>
      <c r="F107" s="113" t="s">
        <v>6499</v>
      </c>
      <c r="G107" s="125" t="str">
        <f>VLOOKUP($B107,'Product-Requirement'!$B:$M,8,FALSE)</f>
        <v>PROTECT</v>
      </c>
      <c r="H107" s="125" t="str">
        <f>VLOOKUP($B107,'Product-Requirement'!$B:$M,9,FALSE)</f>
        <v>Maintenance</v>
      </c>
      <c r="I107" s="113" t="s">
        <v>1336</v>
      </c>
      <c r="J107" s="125" t="str">
        <f>VLOOKUP($B107,'Product-Requirement'!$B:$M,11,FALSE)</f>
        <v>System_Design</v>
      </c>
      <c r="K107" s="125" t="str">
        <f>VLOOKUP($B107,'Product-Requirement'!$B:$M,12,FALSE)</f>
        <v>Manufacturer</v>
      </c>
      <c r="L107" s="125" t="s">
        <v>5965</v>
      </c>
      <c r="M107" s="185"/>
      <c r="N107" s="185"/>
      <c r="O107" s="185"/>
      <c r="P107" s="185" t="s">
        <v>6500</v>
      </c>
      <c r="Q107" s="185"/>
      <c r="R107" s="185"/>
      <c r="S107" s="185"/>
      <c r="T107" s="185"/>
      <c r="U107" s="187" t="s">
        <v>378</v>
      </c>
      <c r="V107" s="187" t="s">
        <v>378</v>
      </c>
      <c r="W107" s="187" t="s">
        <v>378</v>
      </c>
      <c r="X107" s="188" t="s">
        <v>379</v>
      </c>
      <c r="Y107" s="188" t="s">
        <v>379</v>
      </c>
      <c r="Z107" s="188" t="s">
        <v>379</v>
      </c>
      <c r="AA107" s="188" t="s">
        <v>379</v>
      </c>
      <c r="AB107" s="188" t="s">
        <v>379</v>
      </c>
      <c r="AC107" s="188" t="s">
        <v>379</v>
      </c>
      <c r="AD107" s="188" t="s">
        <v>379</v>
      </c>
      <c r="AE107" s="167"/>
      <c r="AF107" s="167"/>
      <c r="AG107" s="167"/>
      <c r="AH107" s="167"/>
      <c r="AI107" s="167"/>
      <c r="AJ107" s="167"/>
      <c r="AK107" s="167"/>
      <c r="AL107" s="167"/>
      <c r="AM107" s="167"/>
      <c r="AN107" s="167"/>
      <c r="AO107" s="167"/>
      <c r="AP107" s="167"/>
      <c r="AQ107" s="167"/>
      <c r="AR107" s="167"/>
      <c r="AS107" s="167"/>
      <c r="AT107" s="167"/>
      <c r="AU107" s="167"/>
      <c r="AV107" s="167"/>
      <c r="AW107" s="167"/>
      <c r="AX107" s="167"/>
      <c r="AY107" s="167"/>
      <c r="AZ107" s="167"/>
      <c r="BA107" s="167"/>
      <c r="BB107" s="167"/>
      <c r="BC107" s="167"/>
      <c r="BD107" s="167"/>
      <c r="BE107" s="167"/>
      <c r="BF107" s="167"/>
      <c r="BG107" s="167"/>
      <c r="BH107" s="167"/>
      <c r="BI107" s="167"/>
      <c r="BJ107" s="167"/>
      <c r="BK107" s="167"/>
      <c r="BL107" s="167"/>
      <c r="BM107" s="167"/>
      <c r="BN107" s="167"/>
      <c r="BO107" s="167"/>
      <c r="BP107" s="167"/>
      <c r="BQ107" s="167"/>
      <c r="BR107" s="167"/>
      <c r="BS107" s="167"/>
      <c r="BT107" s="167"/>
      <c r="BU107" s="167"/>
      <c r="BV107" s="167"/>
      <c r="BW107" s="167"/>
      <c r="BX107" s="167"/>
      <c r="BY107" s="167"/>
      <c r="BZ107" s="167"/>
      <c r="CA107" s="167"/>
      <c r="CB107" s="167"/>
      <c r="CC107" s="167"/>
      <c r="CD107" s="167"/>
      <c r="CE107" s="167"/>
      <c r="CF107" s="167"/>
      <c r="CG107" s="167"/>
      <c r="CH107" s="167"/>
      <c r="CI107" s="167"/>
      <c r="CJ107" s="167"/>
      <c r="CK107" s="167"/>
      <c r="CL107" s="167"/>
      <c r="CM107" s="167"/>
      <c r="CN107" s="167"/>
      <c r="CO107" s="167"/>
      <c r="CP107" s="167"/>
      <c r="CQ107" s="167"/>
      <c r="CR107" s="167"/>
      <c r="CS107" s="167"/>
      <c r="CT107" s="167"/>
      <c r="CU107" s="167"/>
      <c r="CV107" s="167"/>
    </row>
    <row r="108" spans="1:100" s="167" customFormat="1" ht="63.75">
      <c r="A108" s="182">
        <v>108</v>
      </c>
      <c r="B108" s="169" t="s">
        <v>4557</v>
      </c>
      <c r="C108" s="166" t="s">
        <v>6501</v>
      </c>
      <c r="D108" s="165" t="s">
        <v>6502</v>
      </c>
      <c r="E108" s="165"/>
      <c r="F108" s="113" t="s">
        <v>6503</v>
      </c>
      <c r="G108" s="125" t="str">
        <f>VLOOKUP($B108,'Product-Requirement'!$B:$M,8,FALSE)</f>
        <v>PROTECT</v>
      </c>
      <c r="H108" s="125" t="str">
        <f>VLOOKUP($B108,'Product-Requirement'!$B:$M,9,FALSE)</f>
        <v>Information_Protection_Processes_and_Procedures</v>
      </c>
      <c r="I108" s="125" t="s">
        <v>761</v>
      </c>
      <c r="J108" s="125" t="str">
        <f>VLOOKUP($B108,'Product-Requirement'!$B:$M,11,FALSE)</f>
        <v>Wireless</v>
      </c>
      <c r="K108" s="125" t="str">
        <f>VLOOKUP($B108,'Product-Requirement'!$B:$M,12,FALSE)</f>
        <v>Manufacturer</v>
      </c>
      <c r="L108" s="125" t="s">
        <v>5965</v>
      </c>
      <c r="M108" s="185"/>
      <c r="N108" s="185"/>
      <c r="O108" s="185"/>
      <c r="P108" s="185" t="s">
        <v>6504</v>
      </c>
      <c r="Q108" s="185"/>
      <c r="R108" s="185"/>
      <c r="S108" s="185"/>
      <c r="T108" s="185"/>
      <c r="U108" s="188" t="s">
        <v>379</v>
      </c>
      <c r="V108" s="188" t="s">
        <v>379</v>
      </c>
      <c r="W108" s="188" t="s">
        <v>379</v>
      </c>
      <c r="X108" s="188" t="s">
        <v>379</v>
      </c>
      <c r="Y108" s="188" t="s">
        <v>379</v>
      </c>
      <c r="Z108" s="188" t="s">
        <v>379</v>
      </c>
      <c r="AA108" s="188" t="s">
        <v>379</v>
      </c>
      <c r="AB108" s="188" t="s">
        <v>379</v>
      </c>
      <c r="AC108" s="188" t="s">
        <v>379</v>
      </c>
      <c r="AD108" s="188" t="s">
        <v>379</v>
      </c>
    </row>
    <row r="109" spans="1:100" s="167" customFormat="1" ht="89.25">
      <c r="A109" s="181">
        <v>109</v>
      </c>
      <c r="B109" s="169" t="s">
        <v>1725</v>
      </c>
      <c r="C109" s="166" t="s">
        <v>6505</v>
      </c>
      <c r="D109" s="165" t="s">
        <v>6506</v>
      </c>
      <c r="E109" s="165" t="s">
        <v>6507</v>
      </c>
      <c r="F109" s="84" t="s">
        <v>6508</v>
      </c>
      <c r="G109" s="125" t="str">
        <f>VLOOKUP($B109,'Product-Requirement'!$B:$M,8,FALSE)</f>
        <v>PROTECT</v>
      </c>
      <c r="H109" s="125" t="str">
        <f>VLOOKUP($B109,'Product-Requirement'!$B:$M,9,FALSE)</f>
        <v>Information_Protection_Processes_and_Procedures</v>
      </c>
      <c r="I109" s="125" t="s">
        <v>761</v>
      </c>
      <c r="J109" s="125" t="str">
        <f>VLOOKUP($B109,'Product-Requirement'!$B:$M,11,FALSE)</f>
        <v>Infrastructure&amp;Network</v>
      </c>
      <c r="K109" s="125" t="str">
        <f>VLOOKUP($B109,'Product-Requirement'!$B:$M,12,FALSE)</f>
        <v>Medical facilities(e.g.: Healthcare Delivery Organization/Hospital, Operator)</v>
      </c>
      <c r="L109" s="125" t="s">
        <v>6100</v>
      </c>
      <c r="M109" s="185"/>
      <c r="N109" s="185"/>
      <c r="O109" s="185"/>
      <c r="P109" s="185" t="s">
        <v>6509</v>
      </c>
      <c r="Q109" s="185"/>
      <c r="R109" s="185"/>
      <c r="S109" s="185"/>
      <c r="T109" s="185"/>
      <c r="U109" s="187" t="s">
        <v>378</v>
      </c>
      <c r="V109" s="187" t="s">
        <v>378</v>
      </c>
      <c r="W109" s="187" t="s">
        <v>378</v>
      </c>
      <c r="X109" s="188" t="s">
        <v>379</v>
      </c>
      <c r="Y109" s="188" t="s">
        <v>379</v>
      </c>
      <c r="Z109" s="188" t="s">
        <v>379</v>
      </c>
      <c r="AA109" s="188" t="s">
        <v>379</v>
      </c>
      <c r="AB109" s="188" t="s">
        <v>379</v>
      </c>
      <c r="AC109" s="188" t="s">
        <v>379</v>
      </c>
      <c r="AD109" s="188" t="s">
        <v>379</v>
      </c>
    </row>
    <row r="110" spans="1:100" s="167" customFormat="1" ht="229.5">
      <c r="A110" s="182">
        <v>110</v>
      </c>
      <c r="B110" s="169" t="s">
        <v>760</v>
      </c>
      <c r="C110" s="166" t="s">
        <v>6510</v>
      </c>
      <c r="D110" s="165" t="s">
        <v>6511</v>
      </c>
      <c r="E110" s="165"/>
      <c r="F110" s="113" t="s">
        <v>6512</v>
      </c>
      <c r="G110" s="125" t="str">
        <f>VLOOKUP($B110,'Product-Requirement'!$B:$M,8,FALSE)</f>
        <v>PROTECT</v>
      </c>
      <c r="H110" s="125" t="str">
        <f>VLOOKUP($B110,'Product-Requirement'!$B:$M,9,FALSE)</f>
        <v>Information_Protection_Processes_and_Procedures</v>
      </c>
      <c r="I110" s="125" t="s">
        <v>761</v>
      </c>
      <c r="J110" s="125" t="str">
        <f>VLOOKUP($B110,'Product-Requirement'!$B:$M,11,FALSE)</f>
        <v>Wireless</v>
      </c>
      <c r="K110" s="125" t="str">
        <f>VLOOKUP($B110,'Product-Requirement'!$B:$M,12,FALSE)</f>
        <v>Manufacturer</v>
      </c>
      <c r="L110" s="125" t="s">
        <v>5965</v>
      </c>
      <c r="M110" s="185"/>
      <c r="N110" s="185"/>
      <c r="O110" s="185"/>
      <c r="P110" s="185" t="s">
        <v>6513</v>
      </c>
      <c r="Q110" s="185"/>
      <c r="R110" s="185"/>
      <c r="S110" s="185"/>
      <c r="T110" s="185" t="s">
        <v>6514</v>
      </c>
      <c r="U110" s="187" t="s">
        <v>378</v>
      </c>
      <c r="V110" s="187" t="s">
        <v>378</v>
      </c>
      <c r="W110" s="187" t="s">
        <v>378</v>
      </c>
      <c r="X110" s="188" t="s">
        <v>379</v>
      </c>
      <c r="Y110" s="188" t="s">
        <v>379</v>
      </c>
      <c r="Z110" s="188" t="s">
        <v>379</v>
      </c>
      <c r="AA110" s="188" t="s">
        <v>379</v>
      </c>
      <c r="AB110" s="188" t="s">
        <v>379</v>
      </c>
      <c r="AC110" s="188" t="s">
        <v>379</v>
      </c>
      <c r="AD110" s="188" t="s">
        <v>379</v>
      </c>
    </row>
    <row r="111" spans="1:100" s="177" customFormat="1" ht="76.5">
      <c r="A111" s="181">
        <v>111</v>
      </c>
      <c r="B111" s="169" t="s">
        <v>4724</v>
      </c>
      <c r="C111" s="166" t="s">
        <v>6515</v>
      </c>
      <c r="D111" s="165" t="s">
        <v>6516</v>
      </c>
      <c r="E111" s="165"/>
      <c r="F111" s="107"/>
      <c r="G111" s="125" t="str">
        <f>VLOOKUP($B111,'Product-Requirement'!$B:$M,8,FALSE)</f>
        <v>PROTECT</v>
      </c>
      <c r="H111" s="125" t="str">
        <f>VLOOKUP($B111,'Product-Requirement'!$B:$M,9,FALSE)</f>
        <v>Information_Protection_Processes_and_Procedures</v>
      </c>
      <c r="I111" s="125" t="s">
        <v>761</v>
      </c>
      <c r="J111" s="125" t="str">
        <f>VLOOKUP($B111,'Product-Requirement'!$B:$M,11,FALSE)</f>
        <v>Wireless</v>
      </c>
      <c r="K111" s="125" t="str">
        <f>VLOOKUP($B111,'Product-Requirement'!$B:$M,12,FALSE)</f>
        <v>Manufacturer</v>
      </c>
      <c r="L111" s="125" t="s">
        <v>5965</v>
      </c>
      <c r="M111" s="185"/>
      <c r="N111" s="185"/>
      <c r="O111" s="185"/>
      <c r="P111" s="185" t="s">
        <v>6517</v>
      </c>
      <c r="Q111" s="185"/>
      <c r="R111" s="185"/>
      <c r="S111" s="185"/>
      <c r="T111" s="185"/>
      <c r="U111" s="188" t="s">
        <v>379</v>
      </c>
      <c r="V111" s="188" t="s">
        <v>379</v>
      </c>
      <c r="W111" s="188" t="s">
        <v>379</v>
      </c>
      <c r="X111" s="188" t="s">
        <v>379</v>
      </c>
      <c r="Y111" s="188" t="s">
        <v>379</v>
      </c>
      <c r="Z111" s="188" t="s">
        <v>379</v>
      </c>
      <c r="AA111" s="188" t="s">
        <v>379</v>
      </c>
      <c r="AB111" s="188" t="s">
        <v>379</v>
      </c>
      <c r="AC111" s="188" t="s">
        <v>379</v>
      </c>
      <c r="AD111" s="188" t="s">
        <v>379</v>
      </c>
    </row>
    <row r="112" spans="1:100" s="167" customFormat="1" ht="63.75">
      <c r="A112" s="182">
        <v>112</v>
      </c>
      <c r="B112" s="169" t="s">
        <v>5179</v>
      </c>
      <c r="C112" s="166" t="s">
        <v>6518</v>
      </c>
      <c r="D112" s="165" t="s">
        <v>6519</v>
      </c>
      <c r="E112" s="171"/>
      <c r="F112" s="165" t="s">
        <v>6520</v>
      </c>
      <c r="G112" s="125" t="str">
        <f>VLOOKUP($B112,'Product-Requirement'!$B:$M,8,FALSE)</f>
        <v>PROTECT</v>
      </c>
      <c r="H112" s="125" t="str">
        <f>VLOOKUP($B112,'Product-Requirement'!$B:$M,9,FALSE)</f>
        <v>Information_Protection_Processes_and_Procedures</v>
      </c>
      <c r="I112" s="125" t="s">
        <v>761</v>
      </c>
      <c r="J112" s="125" t="str">
        <f>VLOOKUP($B112,'Product-Requirement'!$B:$M,11,FALSE)</f>
        <v>Wireless</v>
      </c>
      <c r="K112" s="125" t="str">
        <f>VLOOKUP($B112,'Product-Requirement'!$B:$M,12,FALSE)</f>
        <v>Manufacturer</v>
      </c>
      <c r="L112" s="125" t="s">
        <v>5965</v>
      </c>
      <c r="M112" s="185"/>
      <c r="N112" s="185"/>
      <c r="O112" s="185"/>
      <c r="P112" s="185" t="s">
        <v>6521</v>
      </c>
      <c r="Q112" s="185"/>
      <c r="R112" s="185"/>
      <c r="S112" s="185"/>
      <c r="T112" s="185"/>
      <c r="U112" s="188" t="s">
        <v>379</v>
      </c>
      <c r="V112" s="188" t="s">
        <v>379</v>
      </c>
      <c r="W112" s="188" t="s">
        <v>379</v>
      </c>
      <c r="X112" s="188" t="s">
        <v>379</v>
      </c>
      <c r="Y112" s="188" t="s">
        <v>379</v>
      </c>
      <c r="Z112" s="188" t="s">
        <v>379</v>
      </c>
      <c r="AA112" s="188" t="s">
        <v>379</v>
      </c>
      <c r="AB112" s="188" t="s">
        <v>379</v>
      </c>
      <c r="AC112" s="188" t="s">
        <v>379</v>
      </c>
      <c r="AD112" s="188" t="s">
        <v>379</v>
      </c>
    </row>
    <row r="113" spans="1:30" s="167" customFormat="1" ht="38.25">
      <c r="A113" s="181">
        <v>113</v>
      </c>
      <c r="B113" s="169" t="s">
        <v>1799</v>
      </c>
      <c r="C113" s="166" t="s">
        <v>6522</v>
      </c>
      <c r="D113" s="165" t="s">
        <v>6523</v>
      </c>
      <c r="E113" s="165"/>
      <c r="F113" s="107"/>
      <c r="G113" s="125" t="str">
        <f>VLOOKUP($B113,'Product-Requirement'!$B:$M,8,FALSE)</f>
        <v>PROTECT</v>
      </c>
      <c r="H113" s="125" t="str">
        <f>VLOOKUP($B113,'Product-Requirement'!$B:$M,9,FALSE)</f>
        <v>Information_Protection_Processes_and_Procedures</v>
      </c>
      <c r="I113" s="125" t="s">
        <v>761</v>
      </c>
      <c r="J113" s="125" t="str">
        <f>VLOOKUP($B113,'Product-Requirement'!$B:$M,11,FALSE)</f>
        <v>System_Design</v>
      </c>
      <c r="K113" s="125" t="str">
        <f>VLOOKUP($B113,'Product-Requirement'!$B:$M,12,FALSE)</f>
        <v>Manufacturer</v>
      </c>
      <c r="L113" s="125" t="s">
        <v>5965</v>
      </c>
      <c r="M113" s="185"/>
      <c r="N113" s="185"/>
      <c r="O113" s="185"/>
      <c r="P113" s="185" t="s">
        <v>6524</v>
      </c>
      <c r="Q113" s="185"/>
      <c r="R113" s="185"/>
      <c r="S113" s="185"/>
      <c r="T113" s="185"/>
      <c r="U113" s="187" t="s">
        <v>378</v>
      </c>
      <c r="V113" s="187" t="s">
        <v>378</v>
      </c>
      <c r="W113" s="187" t="s">
        <v>378</v>
      </c>
      <c r="X113" s="188" t="s">
        <v>379</v>
      </c>
      <c r="Y113" s="188" t="s">
        <v>379</v>
      </c>
      <c r="Z113" s="188" t="s">
        <v>379</v>
      </c>
      <c r="AA113" s="188" t="s">
        <v>379</v>
      </c>
      <c r="AB113" s="188" t="s">
        <v>379</v>
      </c>
      <c r="AC113" s="188" t="s">
        <v>379</v>
      </c>
      <c r="AD113" s="188" t="s">
        <v>379</v>
      </c>
    </row>
    <row r="114" spans="1:30" s="167" customFormat="1" ht="63.75">
      <c r="A114" s="182">
        <v>114</v>
      </c>
      <c r="B114" s="169" t="s">
        <v>1441</v>
      </c>
      <c r="C114" s="166" t="s">
        <v>6525</v>
      </c>
      <c r="D114" s="165" t="s">
        <v>6526</v>
      </c>
      <c r="E114" s="173"/>
      <c r="F114" s="107" t="s">
        <v>3577</v>
      </c>
      <c r="G114" s="125" t="str">
        <f>VLOOKUP($B114,'Product-Requirement'!$B:$M,8,FALSE)</f>
        <v>PROTECT</v>
      </c>
      <c r="H114" s="125" t="str">
        <f>VLOOKUP($B114,'Product-Requirement'!$B:$M,9,FALSE)</f>
        <v>Information_Protection_Processes_and_Procedures</v>
      </c>
      <c r="I114" s="125" t="str">
        <f>VLOOKUP($B114,'Product-Requirement'!$B:$M,10,FALSE)</f>
        <v>PR.IP-9: Response plans (Incident Response and Business Continuity) and recovery plans (Incident Recovery and Disaster Recovery) are in place and managed</v>
      </c>
      <c r="J114" s="125" t="str">
        <f>VLOOKUP($B114,'Product-Requirement'!$B:$M,11,FALSE)</f>
        <v>System_Design</v>
      </c>
      <c r="K114" s="125" t="str">
        <f>VLOOKUP($B114,'Product-Requirement'!$B:$M,12,FALSE)</f>
        <v>Manufacturer</v>
      </c>
      <c r="L114" s="125" t="s">
        <v>5965</v>
      </c>
      <c r="M114" s="185"/>
      <c r="N114" s="185"/>
      <c r="O114" s="185"/>
      <c r="P114" s="185" t="s">
        <v>6527</v>
      </c>
      <c r="Q114" s="185"/>
      <c r="R114" s="185"/>
      <c r="S114" s="185"/>
      <c r="T114" s="185"/>
      <c r="U114" s="187" t="s">
        <v>378</v>
      </c>
      <c r="V114" s="187" t="s">
        <v>378</v>
      </c>
      <c r="W114" s="187" t="s">
        <v>378</v>
      </c>
      <c r="X114" s="188" t="s">
        <v>379</v>
      </c>
      <c r="Y114" s="188" t="s">
        <v>379</v>
      </c>
      <c r="Z114" s="188" t="s">
        <v>379</v>
      </c>
      <c r="AA114" s="188" t="s">
        <v>379</v>
      </c>
      <c r="AB114" s="188" t="s">
        <v>379</v>
      </c>
      <c r="AC114" s="188" t="s">
        <v>379</v>
      </c>
      <c r="AD114" s="188" t="s">
        <v>379</v>
      </c>
    </row>
    <row r="115" spans="1:30" s="167" customFormat="1" ht="165.75">
      <c r="A115" s="181">
        <v>115</v>
      </c>
      <c r="B115" s="169" t="s">
        <v>1308</v>
      </c>
      <c r="C115" s="166" t="s">
        <v>6528</v>
      </c>
      <c r="D115" s="165" t="s">
        <v>6529</v>
      </c>
      <c r="E115" s="173"/>
      <c r="F115" s="107" t="s">
        <v>3577</v>
      </c>
      <c r="G115" s="125" t="str">
        <f>VLOOKUP($B115,'Product-Requirement'!$B:$M,8,FALSE)</f>
        <v>PROTECT</v>
      </c>
      <c r="H115" s="125" t="str">
        <f>VLOOKUP($B115,'Product-Requirement'!$B:$M,9,FALSE)</f>
        <v>Information_Protection_Processes_and_Procedures</v>
      </c>
      <c r="I115" s="125" t="str">
        <f>VLOOKUP($B115,'Product-Requirement'!$B:$M,10,FALSE)</f>
        <v>PR.IP-9: Response plans (Incident Response and Business Continuity) and recovery plans (Incident Recovery and Disaster Recovery) are in place and managed</v>
      </c>
      <c r="J115" s="125" t="str">
        <f>VLOOKUP($B115,'Product-Requirement'!$B:$M,11,FALSE)</f>
        <v>System_Design</v>
      </c>
      <c r="K115" s="125" t="str">
        <f>VLOOKUP($B115,'Product-Requirement'!$B:$M,12,FALSE)</f>
        <v>Manufacturer</v>
      </c>
      <c r="L115" s="125" t="s">
        <v>5965</v>
      </c>
      <c r="M115" s="185"/>
      <c r="N115" s="185"/>
      <c r="O115" s="185"/>
      <c r="P115" s="185" t="s">
        <v>6530</v>
      </c>
      <c r="Q115" s="185"/>
      <c r="R115" s="185"/>
      <c r="S115" s="185"/>
      <c r="T115" s="185" t="s">
        <v>6531</v>
      </c>
      <c r="U115" s="187" t="s">
        <v>378</v>
      </c>
      <c r="V115" s="187" t="s">
        <v>378</v>
      </c>
      <c r="W115" s="187" t="s">
        <v>378</v>
      </c>
      <c r="X115" s="187" t="s">
        <v>378</v>
      </c>
      <c r="Y115" s="187" t="s">
        <v>378</v>
      </c>
      <c r="Z115" s="187" t="s">
        <v>378</v>
      </c>
      <c r="AA115" s="187" t="s">
        <v>378</v>
      </c>
      <c r="AB115" s="187" t="s">
        <v>378</v>
      </c>
      <c r="AC115" s="187" t="s">
        <v>378</v>
      </c>
      <c r="AD115" s="187" t="s">
        <v>378</v>
      </c>
    </row>
    <row r="116" spans="1:30" s="167" customFormat="1" ht="318.75">
      <c r="A116" s="182">
        <v>116</v>
      </c>
      <c r="B116" s="169" t="s">
        <v>1462</v>
      </c>
      <c r="C116" s="166" t="s">
        <v>6532</v>
      </c>
      <c r="D116" s="165" t="s">
        <v>6533</v>
      </c>
      <c r="E116" s="165"/>
      <c r="F116" s="113" t="s">
        <v>6534</v>
      </c>
      <c r="G116" s="125" t="str">
        <f>VLOOKUP($B116,'Product-Requirement'!$B:$M,8,FALSE)</f>
        <v>PROTECT</v>
      </c>
      <c r="H116" s="125" t="str">
        <f>VLOOKUP($B116,'Product-Requirement'!$B:$M,9,FALSE)</f>
        <v>Information_Protection_Processes_and_Procedures</v>
      </c>
      <c r="I116" s="125" t="str">
        <f>VLOOKUP($B116,'Product-Requirement'!$B:$M,10,FALSE)</f>
        <v>PR.IP-12: A vulnerability management plan is developed and implemented</v>
      </c>
      <c r="J116" s="125" t="str">
        <f>VLOOKUP($B116,'Product-Requirement'!$B:$M,11,FALSE)</f>
        <v>System_Design</v>
      </c>
      <c r="K116" s="125" t="str">
        <f>VLOOKUP($B116,'Product-Requirement'!$B:$M,12,FALSE)</f>
        <v>Manufacturer</v>
      </c>
      <c r="L116" s="125" t="s">
        <v>5965</v>
      </c>
      <c r="M116" s="185"/>
      <c r="N116" s="185"/>
      <c r="O116" s="185" t="s">
        <v>6535</v>
      </c>
      <c r="P116" s="185" t="s">
        <v>6536</v>
      </c>
      <c r="Q116" s="185"/>
      <c r="R116" s="185"/>
      <c r="S116" s="185" t="s">
        <v>6537</v>
      </c>
      <c r="T116" s="185"/>
      <c r="U116" s="187" t="s">
        <v>378</v>
      </c>
      <c r="V116" s="187" t="s">
        <v>378</v>
      </c>
      <c r="W116" s="187" t="s">
        <v>378</v>
      </c>
      <c r="X116" s="187" t="s">
        <v>378</v>
      </c>
      <c r="Y116" s="187" t="s">
        <v>378</v>
      </c>
      <c r="Z116" s="187" t="s">
        <v>378</v>
      </c>
      <c r="AA116" s="187" t="s">
        <v>378</v>
      </c>
      <c r="AB116" s="187" t="s">
        <v>378</v>
      </c>
      <c r="AC116" s="187" t="s">
        <v>378</v>
      </c>
      <c r="AD116" s="187" t="s">
        <v>378</v>
      </c>
    </row>
    <row r="117" spans="1:30" s="167" customFormat="1" ht="114.75">
      <c r="A117" s="181">
        <v>117</v>
      </c>
      <c r="B117" s="169" t="s">
        <v>1331</v>
      </c>
      <c r="C117" s="166" t="s">
        <v>6538</v>
      </c>
      <c r="D117" s="165" t="s">
        <v>6539</v>
      </c>
      <c r="E117" s="165"/>
      <c r="F117" s="107"/>
      <c r="G117" s="125" t="str">
        <f>VLOOKUP($B117,'Product-Requirement'!$B:$M,8,FALSE)</f>
        <v>PROTECT</v>
      </c>
      <c r="H117" s="125" t="str">
        <f>VLOOKUP($B117,'Product-Requirement'!$B:$M,9,FALSE)</f>
        <v>Maintenance</v>
      </c>
      <c r="I117" s="125" t="str">
        <f>VLOOKUP($B117,'Product-Requirement'!$B:$M,10,FALSE)</f>
        <v>PR.MA-1: Maintenance and repair of organizational assets are performed and logged, with approved and controlled tools</v>
      </c>
      <c r="J117" s="125" t="str">
        <f>VLOOKUP($B117,'Product-Requirement'!$B:$M,11,FALSE)</f>
        <v>System_Design</v>
      </c>
      <c r="K117" s="125" t="str">
        <f>VLOOKUP($B117,'Product-Requirement'!$B:$M,12,FALSE)</f>
        <v>Manufacturer</v>
      </c>
      <c r="L117" s="125" t="s">
        <v>5965</v>
      </c>
      <c r="M117" s="185"/>
      <c r="N117" s="185"/>
      <c r="O117" s="185" t="s">
        <v>6540</v>
      </c>
      <c r="P117" s="185" t="s">
        <v>6541</v>
      </c>
      <c r="Q117" s="185"/>
      <c r="R117" s="185"/>
      <c r="S117" s="185" t="s">
        <v>6110</v>
      </c>
      <c r="T117" s="185" t="s">
        <v>6542</v>
      </c>
      <c r="U117" s="187" t="s">
        <v>378</v>
      </c>
      <c r="V117" s="187" t="s">
        <v>378</v>
      </c>
      <c r="W117" s="187" t="s">
        <v>378</v>
      </c>
      <c r="X117" s="187" t="s">
        <v>378</v>
      </c>
      <c r="Y117" s="187" t="s">
        <v>378</v>
      </c>
      <c r="Z117" s="187" t="s">
        <v>378</v>
      </c>
      <c r="AA117" s="187" t="s">
        <v>378</v>
      </c>
      <c r="AB117" s="187" t="s">
        <v>378</v>
      </c>
      <c r="AC117" s="187" t="s">
        <v>378</v>
      </c>
      <c r="AD117" s="187" t="s">
        <v>378</v>
      </c>
    </row>
    <row r="118" spans="1:30" s="167" customFormat="1" ht="76.5">
      <c r="A118" s="182">
        <v>118</v>
      </c>
      <c r="B118" s="169" t="s">
        <v>1370</v>
      </c>
      <c r="C118" s="166" t="s">
        <v>6543</v>
      </c>
      <c r="D118" s="165" t="s">
        <v>6544</v>
      </c>
      <c r="E118" s="165"/>
      <c r="F118" s="107"/>
      <c r="G118" s="125" t="str">
        <f>VLOOKUP($B118,'Product-Requirement'!$B:$M,8,FALSE)</f>
        <v>PROTECT</v>
      </c>
      <c r="H118" s="125" t="str">
        <f>VLOOKUP($B118,'Product-Requirement'!$B:$M,9,FALSE)</f>
        <v>Maintenance</v>
      </c>
      <c r="I118" s="125" t="str">
        <f>VLOOKUP($B118,'Product-Requirement'!$B:$M,10,FALSE)</f>
        <v>PR.MA-1: Maintenance and repair of organizational assets are performed and logged, with approved and controlled tools</v>
      </c>
      <c r="J118" s="125" t="str">
        <f>VLOOKUP($B118,'Product-Requirement'!$B:$M,11,FALSE)</f>
        <v>System_Design</v>
      </c>
      <c r="K118" s="125" t="str">
        <f>VLOOKUP($B118,'Product-Requirement'!$B:$M,12,FALSE)</f>
        <v>Manufacturer</v>
      </c>
      <c r="L118" s="125" t="s">
        <v>5965</v>
      </c>
      <c r="M118" s="185"/>
      <c r="N118" s="185"/>
      <c r="O118" s="185" t="s">
        <v>6545</v>
      </c>
      <c r="P118" s="185" t="s">
        <v>6546</v>
      </c>
      <c r="Q118" s="185"/>
      <c r="R118" s="185"/>
      <c r="S118" s="185"/>
      <c r="T118" s="185"/>
      <c r="U118" s="187" t="s">
        <v>378</v>
      </c>
      <c r="V118" s="187" t="s">
        <v>378</v>
      </c>
      <c r="W118" s="187" t="s">
        <v>378</v>
      </c>
      <c r="X118" s="187" t="s">
        <v>378</v>
      </c>
      <c r="Y118" s="187" t="s">
        <v>378</v>
      </c>
      <c r="Z118" s="187" t="s">
        <v>378</v>
      </c>
      <c r="AA118" s="187" t="s">
        <v>378</v>
      </c>
      <c r="AB118" s="187" t="s">
        <v>378</v>
      </c>
      <c r="AC118" s="187" t="s">
        <v>378</v>
      </c>
      <c r="AD118" s="187" t="s">
        <v>378</v>
      </c>
    </row>
    <row r="119" spans="1:30" s="167" customFormat="1" ht="51">
      <c r="A119" s="181">
        <v>119</v>
      </c>
      <c r="B119" s="169" t="s">
        <v>4780</v>
      </c>
      <c r="C119" s="166" t="s">
        <v>6547</v>
      </c>
      <c r="D119" s="165" t="s">
        <v>6548</v>
      </c>
      <c r="E119" s="165"/>
      <c r="F119" s="107"/>
      <c r="G119" s="125" t="str">
        <f>VLOOKUP($B119,'Product-Requirement'!$B:$M,8,FALSE)</f>
        <v>PROTECT</v>
      </c>
      <c r="H119" s="125" t="str">
        <f>VLOOKUP($B119,'Product-Requirement'!$B:$M,9,FALSE)</f>
        <v>Maintenance</v>
      </c>
      <c r="I119" s="125" t="str">
        <f>VLOOKUP($B119,'Product-Requirement'!$B:$M,10,FALSE)</f>
        <v>PR.MA-1: Maintenance and repair of organizational assets are performed and logged, with approved and controlled tools</v>
      </c>
      <c r="J119" s="125" t="str">
        <f>VLOOKUP($B119,'Product-Requirement'!$B:$M,11,FALSE)</f>
        <v>Wireless</v>
      </c>
      <c r="K119" s="125" t="str">
        <f>VLOOKUP($B119,'Product-Requirement'!$B:$M,12,FALSE)</f>
        <v>Manufacturer</v>
      </c>
      <c r="L119" s="125" t="s">
        <v>5965</v>
      </c>
      <c r="M119" s="185"/>
      <c r="N119" s="185"/>
      <c r="O119" s="185"/>
      <c r="P119" s="185" t="s">
        <v>6549</v>
      </c>
      <c r="Q119" s="185"/>
      <c r="R119" s="185"/>
      <c r="S119" s="185"/>
      <c r="T119" s="185"/>
      <c r="U119" s="188" t="s">
        <v>379</v>
      </c>
      <c r="V119" s="188" t="s">
        <v>379</v>
      </c>
      <c r="W119" s="188" t="s">
        <v>379</v>
      </c>
      <c r="X119" s="188" t="s">
        <v>379</v>
      </c>
      <c r="Y119" s="188" t="s">
        <v>379</v>
      </c>
      <c r="Z119" s="188" t="s">
        <v>379</v>
      </c>
      <c r="AA119" s="188" t="s">
        <v>379</v>
      </c>
      <c r="AB119" s="188" t="s">
        <v>379</v>
      </c>
      <c r="AC119" s="188" t="s">
        <v>379</v>
      </c>
      <c r="AD119" s="188" t="s">
        <v>379</v>
      </c>
    </row>
    <row r="120" spans="1:30" s="167" customFormat="1" ht="63.75">
      <c r="A120" s="182">
        <v>120</v>
      </c>
      <c r="B120" s="169" t="s">
        <v>4785</v>
      </c>
      <c r="C120" s="166" t="s">
        <v>6550</v>
      </c>
      <c r="D120" s="165" t="s">
        <v>6551</v>
      </c>
      <c r="E120" s="165"/>
      <c r="F120" s="84" t="s">
        <v>6552</v>
      </c>
      <c r="G120" s="125" t="str">
        <f>VLOOKUP($B120,'Product-Requirement'!$B:$M,8,FALSE)</f>
        <v>PROTECT</v>
      </c>
      <c r="H120" s="125" t="str">
        <f>VLOOKUP($B120,'Product-Requirement'!$B:$M,9,FALSE)</f>
        <v>Maintenance</v>
      </c>
      <c r="I120" s="125" t="str">
        <f>VLOOKUP($B120,'Product-Requirement'!$B:$M,10,FALSE)</f>
        <v>PR.MA-1: Maintenance and repair of organizational assets are performed and logged, with approved and controlled tools</v>
      </c>
      <c r="J120" s="125" t="str">
        <f>VLOOKUP($B120,'Product-Requirement'!$B:$M,11,FALSE)</f>
        <v>System_Design</v>
      </c>
      <c r="K120" s="125" t="str">
        <f>VLOOKUP($B120,'Product-Requirement'!$B:$M,12,FALSE)</f>
        <v>Manufacturer</v>
      </c>
      <c r="L120" s="125" t="s">
        <v>5965</v>
      </c>
      <c r="M120" s="185"/>
      <c r="N120" s="185"/>
      <c r="O120" s="185"/>
      <c r="P120" s="185" t="s">
        <v>6553</v>
      </c>
      <c r="Q120" s="185"/>
      <c r="R120" s="185"/>
      <c r="S120" s="185"/>
      <c r="T120" s="185"/>
      <c r="U120" s="188" t="s">
        <v>379</v>
      </c>
      <c r="V120" s="188" t="s">
        <v>379</v>
      </c>
      <c r="W120" s="188" t="s">
        <v>379</v>
      </c>
      <c r="X120" s="188" t="s">
        <v>379</v>
      </c>
      <c r="Y120" s="188" t="s">
        <v>379</v>
      </c>
      <c r="Z120" s="188" t="s">
        <v>379</v>
      </c>
      <c r="AA120" s="188" t="s">
        <v>379</v>
      </c>
      <c r="AB120" s="188" t="s">
        <v>379</v>
      </c>
      <c r="AC120" s="188" t="s">
        <v>379</v>
      </c>
      <c r="AD120" s="188" t="s">
        <v>379</v>
      </c>
    </row>
    <row r="121" spans="1:30" s="167" customFormat="1" ht="331.5">
      <c r="A121" s="181">
        <v>121</v>
      </c>
      <c r="B121" s="169" t="s">
        <v>1836</v>
      </c>
      <c r="C121" s="166" t="s">
        <v>6554</v>
      </c>
      <c r="D121" s="165" t="s">
        <v>6555</v>
      </c>
      <c r="E121" s="165" t="s">
        <v>6556</v>
      </c>
      <c r="F121" s="113" t="s">
        <v>6557</v>
      </c>
      <c r="G121" s="125" t="str">
        <f>VLOOKUP($B121,'Product-Requirement'!$B:$M,8,FALSE)</f>
        <v>PROTECT</v>
      </c>
      <c r="H121" s="125" t="str">
        <f>VLOOKUP($B121,'Product-Requirement'!$B:$M,9,FALSE)</f>
        <v>Maintenance</v>
      </c>
      <c r="I121" s="125" t="str">
        <f>VLOOKUP($B121,'Product-Requirement'!$B:$M,10,FALSE)</f>
        <v>PR.MA-1: Maintenance and repair of organizational assets are performed and logged, with approved and controlled tools</v>
      </c>
      <c r="J121" s="125" t="str">
        <f>VLOOKUP($B121,'Product-Requirement'!$B:$M,11,FALSE)</f>
        <v>System_Design</v>
      </c>
      <c r="K121" s="125" t="str">
        <f>VLOOKUP($B121,'Product-Requirement'!$B:$M,12,FALSE)</f>
        <v>Manufacturer</v>
      </c>
      <c r="L121" s="125" t="s">
        <v>5965</v>
      </c>
      <c r="M121" s="185"/>
      <c r="N121" s="185" t="s">
        <v>6558</v>
      </c>
      <c r="O121" s="185" t="s">
        <v>6559</v>
      </c>
      <c r="P121" s="185" t="s">
        <v>6560</v>
      </c>
      <c r="Q121" s="185" t="s">
        <v>6561</v>
      </c>
      <c r="R121" s="185" t="s">
        <v>6562</v>
      </c>
      <c r="S121" s="185"/>
      <c r="T121" s="185" t="s">
        <v>6563</v>
      </c>
      <c r="U121" s="187" t="s">
        <v>378</v>
      </c>
      <c r="V121" s="187" t="s">
        <v>378</v>
      </c>
      <c r="W121" s="187" t="s">
        <v>378</v>
      </c>
      <c r="X121" s="187" t="s">
        <v>378</v>
      </c>
      <c r="Y121" s="187" t="s">
        <v>378</v>
      </c>
      <c r="Z121" s="187" t="s">
        <v>378</v>
      </c>
      <c r="AA121" s="187" t="s">
        <v>378</v>
      </c>
      <c r="AB121" s="187" t="s">
        <v>378</v>
      </c>
      <c r="AC121" s="187" t="s">
        <v>378</v>
      </c>
      <c r="AD121" s="187" t="s">
        <v>378</v>
      </c>
    </row>
    <row r="122" spans="1:30" s="167" customFormat="1" ht="76.5">
      <c r="A122" s="182">
        <v>122</v>
      </c>
      <c r="B122" s="169" t="s">
        <v>1343</v>
      </c>
      <c r="C122" s="166" t="s">
        <v>6564</v>
      </c>
      <c r="D122" s="165" t="s">
        <v>6565</v>
      </c>
      <c r="E122" s="165"/>
      <c r="F122" s="107"/>
      <c r="G122" s="125" t="str">
        <f>VLOOKUP($B122,'Product-Requirement'!$B:$M,8,FALSE)</f>
        <v>PROTECT</v>
      </c>
      <c r="H122" s="125" t="str">
        <f>VLOOKUP($B122,'Product-Requirement'!$B:$M,9,FALSE)</f>
        <v>Maintenance</v>
      </c>
      <c r="I122" s="125" t="str">
        <f>VLOOKUP($B122,'Product-Requirement'!$B:$M,10,FALSE)</f>
        <v>PR.MA-2: Remote maintenance of organizational assets is approved, logged, and performed in a manner that prevents unauthorized access</v>
      </c>
      <c r="J122" s="125" t="str">
        <f>VLOOKUP($B122,'Product-Requirement'!$B:$M,11,FALSE)</f>
        <v>System_Design</v>
      </c>
      <c r="K122" s="125" t="str">
        <f>VLOOKUP($B122,'Product-Requirement'!$B:$M,12,FALSE)</f>
        <v>Manufacturer</v>
      </c>
      <c r="L122" s="125" t="s">
        <v>5965</v>
      </c>
      <c r="M122" s="185"/>
      <c r="N122" s="185"/>
      <c r="O122" s="185"/>
      <c r="P122" s="185" t="s">
        <v>6566</v>
      </c>
      <c r="Q122" s="185"/>
      <c r="R122" s="185"/>
      <c r="S122" s="185"/>
      <c r="T122" s="185" t="s">
        <v>6567</v>
      </c>
      <c r="U122" s="187" t="s">
        <v>378</v>
      </c>
      <c r="V122" s="187" t="s">
        <v>378</v>
      </c>
      <c r="W122" s="187" t="s">
        <v>378</v>
      </c>
      <c r="X122" s="187" t="s">
        <v>378</v>
      </c>
      <c r="Y122" s="187" t="s">
        <v>378</v>
      </c>
      <c r="Z122" s="187" t="s">
        <v>378</v>
      </c>
      <c r="AA122" s="187" t="s">
        <v>378</v>
      </c>
      <c r="AB122" s="187" t="s">
        <v>378</v>
      </c>
      <c r="AC122" s="187" t="s">
        <v>378</v>
      </c>
      <c r="AD122" s="187" t="s">
        <v>378</v>
      </c>
    </row>
    <row r="123" spans="1:30" s="167" customFormat="1" ht="76.5">
      <c r="A123" s="181">
        <v>123</v>
      </c>
      <c r="B123" s="169" t="s">
        <v>1347</v>
      </c>
      <c r="C123" s="166" t="s">
        <v>6568</v>
      </c>
      <c r="D123" s="165" t="s">
        <v>6569</v>
      </c>
      <c r="E123" s="165"/>
      <c r="F123" s="107"/>
      <c r="G123" s="125" t="str">
        <f>VLOOKUP($B123,'Product-Requirement'!$B:$M,8,FALSE)</f>
        <v>PROTECT</v>
      </c>
      <c r="H123" s="125" t="str">
        <f>VLOOKUP($B123,'Product-Requirement'!$B:$M,9,FALSE)</f>
        <v>Maintenance</v>
      </c>
      <c r="I123" s="125" t="str">
        <f>VLOOKUP($B123,'Product-Requirement'!$B:$M,10,FALSE)</f>
        <v>PR.MA-2: Remote maintenance of organizational assets is approved, logged, and performed in a manner that prevents unauthorized access</v>
      </c>
      <c r="J123" s="125" t="str">
        <f>VLOOKUP($B123,'Product-Requirement'!$B:$M,11,FALSE)</f>
        <v>System_Design</v>
      </c>
      <c r="K123" s="125" t="str">
        <f>VLOOKUP($B123,'Product-Requirement'!$B:$M,12,FALSE)</f>
        <v>Manufacturer</v>
      </c>
      <c r="L123" s="125" t="s">
        <v>5965</v>
      </c>
      <c r="M123" s="185"/>
      <c r="N123" s="185"/>
      <c r="O123" s="185"/>
      <c r="P123" s="185" t="s">
        <v>6566</v>
      </c>
      <c r="Q123" s="185"/>
      <c r="R123" s="185"/>
      <c r="S123" s="185"/>
      <c r="T123" s="185" t="s">
        <v>6570</v>
      </c>
      <c r="U123" s="187" t="s">
        <v>378</v>
      </c>
      <c r="V123" s="187" t="s">
        <v>378</v>
      </c>
      <c r="W123" s="187" t="s">
        <v>378</v>
      </c>
      <c r="X123" s="188" t="s">
        <v>379</v>
      </c>
      <c r="Y123" s="188" t="s">
        <v>379</v>
      </c>
      <c r="Z123" s="188" t="s">
        <v>379</v>
      </c>
      <c r="AA123" s="188" t="s">
        <v>379</v>
      </c>
      <c r="AB123" s="188" t="s">
        <v>379</v>
      </c>
      <c r="AC123" s="187" t="s">
        <v>378</v>
      </c>
      <c r="AD123" s="188" t="s">
        <v>379</v>
      </c>
    </row>
    <row r="124" spans="1:30" s="167" customFormat="1" ht="165.75">
      <c r="A124" s="182">
        <v>124</v>
      </c>
      <c r="B124" s="169" t="s">
        <v>1007</v>
      </c>
      <c r="C124" s="166" t="s">
        <v>6571</v>
      </c>
      <c r="D124" s="165" t="s">
        <v>6572</v>
      </c>
      <c r="E124" s="165"/>
      <c r="F124" s="113" t="s">
        <v>6573</v>
      </c>
      <c r="G124" s="125" t="str">
        <f>VLOOKUP($B124,'Product-Requirement'!$B:$M,8,FALSE)</f>
        <v>PROTECT</v>
      </c>
      <c r="H124" s="125" t="str">
        <f>VLOOKUP($B124,'Product-Requirement'!$B:$M,9,FALSE)</f>
        <v>Protective_Technology</v>
      </c>
      <c r="I124" s="125" t="str">
        <f>VLOOKUP($B124,'Product-Requirement'!$B:$M,10,FALSE)</f>
        <v>PR.PT-1: Audit/log records are determined, documented, implemented, and reviewed in accordance with policy</v>
      </c>
      <c r="J124" s="125" t="str">
        <f>VLOOKUP($B124,'Product-Requirement'!$B:$M,11,FALSE)</f>
        <v>System_Design</v>
      </c>
      <c r="K124" s="125" t="str">
        <f>VLOOKUP($B124,'Product-Requirement'!$B:$M,12,FALSE)</f>
        <v>Manufacturer</v>
      </c>
      <c r="L124" s="125" t="s">
        <v>5965</v>
      </c>
      <c r="M124" s="185"/>
      <c r="N124" s="185"/>
      <c r="O124" s="185" t="s">
        <v>6574</v>
      </c>
      <c r="P124" s="185" t="s">
        <v>6575</v>
      </c>
      <c r="Q124" s="185" t="s">
        <v>6576</v>
      </c>
      <c r="R124" s="185" t="s">
        <v>6390</v>
      </c>
      <c r="S124" s="185" t="s">
        <v>6110</v>
      </c>
      <c r="T124" s="185" t="s">
        <v>6577</v>
      </c>
      <c r="U124" s="187" t="s">
        <v>378</v>
      </c>
      <c r="V124" s="187" t="s">
        <v>378</v>
      </c>
      <c r="W124" s="187" t="s">
        <v>378</v>
      </c>
      <c r="X124" s="187" t="s">
        <v>378</v>
      </c>
      <c r="Y124" s="187" t="s">
        <v>378</v>
      </c>
      <c r="Z124" s="187" t="s">
        <v>378</v>
      </c>
      <c r="AA124" s="187" t="s">
        <v>378</v>
      </c>
      <c r="AB124" s="187" t="s">
        <v>378</v>
      </c>
      <c r="AC124" s="187" t="s">
        <v>378</v>
      </c>
      <c r="AD124" s="187" t="s">
        <v>378</v>
      </c>
    </row>
    <row r="125" spans="1:30" s="167" customFormat="1" ht="216.75">
      <c r="A125" s="181">
        <v>125</v>
      </c>
      <c r="B125" s="169" t="s">
        <v>889</v>
      </c>
      <c r="C125" s="166" t="s">
        <v>6578</v>
      </c>
      <c r="D125" s="165" t="s">
        <v>6579</v>
      </c>
      <c r="E125" s="165"/>
      <c r="F125" s="165" t="s">
        <v>6580</v>
      </c>
      <c r="G125" s="125" t="str">
        <f>VLOOKUP($B125,'Product-Requirement'!$B:$M,8,FALSE)</f>
        <v>PROTECT</v>
      </c>
      <c r="H125" s="125" t="str">
        <f>VLOOKUP($B125,'Product-Requirement'!$B:$M,9,FALSE)</f>
        <v>Protective_Technology</v>
      </c>
      <c r="I125" s="125" t="str">
        <f>VLOOKUP($B125,'Product-Requirement'!$B:$M,10,FALSE)</f>
        <v>PR.PT-1: Audit/log records are determined, documented, implemented, and reviewed in accordance with policy</v>
      </c>
      <c r="J125" s="125" t="str">
        <f>VLOOKUP($B125,'Product-Requirement'!$B:$M,11,FALSE)</f>
        <v>System_Design</v>
      </c>
      <c r="K125" s="125" t="str">
        <f>VLOOKUP($B125,'Product-Requirement'!$B:$M,12,FALSE)</f>
        <v>Manufacturer</v>
      </c>
      <c r="L125" s="125" t="s">
        <v>5965</v>
      </c>
      <c r="M125" s="185"/>
      <c r="N125" s="185"/>
      <c r="O125" s="185" t="s">
        <v>6581</v>
      </c>
      <c r="P125" s="185" t="s">
        <v>6582</v>
      </c>
      <c r="Q125" s="185" t="s">
        <v>6583</v>
      </c>
      <c r="R125" s="185" t="s">
        <v>6584</v>
      </c>
      <c r="S125" s="185"/>
      <c r="T125" s="185" t="s">
        <v>6585</v>
      </c>
      <c r="U125" s="187" t="s">
        <v>378</v>
      </c>
      <c r="V125" s="187" t="s">
        <v>378</v>
      </c>
      <c r="W125" s="187" t="s">
        <v>378</v>
      </c>
      <c r="X125" s="187" t="s">
        <v>378</v>
      </c>
      <c r="Y125" s="187" t="s">
        <v>378</v>
      </c>
      <c r="Z125" s="187" t="s">
        <v>378</v>
      </c>
      <c r="AA125" s="187" t="s">
        <v>378</v>
      </c>
      <c r="AB125" s="187" t="s">
        <v>378</v>
      </c>
      <c r="AC125" s="187" t="s">
        <v>378</v>
      </c>
      <c r="AD125" s="187" t="s">
        <v>378</v>
      </c>
    </row>
    <row r="126" spans="1:30" s="167" customFormat="1" ht="409.5">
      <c r="A126" s="182">
        <v>126</v>
      </c>
      <c r="B126" s="169" t="s">
        <v>523</v>
      </c>
      <c r="C126" s="166" t="s">
        <v>6586</v>
      </c>
      <c r="D126" s="165" t="s">
        <v>6587</v>
      </c>
      <c r="E126" s="165"/>
      <c r="F126" s="165" t="s">
        <v>6588</v>
      </c>
      <c r="G126" s="125" t="str">
        <f>VLOOKUP($B126,'Product-Requirement'!$B:$M,8,FALSE)</f>
        <v>PROTECT</v>
      </c>
      <c r="H126" s="125" t="str">
        <f>VLOOKUP($B126,'Product-Requirement'!$B:$M,9,FALSE)</f>
        <v>Protective_Technology</v>
      </c>
      <c r="I126" s="125" t="str">
        <f>VLOOKUP($B126,'Product-Requirement'!$B:$M,10,FALSE)</f>
        <v>PR.PT-1: Audit/log records are determined, documented, implemented, and reviewed in accordance with policy</v>
      </c>
      <c r="J126" s="125" t="str">
        <f>VLOOKUP($B126,'Product-Requirement'!$B:$M,11,FALSE)</f>
        <v>System_Design</v>
      </c>
      <c r="K126" s="125" t="str">
        <f>VLOOKUP($B126,'Product-Requirement'!$B:$M,12,FALSE)</f>
        <v>Manufacturer</v>
      </c>
      <c r="L126" s="125" t="s">
        <v>5965</v>
      </c>
      <c r="M126" s="185"/>
      <c r="N126" s="185" t="s">
        <v>6589</v>
      </c>
      <c r="O126" s="185" t="s">
        <v>6590</v>
      </c>
      <c r="P126" s="185" t="s">
        <v>6591</v>
      </c>
      <c r="Q126" s="185" t="s">
        <v>6592</v>
      </c>
      <c r="R126" s="185" t="s">
        <v>6584</v>
      </c>
      <c r="S126" s="185"/>
      <c r="T126" s="185" t="s">
        <v>6593</v>
      </c>
      <c r="U126" s="187" t="s">
        <v>378</v>
      </c>
      <c r="V126" s="187" t="s">
        <v>378</v>
      </c>
      <c r="W126" s="187" t="s">
        <v>378</v>
      </c>
      <c r="X126" s="187" t="s">
        <v>378</v>
      </c>
      <c r="Y126" s="187" t="s">
        <v>378</v>
      </c>
      <c r="Z126" s="187" t="s">
        <v>378</v>
      </c>
      <c r="AA126" s="187" t="s">
        <v>378</v>
      </c>
      <c r="AB126" s="187" t="s">
        <v>378</v>
      </c>
      <c r="AC126" s="187" t="s">
        <v>378</v>
      </c>
      <c r="AD126" s="187" t="s">
        <v>378</v>
      </c>
    </row>
    <row r="127" spans="1:30" s="167" customFormat="1" ht="102">
      <c r="A127" s="181">
        <v>127</v>
      </c>
      <c r="B127" s="169" t="s">
        <v>3970</v>
      </c>
      <c r="C127" s="166" t="s">
        <v>6594</v>
      </c>
      <c r="D127" s="165" t="s">
        <v>6595</v>
      </c>
      <c r="E127" s="165"/>
      <c r="F127" s="136"/>
      <c r="G127" s="125" t="str">
        <f>VLOOKUP($B127,'Product-Requirement'!$B:$M,8,FALSE)</f>
        <v>PROTECT</v>
      </c>
      <c r="H127" s="125" t="str">
        <f>VLOOKUP($B127,'Product-Requirement'!$B:$M,9,FALSE)</f>
        <v>Protective_Technology</v>
      </c>
      <c r="I127" s="125" t="str">
        <f>VLOOKUP($B127,'Product-Requirement'!$B:$M,10,FALSE)</f>
        <v>PR.PT-1: Audit/log records are determined, documented, implemented, and reviewed in accordance with policy</v>
      </c>
      <c r="J127" s="125" t="str">
        <f>VLOOKUP($B127,'Product-Requirement'!$B:$M,11,FALSE)</f>
        <v>System_Design</v>
      </c>
      <c r="K127" s="125" t="str">
        <f>VLOOKUP($B127,'Product-Requirement'!$B:$M,12,FALSE)</f>
        <v>Manufacturer</v>
      </c>
      <c r="L127" s="125" t="s">
        <v>5965</v>
      </c>
      <c r="M127" s="185"/>
      <c r="N127" s="185"/>
      <c r="O127" s="185" t="s">
        <v>6596</v>
      </c>
      <c r="P127" s="185"/>
      <c r="Q127" s="185"/>
      <c r="R127" s="185"/>
      <c r="S127" s="185"/>
      <c r="T127" s="185"/>
      <c r="U127" s="188" t="s">
        <v>379</v>
      </c>
      <c r="V127" s="187" t="s">
        <v>378</v>
      </c>
      <c r="W127" s="188" t="s">
        <v>379</v>
      </c>
      <c r="X127" s="188" t="s">
        <v>379</v>
      </c>
      <c r="Y127" s="188" t="s">
        <v>379</v>
      </c>
      <c r="Z127" s="188" t="s">
        <v>379</v>
      </c>
      <c r="AA127" s="188" t="s">
        <v>379</v>
      </c>
      <c r="AB127" s="188" t="s">
        <v>379</v>
      </c>
      <c r="AC127" s="188" t="s">
        <v>379</v>
      </c>
      <c r="AD127" s="188" t="s">
        <v>379</v>
      </c>
    </row>
    <row r="128" spans="1:30" s="167" customFormat="1" ht="140.25">
      <c r="A128" s="182">
        <v>128</v>
      </c>
      <c r="B128" s="169" t="s">
        <v>804</v>
      </c>
      <c r="C128" s="166" t="s">
        <v>6597</v>
      </c>
      <c r="D128" s="165" t="s">
        <v>6598</v>
      </c>
      <c r="E128" s="165"/>
      <c r="F128" s="165" t="s">
        <v>6599</v>
      </c>
      <c r="G128" s="125" t="str">
        <f>VLOOKUP($B128,'Product-Requirement'!$B:$M,8,FALSE)</f>
        <v>PROTECT</v>
      </c>
      <c r="H128" s="125" t="str">
        <f>VLOOKUP($B128,'Product-Requirement'!$B:$M,9,FALSE)</f>
        <v>Protective_Technology</v>
      </c>
      <c r="I128" s="125" t="str">
        <f>VLOOKUP($B128,'Product-Requirement'!$B:$M,10,FALSE)</f>
        <v>PR.PT-1: Audit/log records are determined, documented, implemented, and reviewed in accordance with policy</v>
      </c>
      <c r="J128" s="125" t="str">
        <f>VLOOKUP($B128,'Product-Requirement'!$B:$M,11,FALSE)</f>
        <v>System_Design</v>
      </c>
      <c r="K128" s="125" t="str">
        <f>VLOOKUP($B128,'Product-Requirement'!$B:$M,12,FALSE)</f>
        <v>Manufacturer</v>
      </c>
      <c r="L128" s="125" t="s">
        <v>5965</v>
      </c>
      <c r="M128" s="185"/>
      <c r="N128" s="185"/>
      <c r="O128" s="185" t="s">
        <v>6600</v>
      </c>
      <c r="P128" s="185" t="s">
        <v>6601</v>
      </c>
      <c r="Q128" s="185" t="s">
        <v>6602</v>
      </c>
      <c r="R128" s="185"/>
      <c r="S128" s="185"/>
      <c r="T128" s="185"/>
      <c r="U128" s="187" t="s">
        <v>378</v>
      </c>
      <c r="V128" s="187" t="s">
        <v>378</v>
      </c>
      <c r="W128" s="187" t="s">
        <v>378</v>
      </c>
      <c r="X128" s="187" t="s">
        <v>378</v>
      </c>
      <c r="Y128" s="187" t="s">
        <v>378</v>
      </c>
      <c r="Z128" s="187" t="s">
        <v>378</v>
      </c>
      <c r="AA128" s="187" t="s">
        <v>378</v>
      </c>
      <c r="AB128" s="187" t="s">
        <v>378</v>
      </c>
      <c r="AC128" s="187" t="s">
        <v>378</v>
      </c>
      <c r="AD128" s="187" t="s">
        <v>378</v>
      </c>
    </row>
    <row r="129" spans="1:30" s="167" customFormat="1" ht="165.75">
      <c r="A129" s="181">
        <v>129</v>
      </c>
      <c r="B129" s="169" t="s">
        <v>817</v>
      </c>
      <c r="C129" s="166" t="s">
        <v>6603</v>
      </c>
      <c r="D129" s="165" t="s">
        <v>6604</v>
      </c>
      <c r="E129" s="165"/>
      <c r="F129" s="165" t="s">
        <v>6605</v>
      </c>
      <c r="G129" s="125" t="str">
        <f>VLOOKUP($B129,'Product-Requirement'!$B:$M,8,FALSE)</f>
        <v>PROTECT</v>
      </c>
      <c r="H129" s="125" t="str">
        <f>VLOOKUP($B129,'Product-Requirement'!$B:$M,9,FALSE)</f>
        <v>Protective_Technology</v>
      </c>
      <c r="I129" s="125" t="str">
        <f>VLOOKUP($B129,'Product-Requirement'!$B:$M,10,FALSE)</f>
        <v>PR.PT-1: Audit/log records are determined, documented, implemented, and reviewed in accordance with policy</v>
      </c>
      <c r="J129" s="125" t="str">
        <f>VLOOKUP($B129,'Product-Requirement'!$B:$M,11,FALSE)</f>
        <v>System_Design</v>
      </c>
      <c r="K129" s="125" t="str">
        <f>VLOOKUP($B129,'Product-Requirement'!$B:$M,12,FALSE)</f>
        <v>Manufacturer</v>
      </c>
      <c r="L129" s="125" t="s">
        <v>5965</v>
      </c>
      <c r="M129" s="185"/>
      <c r="N129" s="185" t="s">
        <v>6606</v>
      </c>
      <c r="O129" s="185" t="s">
        <v>6607</v>
      </c>
      <c r="P129" s="185" t="s">
        <v>6608</v>
      </c>
      <c r="Q129" s="185" t="s">
        <v>6609</v>
      </c>
      <c r="R129" s="185" t="s">
        <v>6584</v>
      </c>
      <c r="S129" s="185"/>
      <c r="T129" s="185" t="s">
        <v>6610</v>
      </c>
      <c r="U129" s="187" t="s">
        <v>378</v>
      </c>
      <c r="V129" s="187" t="s">
        <v>378</v>
      </c>
      <c r="W129" s="187" t="s">
        <v>378</v>
      </c>
      <c r="X129" s="187" t="s">
        <v>378</v>
      </c>
      <c r="Y129" s="187" t="s">
        <v>378</v>
      </c>
      <c r="Z129" s="187" t="s">
        <v>378</v>
      </c>
      <c r="AA129" s="187" t="s">
        <v>378</v>
      </c>
      <c r="AB129" s="187" t="s">
        <v>378</v>
      </c>
      <c r="AC129" s="187" t="s">
        <v>378</v>
      </c>
      <c r="AD129" s="187" t="s">
        <v>378</v>
      </c>
    </row>
    <row r="130" spans="1:30" s="167" customFormat="1" ht="51">
      <c r="A130" s="182">
        <v>130</v>
      </c>
      <c r="B130" s="169" t="s">
        <v>820</v>
      </c>
      <c r="C130" s="166" t="s">
        <v>6611</v>
      </c>
      <c r="D130" s="165" t="s">
        <v>6612</v>
      </c>
      <c r="E130" s="165"/>
      <c r="F130" s="165"/>
      <c r="G130" s="125" t="str">
        <f>VLOOKUP($B130,'Product-Requirement'!$B:$M,8,FALSE)</f>
        <v>PROTECT</v>
      </c>
      <c r="H130" s="125" t="str">
        <f>VLOOKUP($B130,'Product-Requirement'!$B:$M,9,FALSE)</f>
        <v>Protective_Technology</v>
      </c>
      <c r="I130" s="125" t="str">
        <f>VLOOKUP($B130,'Product-Requirement'!$B:$M,10,FALSE)</f>
        <v>PR.PT-1: Audit/log records are determined, documented, implemented, and reviewed in accordance with policy</v>
      </c>
      <c r="J130" s="125" t="str">
        <f>VLOOKUP($B130,'Product-Requirement'!$B:$M,11,FALSE)</f>
        <v>System_Design</v>
      </c>
      <c r="K130" s="125" t="str">
        <f>VLOOKUP($B130,'Product-Requirement'!$B:$M,12,FALSE)</f>
        <v>Manufacturer</v>
      </c>
      <c r="L130" s="125" t="s">
        <v>5965</v>
      </c>
      <c r="M130" s="185"/>
      <c r="N130" s="185"/>
      <c r="O130" s="185"/>
      <c r="P130" s="185" t="s">
        <v>6613</v>
      </c>
      <c r="Q130" s="185"/>
      <c r="R130" s="185"/>
      <c r="S130" s="185"/>
      <c r="T130" s="185"/>
      <c r="U130" s="187" t="s">
        <v>378</v>
      </c>
      <c r="V130" s="187" t="s">
        <v>378</v>
      </c>
      <c r="W130" s="187" t="s">
        <v>378</v>
      </c>
      <c r="X130" s="188" t="s">
        <v>379</v>
      </c>
      <c r="Y130" s="188" t="s">
        <v>379</v>
      </c>
      <c r="Z130" s="188" t="s">
        <v>379</v>
      </c>
      <c r="AA130" s="188" t="s">
        <v>379</v>
      </c>
      <c r="AB130" s="188" t="s">
        <v>379</v>
      </c>
      <c r="AC130" s="188" t="s">
        <v>379</v>
      </c>
      <c r="AD130" s="188" t="s">
        <v>379</v>
      </c>
    </row>
    <row r="131" spans="1:30" s="167" customFormat="1" ht="89.25">
      <c r="A131" s="181">
        <v>131</v>
      </c>
      <c r="B131" s="169" t="s">
        <v>827</v>
      </c>
      <c r="C131" s="166" t="s">
        <v>6614</v>
      </c>
      <c r="D131" s="165" t="s">
        <v>6615</v>
      </c>
      <c r="E131" s="165"/>
      <c r="F131" s="165" t="s">
        <v>6616</v>
      </c>
      <c r="G131" s="125" t="str">
        <f>VLOOKUP($B131,'Product-Requirement'!$B:$M,8,FALSE)</f>
        <v>PROTECT</v>
      </c>
      <c r="H131" s="125" t="str">
        <f>VLOOKUP($B131,'Product-Requirement'!$B:$M,9,FALSE)</f>
        <v>Protective_Technology</v>
      </c>
      <c r="I131" s="125" t="str">
        <f>VLOOKUP($B131,'Product-Requirement'!$B:$M,10,FALSE)</f>
        <v>PR.PT-1: Audit/log records are determined, documented, implemented, and reviewed in accordance with policy</v>
      </c>
      <c r="J131" s="125" t="str">
        <f>VLOOKUP($B131,'Product-Requirement'!$B:$M,11,FALSE)</f>
        <v>System_Design</v>
      </c>
      <c r="K131" s="125" t="str">
        <f>VLOOKUP($B131,'Product-Requirement'!$B:$M,12,FALSE)</f>
        <v>Manufacturer</v>
      </c>
      <c r="L131" s="125" t="s">
        <v>5965</v>
      </c>
      <c r="M131" s="185"/>
      <c r="N131" s="185"/>
      <c r="O131" s="185"/>
      <c r="P131" s="185" t="s">
        <v>6617</v>
      </c>
      <c r="Q131" s="185"/>
      <c r="R131" s="185"/>
      <c r="S131" s="185"/>
      <c r="T131" s="185"/>
      <c r="U131" s="187" t="s">
        <v>378</v>
      </c>
      <c r="V131" s="187" t="s">
        <v>378</v>
      </c>
      <c r="W131" s="187" t="s">
        <v>378</v>
      </c>
      <c r="X131" s="188" t="s">
        <v>379</v>
      </c>
      <c r="Y131" s="188" t="s">
        <v>379</v>
      </c>
      <c r="Z131" s="188" t="s">
        <v>379</v>
      </c>
      <c r="AA131" s="188" t="s">
        <v>379</v>
      </c>
      <c r="AB131" s="188" t="s">
        <v>379</v>
      </c>
      <c r="AC131" s="188" t="s">
        <v>379</v>
      </c>
      <c r="AD131" s="188" t="s">
        <v>379</v>
      </c>
    </row>
    <row r="132" spans="1:30" s="167" customFormat="1" ht="153">
      <c r="A132" s="182">
        <v>132</v>
      </c>
      <c r="B132" s="169" t="s">
        <v>842</v>
      </c>
      <c r="C132" s="166" t="s">
        <v>6618</v>
      </c>
      <c r="D132" s="165" t="s">
        <v>6619</v>
      </c>
      <c r="E132" s="165"/>
      <c r="F132" s="165" t="s">
        <v>6616</v>
      </c>
      <c r="G132" s="125" t="str">
        <f>VLOOKUP($B132,'Product-Requirement'!$B:$M,8,FALSE)</f>
        <v>PROTECT</v>
      </c>
      <c r="H132" s="125" t="str">
        <f>VLOOKUP($B132,'Product-Requirement'!$B:$M,9,FALSE)</f>
        <v>Protective_Technology</v>
      </c>
      <c r="I132" s="125" t="str">
        <f>VLOOKUP($B132,'Product-Requirement'!$B:$M,10,FALSE)</f>
        <v>PR.PT-1: Audit/log records are determined, documented, implemented, and reviewed in accordance with policy</v>
      </c>
      <c r="J132" s="125" t="str">
        <f>VLOOKUP($B132,'Product-Requirement'!$B:$M,11,FALSE)</f>
        <v>System_Design</v>
      </c>
      <c r="K132" s="125" t="str">
        <f>VLOOKUP($B132,'Product-Requirement'!$B:$M,12,FALSE)</f>
        <v>Manufacturer</v>
      </c>
      <c r="L132" s="125" t="s">
        <v>5965</v>
      </c>
      <c r="M132" s="185"/>
      <c r="N132" s="185"/>
      <c r="O132" s="185"/>
      <c r="P132" s="185" t="s">
        <v>6620</v>
      </c>
      <c r="Q132" s="185"/>
      <c r="R132" s="185"/>
      <c r="S132" s="185"/>
      <c r="T132" s="185" t="s">
        <v>6621</v>
      </c>
      <c r="U132" s="187" t="s">
        <v>378</v>
      </c>
      <c r="V132" s="187" t="s">
        <v>378</v>
      </c>
      <c r="W132" s="187" t="s">
        <v>378</v>
      </c>
      <c r="X132" s="188" t="s">
        <v>379</v>
      </c>
      <c r="Y132" s="188" t="s">
        <v>379</v>
      </c>
      <c r="Z132" s="187" t="s">
        <v>378</v>
      </c>
      <c r="AA132" s="188" t="s">
        <v>379</v>
      </c>
      <c r="AB132" s="188" t="s">
        <v>379</v>
      </c>
      <c r="AC132" s="188" t="s">
        <v>379</v>
      </c>
      <c r="AD132" s="188" t="s">
        <v>379</v>
      </c>
    </row>
    <row r="133" spans="1:30" s="167" customFormat="1" ht="165.75">
      <c r="A133" s="181">
        <v>133</v>
      </c>
      <c r="B133" s="169" t="s">
        <v>871</v>
      </c>
      <c r="C133" s="166" t="s">
        <v>6622</v>
      </c>
      <c r="D133" s="165" t="s">
        <v>6623</v>
      </c>
      <c r="E133" s="165" t="s">
        <v>6624</v>
      </c>
      <c r="F133" s="84" t="s">
        <v>6625</v>
      </c>
      <c r="G133" s="125" t="str">
        <f>VLOOKUP($B133,'Product-Requirement'!$B:$M,8,FALSE)</f>
        <v>PROTECT</v>
      </c>
      <c r="H133" s="125" t="str">
        <f>VLOOKUP($B133,'Product-Requirement'!$B:$M,9,FALSE)</f>
        <v>Protective_Technology</v>
      </c>
      <c r="I133" s="125" t="str">
        <f>VLOOKUP($B133,'Product-Requirement'!$B:$M,10,FALSE)</f>
        <v>PR.PT-1: Audit/log records are determined, documented, implemented, and reviewed in accordance with policy</v>
      </c>
      <c r="J133" s="125" t="str">
        <f>VLOOKUP($B133,'Product-Requirement'!$B:$M,11,FALSE)</f>
        <v>System_Design</v>
      </c>
      <c r="K133" s="125" t="str">
        <f>VLOOKUP($B133,'Product-Requirement'!$B:$M,12,FALSE)</f>
        <v>Manufacturer</v>
      </c>
      <c r="L133" s="125" t="s">
        <v>5965</v>
      </c>
      <c r="M133" s="185"/>
      <c r="N133" s="185"/>
      <c r="O133" s="185" t="s">
        <v>6626</v>
      </c>
      <c r="P133" s="185" t="s">
        <v>6627</v>
      </c>
      <c r="Q133" s="185" t="s">
        <v>6628</v>
      </c>
      <c r="R133" s="185"/>
      <c r="S133" s="185"/>
      <c r="T133" s="185" t="s">
        <v>6621</v>
      </c>
      <c r="U133" s="187" t="s">
        <v>378</v>
      </c>
      <c r="V133" s="187" t="s">
        <v>378</v>
      </c>
      <c r="W133" s="187" t="s">
        <v>378</v>
      </c>
      <c r="X133" s="187" t="s">
        <v>378</v>
      </c>
      <c r="Y133" s="187" t="s">
        <v>378</v>
      </c>
      <c r="Z133" s="187" t="s">
        <v>378</v>
      </c>
      <c r="AA133" s="187" t="s">
        <v>378</v>
      </c>
      <c r="AB133" s="187" t="s">
        <v>378</v>
      </c>
      <c r="AC133" s="187" t="s">
        <v>378</v>
      </c>
      <c r="AD133" s="187" t="s">
        <v>378</v>
      </c>
    </row>
    <row r="134" spans="1:30" s="167" customFormat="1" ht="127.5">
      <c r="A134" s="182">
        <v>134</v>
      </c>
      <c r="B134" s="166" t="s">
        <v>4580</v>
      </c>
      <c r="C134" s="166" t="s">
        <v>6629</v>
      </c>
      <c r="D134" s="165" t="s">
        <v>6630</v>
      </c>
      <c r="E134" s="165"/>
      <c r="F134" s="84" t="s">
        <v>6631</v>
      </c>
      <c r="G134" s="125" t="str">
        <f>VLOOKUP($B134,'Product-Requirement'!$B:$M,8,FALSE)</f>
        <v>PROTECT</v>
      </c>
      <c r="H134" s="125" t="str">
        <f>VLOOKUP($B134,'Product-Requirement'!$B:$M,9,FALSE)</f>
        <v>Protective_Technology</v>
      </c>
      <c r="I134" s="125" t="str">
        <f>VLOOKUP($B134,'Product-Requirement'!$B:$M,10,FALSE)</f>
        <v>PR.PT-1: Audit/log records are determined, documented, implemented, and reviewed in accordance with policy</v>
      </c>
      <c r="J134" s="125" t="str">
        <f>VLOOKUP($B134,'Product-Requirement'!$B:$M,11,FALSE)</f>
        <v>Wireless</v>
      </c>
      <c r="K134" s="125" t="str">
        <f>VLOOKUP($B134,'Product-Requirement'!$B:$M,12,FALSE)</f>
        <v>Manufacturer</v>
      </c>
      <c r="L134" s="125" t="s">
        <v>5965</v>
      </c>
      <c r="M134" s="185"/>
      <c r="N134" s="185"/>
      <c r="O134" s="185"/>
      <c r="P134" s="185" t="s">
        <v>6198</v>
      </c>
      <c r="Q134" s="185"/>
      <c r="R134" s="185"/>
      <c r="S134" s="185"/>
      <c r="T134" s="185" t="s">
        <v>6632</v>
      </c>
      <c r="U134" s="188" t="s">
        <v>379</v>
      </c>
      <c r="V134" s="188" t="s">
        <v>379</v>
      </c>
      <c r="W134" s="188" t="s">
        <v>379</v>
      </c>
      <c r="X134" s="188" t="s">
        <v>379</v>
      </c>
      <c r="Y134" s="188" t="s">
        <v>379</v>
      </c>
      <c r="Z134" s="188" t="s">
        <v>379</v>
      </c>
      <c r="AA134" s="188" t="s">
        <v>379</v>
      </c>
      <c r="AB134" s="188" t="s">
        <v>379</v>
      </c>
      <c r="AC134" s="188" t="s">
        <v>379</v>
      </c>
      <c r="AD134" s="188" t="s">
        <v>379</v>
      </c>
    </row>
    <row r="135" spans="1:30" s="167" customFormat="1" ht="63.75">
      <c r="A135" s="181">
        <v>135</v>
      </c>
      <c r="B135" s="169" t="s">
        <v>4865</v>
      </c>
      <c r="C135" s="166" t="s">
        <v>6633</v>
      </c>
      <c r="D135" s="165" t="s">
        <v>6634</v>
      </c>
      <c r="E135" s="165"/>
      <c r="F135" s="84" t="s">
        <v>6635</v>
      </c>
      <c r="G135" s="125" t="str">
        <f>VLOOKUP($B135,'Product-Requirement'!$B:$M,8,FALSE)</f>
        <v>PROTECT</v>
      </c>
      <c r="H135" s="125" t="str">
        <f>VLOOKUP($B135,'Product-Requirement'!$B:$M,9,FALSE)</f>
        <v>Protective_Technology</v>
      </c>
      <c r="I135" s="125" t="str">
        <f>VLOOKUP($B135,'Product-Requirement'!$B:$M,10,FALSE)</f>
        <v>PR.PT-1: Audit/log records are determined, documented, implemented, and reviewed in accordance with policy</v>
      </c>
      <c r="J135" s="125" t="str">
        <f>VLOOKUP($B135,'Product-Requirement'!$B:$M,11,FALSE)</f>
        <v>System_Design</v>
      </c>
      <c r="K135" s="125" t="str">
        <f>VLOOKUP($B135,'Product-Requirement'!$B:$M,12,FALSE)</f>
        <v>Manufacturer</v>
      </c>
      <c r="L135" s="125" t="s">
        <v>5965</v>
      </c>
      <c r="M135" s="185"/>
      <c r="N135" s="185"/>
      <c r="O135" s="185"/>
      <c r="P135" s="185" t="s">
        <v>6636</v>
      </c>
      <c r="Q135" s="185"/>
      <c r="R135" s="185"/>
      <c r="S135" s="185"/>
      <c r="T135" s="185"/>
      <c r="U135" s="188" t="s">
        <v>379</v>
      </c>
      <c r="V135" s="188" t="s">
        <v>379</v>
      </c>
      <c r="W135" s="188" t="s">
        <v>379</v>
      </c>
      <c r="X135" s="188" t="s">
        <v>379</v>
      </c>
      <c r="Y135" s="188" t="s">
        <v>379</v>
      </c>
      <c r="Z135" s="188" t="s">
        <v>379</v>
      </c>
      <c r="AA135" s="188" t="s">
        <v>379</v>
      </c>
      <c r="AB135" s="188" t="s">
        <v>379</v>
      </c>
      <c r="AC135" s="188" t="s">
        <v>379</v>
      </c>
      <c r="AD135" s="188" t="s">
        <v>379</v>
      </c>
    </row>
    <row r="136" spans="1:30" s="167" customFormat="1" ht="76.5">
      <c r="A136" s="182">
        <v>136</v>
      </c>
      <c r="B136" s="169" t="s">
        <v>918</v>
      </c>
      <c r="C136" s="166" t="s">
        <v>6637</v>
      </c>
      <c r="D136" s="165" t="s">
        <v>6638</v>
      </c>
      <c r="E136" s="165"/>
      <c r="F136" s="165"/>
      <c r="G136" s="125" t="str">
        <f>VLOOKUP($B136,'Product-Requirement'!$B:$M,8,FALSE)</f>
        <v>PROTECT</v>
      </c>
      <c r="H136" s="125" t="str">
        <f>VLOOKUP($B136,'Product-Requirement'!$B:$M,9,FALSE)</f>
        <v>Protective_Technology</v>
      </c>
      <c r="I136" s="125" t="str">
        <f>VLOOKUP($B136,'Product-Requirement'!$B:$M,10,FALSE)</f>
        <v>PR.PT-1: Audit/log records are determined, documented, implemented, and reviewed in accordance with policy</v>
      </c>
      <c r="J136" s="125" t="str">
        <f>VLOOKUP($B136,'Product-Requirement'!$B:$M,11,FALSE)</f>
        <v>System_Design</v>
      </c>
      <c r="K136" s="125" t="str">
        <f>VLOOKUP($B136,'Product-Requirement'!$B:$M,12,FALSE)</f>
        <v>Manufacturer</v>
      </c>
      <c r="L136" s="125" t="s">
        <v>5965</v>
      </c>
      <c r="M136" s="185"/>
      <c r="N136" s="185"/>
      <c r="O136" s="185" t="s">
        <v>6639</v>
      </c>
      <c r="P136" s="185" t="s">
        <v>6640</v>
      </c>
      <c r="Q136" s="185" t="s">
        <v>6641</v>
      </c>
      <c r="R136" s="185"/>
      <c r="S136" s="185"/>
      <c r="T136" s="185" t="s">
        <v>6642</v>
      </c>
      <c r="U136" s="187" t="s">
        <v>378</v>
      </c>
      <c r="V136" s="187" t="s">
        <v>378</v>
      </c>
      <c r="W136" s="187" t="s">
        <v>378</v>
      </c>
      <c r="X136" s="187" t="s">
        <v>378</v>
      </c>
      <c r="Y136" s="187" t="s">
        <v>378</v>
      </c>
      <c r="Z136" s="187" t="s">
        <v>378</v>
      </c>
      <c r="AA136" s="187" t="s">
        <v>378</v>
      </c>
      <c r="AB136" s="187" t="s">
        <v>378</v>
      </c>
      <c r="AC136" s="187" t="s">
        <v>378</v>
      </c>
      <c r="AD136" s="187" t="s">
        <v>378</v>
      </c>
    </row>
    <row r="137" spans="1:30" s="167" customFormat="1" ht="165.75">
      <c r="A137" s="181">
        <v>137</v>
      </c>
      <c r="B137" s="169" t="s">
        <v>776</v>
      </c>
      <c r="C137" s="166" t="s">
        <v>6643</v>
      </c>
      <c r="D137" s="165" t="s">
        <v>6644</v>
      </c>
      <c r="E137" s="165" t="s">
        <v>6645</v>
      </c>
      <c r="F137" s="84" t="s">
        <v>6646</v>
      </c>
      <c r="G137" s="125" t="str">
        <f>VLOOKUP($B137,'Product-Requirement'!$B:$M,8,FALSE)</f>
        <v>PROTECT</v>
      </c>
      <c r="H137" s="125" t="str">
        <f>VLOOKUP($B137,'Product-Requirement'!$B:$M,9,FALSE)</f>
        <v>Protective_Technology</v>
      </c>
      <c r="I137" s="125" t="str">
        <f>VLOOKUP($B137,'Product-Requirement'!$B:$M,10,FALSE)</f>
        <v>PR.PT-2: Removable media is protected and its use restricted according to policy</v>
      </c>
      <c r="J137" s="125" t="str">
        <f>VLOOKUP($B137,'Product-Requirement'!$B:$M,11,FALSE)</f>
        <v>System_Design</v>
      </c>
      <c r="K137" s="125" t="str">
        <f>VLOOKUP($B137,'Product-Requirement'!$B:$M,12,FALSE)</f>
        <v>Manufacturer</v>
      </c>
      <c r="L137" s="125" t="s">
        <v>5965</v>
      </c>
      <c r="M137" s="185"/>
      <c r="N137" s="185"/>
      <c r="O137" s="185"/>
      <c r="P137" s="185" t="s">
        <v>6647</v>
      </c>
      <c r="Q137" s="185"/>
      <c r="R137" s="185"/>
      <c r="S137" s="185"/>
      <c r="T137" s="185" t="s">
        <v>6648</v>
      </c>
      <c r="U137" s="187" t="s">
        <v>378</v>
      </c>
      <c r="V137" s="187" t="s">
        <v>378</v>
      </c>
      <c r="W137" s="187" t="s">
        <v>378</v>
      </c>
      <c r="X137" s="188" t="s">
        <v>379</v>
      </c>
      <c r="Y137" s="188" t="s">
        <v>379</v>
      </c>
      <c r="Z137" s="188" t="s">
        <v>379</v>
      </c>
      <c r="AA137" s="188" t="s">
        <v>379</v>
      </c>
      <c r="AB137" s="188" t="s">
        <v>379</v>
      </c>
      <c r="AC137" s="188" t="s">
        <v>379</v>
      </c>
      <c r="AD137" s="188" t="s">
        <v>379</v>
      </c>
    </row>
    <row r="138" spans="1:30" s="167" customFormat="1" ht="255">
      <c r="A138" s="182">
        <v>138</v>
      </c>
      <c r="B138" s="169" t="s">
        <v>1330</v>
      </c>
      <c r="C138" s="166" t="s">
        <v>6649</v>
      </c>
      <c r="D138" s="165" t="s">
        <v>6650</v>
      </c>
      <c r="E138" s="165" t="s">
        <v>6651</v>
      </c>
      <c r="F138" s="165" t="s">
        <v>6652</v>
      </c>
      <c r="G138" s="125" t="str">
        <f>VLOOKUP($B138,'Product-Requirement'!$B:$M,8,FALSE)</f>
        <v>PROTECT</v>
      </c>
      <c r="H138" s="125" t="str">
        <f>VLOOKUP($B138,'Product-Requirement'!$B:$M,9,FALSE)</f>
        <v>Protective_Technology</v>
      </c>
      <c r="I138" s="125" t="str">
        <f>VLOOKUP($B138,'Product-Requirement'!$B:$M,10,FALSE)</f>
        <v>PR.PT-2: Removable media is protected and its use restricted according to policy</v>
      </c>
      <c r="J138" s="125" t="str">
        <f>VLOOKUP($B138,'Product-Requirement'!$B:$M,11,FALSE)</f>
        <v>System_Design</v>
      </c>
      <c r="K138" s="125" t="str">
        <f>VLOOKUP($B138,'Product-Requirement'!$B:$M,12,FALSE)</f>
        <v>Manufacturer</v>
      </c>
      <c r="L138" s="125" t="s">
        <v>5965</v>
      </c>
      <c r="M138" s="185"/>
      <c r="N138" s="185"/>
      <c r="O138" s="185" t="s">
        <v>6653</v>
      </c>
      <c r="P138" s="185" t="s">
        <v>6654</v>
      </c>
      <c r="Q138" s="185"/>
      <c r="R138" s="185"/>
      <c r="S138" s="185"/>
      <c r="T138" s="185"/>
      <c r="U138" s="187" t="s">
        <v>378</v>
      </c>
      <c r="V138" s="187" t="s">
        <v>378</v>
      </c>
      <c r="W138" s="187" t="s">
        <v>378</v>
      </c>
      <c r="X138" s="187" t="s">
        <v>378</v>
      </c>
      <c r="Y138" s="187" t="s">
        <v>378</v>
      </c>
      <c r="Z138" s="187" t="s">
        <v>378</v>
      </c>
      <c r="AA138" s="187" t="s">
        <v>378</v>
      </c>
      <c r="AB138" s="187" t="s">
        <v>378</v>
      </c>
      <c r="AC138" s="187" t="s">
        <v>378</v>
      </c>
      <c r="AD138" s="187" t="s">
        <v>378</v>
      </c>
    </row>
    <row r="139" spans="1:30" s="167" customFormat="1" ht="89.25">
      <c r="A139" s="181">
        <v>139</v>
      </c>
      <c r="B139" s="169" t="s">
        <v>1403</v>
      </c>
      <c r="C139" s="166" t="s">
        <v>6655</v>
      </c>
      <c r="D139" s="165" t="s">
        <v>6656</v>
      </c>
      <c r="E139" s="165"/>
      <c r="F139" s="113" t="s">
        <v>6657</v>
      </c>
      <c r="G139" s="125" t="str">
        <f>VLOOKUP($B139,'Product-Requirement'!$B:$M,8,FALSE)</f>
        <v>PROTECT</v>
      </c>
      <c r="H139" s="125" t="str">
        <f>VLOOKUP($B139,'Product-Requirement'!$B:$M,9,FALSE)</f>
        <v>Protective_Technology</v>
      </c>
      <c r="I139" s="125" t="str">
        <f>VLOOKUP($B139,'Product-Requirement'!$B:$M,10,FALSE)</f>
        <v>PR.PT-2: Removable media is protected and its use restricted according to policy</v>
      </c>
      <c r="J139" s="125" t="str">
        <f>VLOOKUP($B139,'Product-Requirement'!$B:$M,11,FALSE)</f>
        <v>System_Design</v>
      </c>
      <c r="K139" s="125" t="str">
        <f>VLOOKUP($B139,'Product-Requirement'!$B:$M,12,FALSE)</f>
        <v>Manufacturer</v>
      </c>
      <c r="L139" s="125" t="s">
        <v>5965</v>
      </c>
      <c r="M139" s="185"/>
      <c r="N139" s="185"/>
      <c r="O139" s="185" t="s">
        <v>6658</v>
      </c>
      <c r="P139" s="185" t="s">
        <v>6659</v>
      </c>
      <c r="Q139" s="185"/>
      <c r="R139" s="185"/>
      <c r="S139" s="185"/>
      <c r="T139" s="185" t="s">
        <v>6660</v>
      </c>
      <c r="U139" s="187" t="s">
        <v>378</v>
      </c>
      <c r="V139" s="187" t="s">
        <v>378</v>
      </c>
      <c r="W139" s="187" t="s">
        <v>378</v>
      </c>
      <c r="X139" s="187" t="s">
        <v>378</v>
      </c>
      <c r="Y139" s="187" t="s">
        <v>378</v>
      </c>
      <c r="Z139" s="187" t="s">
        <v>378</v>
      </c>
      <c r="AA139" s="187" t="s">
        <v>378</v>
      </c>
      <c r="AB139" s="187" t="s">
        <v>378</v>
      </c>
      <c r="AC139" s="187" t="s">
        <v>378</v>
      </c>
      <c r="AD139" s="187" t="s">
        <v>378</v>
      </c>
    </row>
    <row r="140" spans="1:30" s="167" customFormat="1" ht="63.75">
      <c r="A140" s="182">
        <v>140</v>
      </c>
      <c r="B140" s="169" t="s">
        <v>1421</v>
      </c>
      <c r="C140" s="166" t="s">
        <v>6661</v>
      </c>
      <c r="D140" s="165" t="s">
        <v>6662</v>
      </c>
      <c r="E140" s="165"/>
      <c r="F140" s="84" t="s">
        <v>6663</v>
      </c>
      <c r="G140" s="125" t="str">
        <f>VLOOKUP($B140,'Product-Requirement'!$B:$M,8,FALSE)</f>
        <v>PROTECT</v>
      </c>
      <c r="H140" s="125" t="str">
        <f>VLOOKUP($B140,'Product-Requirement'!$B:$M,9,FALSE)</f>
        <v>Protective_Technology</v>
      </c>
      <c r="I140" s="125" t="str">
        <f>VLOOKUP($B140,'Product-Requirement'!$B:$M,10,FALSE)</f>
        <v>PR.PT-2: Removable media is protected and its use restricted according to policy</v>
      </c>
      <c r="J140" s="125" t="str">
        <f>VLOOKUP($B140,'Product-Requirement'!$B:$M,11,FALSE)</f>
        <v>System_Design</v>
      </c>
      <c r="K140" s="125" t="str">
        <f>VLOOKUP($B140,'Product-Requirement'!$B:$M,12,FALSE)</f>
        <v>Manufacturer</v>
      </c>
      <c r="L140" s="125" t="s">
        <v>5965</v>
      </c>
      <c r="M140" s="185"/>
      <c r="N140" s="185"/>
      <c r="O140" s="185"/>
      <c r="P140" s="185" t="s">
        <v>6664</v>
      </c>
      <c r="Q140" s="185"/>
      <c r="R140" s="185"/>
      <c r="S140" s="185"/>
      <c r="T140" s="185"/>
      <c r="U140" s="187" t="s">
        <v>378</v>
      </c>
      <c r="V140" s="187" t="s">
        <v>378</v>
      </c>
      <c r="W140" s="187" t="s">
        <v>378</v>
      </c>
      <c r="X140" s="188" t="s">
        <v>379</v>
      </c>
      <c r="Y140" s="188" t="s">
        <v>379</v>
      </c>
      <c r="Z140" s="188" t="s">
        <v>379</v>
      </c>
      <c r="AA140" s="188" t="s">
        <v>379</v>
      </c>
      <c r="AB140" s="188" t="s">
        <v>379</v>
      </c>
      <c r="AC140" s="188" t="s">
        <v>379</v>
      </c>
      <c r="AD140" s="188" t="s">
        <v>379</v>
      </c>
    </row>
    <row r="141" spans="1:30" s="167" customFormat="1" ht="114.75">
      <c r="A141" s="181">
        <v>141</v>
      </c>
      <c r="B141" s="169" t="s">
        <v>1051</v>
      </c>
      <c r="C141" s="166" t="s">
        <v>6665</v>
      </c>
      <c r="D141" s="165" t="s">
        <v>6666</v>
      </c>
      <c r="E141" s="165" t="s">
        <v>6667</v>
      </c>
      <c r="F141" s="113" t="s">
        <v>6668</v>
      </c>
      <c r="G141" s="125" t="str">
        <f>VLOOKUP($B141,'Product-Requirement'!$B:$M,8,FALSE)</f>
        <v>PROTECT</v>
      </c>
      <c r="H141" s="125" t="str">
        <f>VLOOKUP($B141,'Product-Requirement'!$B:$M,9,FALSE)</f>
        <v>Protective_Technology</v>
      </c>
      <c r="I141" s="125" t="str">
        <f>VLOOKUP($B141,'Product-Requirement'!$B:$M,10,FALSE)</f>
        <v>PR.PT-3: The principle of least functionality is incorporated by configuring systems to provide only essential capabilities</v>
      </c>
      <c r="J141" s="125" t="str">
        <f>VLOOKUP($B141,'Product-Requirement'!$B:$M,11,FALSE)</f>
        <v>System_Design</v>
      </c>
      <c r="K141" s="125" t="str">
        <f>VLOOKUP($B141,'Product-Requirement'!$B:$M,12,FALSE)</f>
        <v>Manufacturer</v>
      </c>
      <c r="L141" s="125" t="s">
        <v>6100</v>
      </c>
      <c r="M141" s="185"/>
      <c r="N141" s="185"/>
      <c r="O141" s="185" t="s">
        <v>6669</v>
      </c>
      <c r="P141" s="185" t="s">
        <v>6670</v>
      </c>
      <c r="Q141" s="185"/>
      <c r="R141" s="185"/>
      <c r="S141" s="185"/>
      <c r="T141" s="185" t="s">
        <v>6671</v>
      </c>
      <c r="U141" s="187" t="s">
        <v>378</v>
      </c>
      <c r="V141" s="187" t="s">
        <v>378</v>
      </c>
      <c r="W141" s="187" t="s">
        <v>378</v>
      </c>
      <c r="X141" s="187" t="s">
        <v>378</v>
      </c>
      <c r="Y141" s="187" t="s">
        <v>378</v>
      </c>
      <c r="Z141" s="187" t="s">
        <v>378</v>
      </c>
      <c r="AA141" s="187" t="s">
        <v>378</v>
      </c>
      <c r="AB141" s="187" t="s">
        <v>378</v>
      </c>
      <c r="AC141" s="187" t="s">
        <v>378</v>
      </c>
      <c r="AD141" s="187" t="s">
        <v>378</v>
      </c>
    </row>
    <row r="142" spans="1:30" s="167" customFormat="1" ht="267.75">
      <c r="A142" s="182">
        <v>142</v>
      </c>
      <c r="B142" s="169" t="s">
        <v>1041</v>
      </c>
      <c r="C142" s="166" t="s">
        <v>6672</v>
      </c>
      <c r="D142" s="165" t="s">
        <v>6673</v>
      </c>
      <c r="E142" s="165" t="s">
        <v>6674</v>
      </c>
      <c r="F142" s="113" t="s">
        <v>6675</v>
      </c>
      <c r="G142" s="125" t="str">
        <f>VLOOKUP($B142,'Product-Requirement'!$B:$M,8,FALSE)</f>
        <v>PROTECT</v>
      </c>
      <c r="H142" s="125" t="str">
        <f>VLOOKUP($B142,'Product-Requirement'!$B:$M,9,FALSE)</f>
        <v>Protective_Technology</v>
      </c>
      <c r="I142" s="125" t="str">
        <f>VLOOKUP($B142,'Product-Requirement'!$B:$M,10,FALSE)</f>
        <v>PR.PT-3: The principle of least functionality is incorporated by configuring systems to provide only essential capabilities</v>
      </c>
      <c r="J142" s="125" t="str">
        <f>VLOOKUP($B142,'Product-Requirement'!$B:$M,11,FALSE)</f>
        <v>System_Design</v>
      </c>
      <c r="K142" s="125" t="str">
        <f>VLOOKUP($B142,'Product-Requirement'!$B:$M,12,FALSE)</f>
        <v>Manufacturer</v>
      </c>
      <c r="L142" s="125" t="s">
        <v>5965</v>
      </c>
      <c r="M142" s="185"/>
      <c r="N142" s="185"/>
      <c r="O142" s="185" t="s">
        <v>6676</v>
      </c>
      <c r="P142" s="185" t="s">
        <v>6677</v>
      </c>
      <c r="Q142" s="185" t="s">
        <v>6678</v>
      </c>
      <c r="R142" s="185" t="s">
        <v>6679</v>
      </c>
      <c r="S142" s="185" t="s">
        <v>6355</v>
      </c>
      <c r="T142" s="185" t="s">
        <v>6680</v>
      </c>
      <c r="U142" s="187" t="s">
        <v>378</v>
      </c>
      <c r="V142" s="187" t="s">
        <v>378</v>
      </c>
      <c r="W142" s="187" t="s">
        <v>378</v>
      </c>
      <c r="X142" s="187" t="s">
        <v>378</v>
      </c>
      <c r="Y142" s="187" t="s">
        <v>378</v>
      </c>
      <c r="Z142" s="187" t="s">
        <v>378</v>
      </c>
      <c r="AA142" s="187" t="s">
        <v>378</v>
      </c>
      <c r="AB142" s="187" t="s">
        <v>378</v>
      </c>
      <c r="AC142" s="187" t="s">
        <v>378</v>
      </c>
      <c r="AD142" s="187" t="s">
        <v>378</v>
      </c>
    </row>
    <row r="143" spans="1:30" s="167" customFormat="1" ht="51">
      <c r="A143" s="181">
        <v>143</v>
      </c>
      <c r="B143" s="169" t="s">
        <v>958</v>
      </c>
      <c r="C143" s="166" t="s">
        <v>6681</v>
      </c>
      <c r="D143" s="165" t="s">
        <v>6682</v>
      </c>
      <c r="E143" s="165"/>
      <c r="F143" s="113" t="s">
        <v>6683</v>
      </c>
      <c r="G143" s="125" t="str">
        <f>VLOOKUP($B143,'Product-Requirement'!$B:$M,8,FALSE)</f>
        <v>PROTECT</v>
      </c>
      <c r="H143" s="125" t="str">
        <f>VLOOKUP($B143,'Product-Requirement'!$B:$M,9,FALSE)</f>
        <v>Protective_Technology</v>
      </c>
      <c r="I143" s="125" t="str">
        <f>VLOOKUP($B143,'Product-Requirement'!$B:$M,10,FALSE)</f>
        <v>PR.PT-4: Communications and control networks are protected</v>
      </c>
      <c r="J143" s="125" t="str">
        <f>VLOOKUP($B143,'Product-Requirement'!$B:$M,11,FALSE)</f>
        <v>Infrastructure&amp;Network</v>
      </c>
      <c r="K143" s="125" t="str">
        <f>VLOOKUP($B143,'Product-Requirement'!$B:$M,12,FALSE)</f>
        <v>Medical facilities(e.g.: Healthcare Delivery Organization/Hospital, Operator)</v>
      </c>
      <c r="L143" s="125" t="s">
        <v>5965</v>
      </c>
      <c r="M143" s="185"/>
      <c r="N143" s="185"/>
      <c r="O143" s="185"/>
      <c r="P143" s="185" t="s">
        <v>6684</v>
      </c>
      <c r="Q143" s="185"/>
      <c r="R143" s="185"/>
      <c r="S143" s="185"/>
      <c r="T143" s="185"/>
      <c r="U143" s="187" t="s">
        <v>378</v>
      </c>
      <c r="V143" s="187" t="s">
        <v>378</v>
      </c>
      <c r="W143" s="187" t="s">
        <v>378</v>
      </c>
      <c r="X143" s="188" t="s">
        <v>379</v>
      </c>
      <c r="Y143" s="188" t="s">
        <v>379</v>
      </c>
      <c r="Z143" s="188" t="s">
        <v>379</v>
      </c>
      <c r="AA143" s="188" t="s">
        <v>379</v>
      </c>
      <c r="AB143" s="188" t="s">
        <v>379</v>
      </c>
      <c r="AC143" s="188" t="s">
        <v>379</v>
      </c>
      <c r="AD143" s="188" t="s">
        <v>379</v>
      </c>
    </row>
    <row r="144" spans="1:30" s="167" customFormat="1" ht="216.75">
      <c r="A144" s="182">
        <v>144</v>
      </c>
      <c r="B144" s="169" t="s">
        <v>971</v>
      </c>
      <c r="C144" s="166" t="s">
        <v>6685</v>
      </c>
      <c r="D144" s="165" t="s">
        <v>6686</v>
      </c>
      <c r="E144" s="165" t="s">
        <v>6687</v>
      </c>
      <c r="F144" s="113" t="s">
        <v>6683</v>
      </c>
      <c r="G144" s="125" t="str">
        <f>VLOOKUP($B144,'Product-Requirement'!$B:$M,8,FALSE)</f>
        <v>PROTECT</v>
      </c>
      <c r="H144" s="125" t="str">
        <f>VLOOKUP($B144,'Product-Requirement'!$B:$M,9,FALSE)</f>
        <v>Protective_Technology</v>
      </c>
      <c r="I144" s="125" t="str">
        <f>VLOOKUP($B144,'Product-Requirement'!$B:$M,10,FALSE)</f>
        <v>PR.PT-4: Communications and control networks are protected</v>
      </c>
      <c r="J144" s="125" t="str">
        <f>VLOOKUP($B144,'Product-Requirement'!$B:$M,11,FALSE)</f>
        <v>Infrastructure&amp;Network</v>
      </c>
      <c r="K144" s="125" t="str">
        <f>VLOOKUP($B144,'Product-Requirement'!$B:$M,12,FALSE)</f>
        <v>Medical facilities(e.g.: Healthcare Delivery Organization/Hospital, Operator)</v>
      </c>
      <c r="L144" s="125" t="s">
        <v>5965</v>
      </c>
      <c r="M144" s="185"/>
      <c r="N144" s="185"/>
      <c r="O144" s="185" t="s">
        <v>6688</v>
      </c>
      <c r="P144" s="185" t="s">
        <v>6689</v>
      </c>
      <c r="Q144" s="185"/>
      <c r="R144" s="185"/>
      <c r="S144" s="185"/>
      <c r="T144" s="185" t="s">
        <v>6690</v>
      </c>
      <c r="U144" s="187" t="s">
        <v>378</v>
      </c>
      <c r="V144" s="187" t="s">
        <v>378</v>
      </c>
      <c r="W144" s="187" t="s">
        <v>378</v>
      </c>
      <c r="X144" s="187" t="s">
        <v>378</v>
      </c>
      <c r="Y144" s="187" t="s">
        <v>378</v>
      </c>
      <c r="Z144" s="187" t="s">
        <v>378</v>
      </c>
      <c r="AA144" s="187" t="s">
        <v>378</v>
      </c>
      <c r="AB144" s="187" t="s">
        <v>378</v>
      </c>
      <c r="AC144" s="187" t="s">
        <v>378</v>
      </c>
      <c r="AD144" s="187" t="s">
        <v>378</v>
      </c>
    </row>
    <row r="145" spans="1:30" s="167" customFormat="1" ht="229.5">
      <c r="A145" s="181">
        <v>145</v>
      </c>
      <c r="B145" s="169" t="s">
        <v>2060</v>
      </c>
      <c r="C145" s="166" t="s">
        <v>6691</v>
      </c>
      <c r="D145" s="165" t="s">
        <v>6692</v>
      </c>
      <c r="E145" s="165"/>
      <c r="F145" s="113" t="s">
        <v>6693</v>
      </c>
      <c r="G145" s="125" t="str">
        <f>VLOOKUP($B145,'Product-Requirement'!$B:$M,8,FALSE)</f>
        <v>PROTECT</v>
      </c>
      <c r="H145" s="125" t="str">
        <f>VLOOKUP($B145,'Product-Requirement'!$B:$M,9,FALSE)</f>
        <v>Protective_Technology</v>
      </c>
      <c r="I145" s="125" t="str">
        <f>VLOOKUP($B145,'Product-Requirement'!$B:$M,10,FALSE)</f>
        <v>PR.PT-4: Communications and control networks are protected</v>
      </c>
      <c r="J145" s="125" t="str">
        <f>VLOOKUP($B145,'Product-Requirement'!$B:$M,11,FALSE)</f>
        <v>Infrastructure&amp;Network</v>
      </c>
      <c r="K145" s="125" t="str">
        <f>VLOOKUP($B145,'Product-Requirement'!$B:$M,12,FALSE)</f>
        <v>Medical facilities(e.g.: Healthcare Delivery Organization/Hospital, Operator)</v>
      </c>
      <c r="L145" s="125" t="s">
        <v>5965</v>
      </c>
      <c r="M145" s="185"/>
      <c r="N145" s="185"/>
      <c r="O145" s="185" t="s">
        <v>6694</v>
      </c>
      <c r="P145" s="185" t="s">
        <v>6695</v>
      </c>
      <c r="Q145" s="185"/>
      <c r="R145" s="185"/>
      <c r="S145" s="185"/>
      <c r="T145" s="185" t="s">
        <v>6696</v>
      </c>
      <c r="U145" s="187" t="s">
        <v>378</v>
      </c>
      <c r="V145" s="187" t="s">
        <v>378</v>
      </c>
      <c r="W145" s="187" t="s">
        <v>378</v>
      </c>
      <c r="X145" s="188" t="s">
        <v>379</v>
      </c>
      <c r="Y145" s="188" t="s">
        <v>379</v>
      </c>
      <c r="Z145" s="188" t="s">
        <v>379</v>
      </c>
      <c r="AA145" s="187" t="s">
        <v>378</v>
      </c>
      <c r="AB145" s="187" t="s">
        <v>378</v>
      </c>
      <c r="AC145" s="187" t="s">
        <v>378</v>
      </c>
      <c r="AD145" s="187" t="s">
        <v>378</v>
      </c>
    </row>
    <row r="146" spans="1:30" s="167" customFormat="1" ht="191.25">
      <c r="A146" s="182">
        <v>146</v>
      </c>
      <c r="B146" s="169" t="s">
        <v>5659</v>
      </c>
      <c r="C146" s="166" t="s">
        <v>6697</v>
      </c>
      <c r="D146" s="165" t="s">
        <v>6698</v>
      </c>
      <c r="E146" s="165"/>
      <c r="F146" s="107"/>
      <c r="G146" s="125" t="str">
        <f>VLOOKUP($B146,'Product-Requirement'!$B:$M,8,FALSE)</f>
        <v>PROTECT</v>
      </c>
      <c r="H146" s="125" t="str">
        <f>VLOOKUP($B146,'Product-Requirement'!$B:$M,9,FALSE)</f>
        <v>Protective_Technology</v>
      </c>
      <c r="I146" s="125" t="str">
        <f>VLOOKUP($B146,'Product-Requirement'!$B:$M,10,FALSE)</f>
        <v>PR.PT-4: Communications and control networks are protected</v>
      </c>
      <c r="J146" s="125" t="str">
        <f>VLOOKUP($B146,'Product-Requirement'!$B:$M,11,FALSE)</f>
        <v>Infrastructure&amp;Network</v>
      </c>
      <c r="K146" s="125" t="str">
        <f>VLOOKUP($B146,'Product-Requirement'!$B:$M,12,FALSE)</f>
        <v>Medical facilities(e.g.: Healthcare Delivery Organization/Hospital, Operator)</v>
      </c>
      <c r="L146" s="125" t="s">
        <v>5965</v>
      </c>
      <c r="M146" s="185"/>
      <c r="N146" s="185"/>
      <c r="O146" s="185"/>
      <c r="P146" s="185"/>
      <c r="Q146" s="185" t="s">
        <v>6699</v>
      </c>
      <c r="R146" s="185"/>
      <c r="S146" s="185"/>
      <c r="T146" s="185"/>
      <c r="U146" s="187" t="s">
        <v>378</v>
      </c>
      <c r="V146" s="187" t="s">
        <v>378</v>
      </c>
      <c r="W146" s="187" t="s">
        <v>378</v>
      </c>
      <c r="X146" s="187" t="s">
        <v>378</v>
      </c>
      <c r="Y146" s="187" t="s">
        <v>378</v>
      </c>
      <c r="Z146" s="187" t="s">
        <v>378</v>
      </c>
      <c r="AA146" s="187" t="s">
        <v>378</v>
      </c>
      <c r="AB146" s="187" t="s">
        <v>378</v>
      </c>
      <c r="AC146" s="187" t="s">
        <v>378</v>
      </c>
      <c r="AD146" s="187" t="s">
        <v>378</v>
      </c>
    </row>
    <row r="147" spans="1:30" s="167" customFormat="1" ht="293.25">
      <c r="A147" s="181">
        <v>147</v>
      </c>
      <c r="B147" s="169" t="s">
        <v>974</v>
      </c>
      <c r="C147" s="166" t="s">
        <v>6700</v>
      </c>
      <c r="D147" s="165" t="s">
        <v>6701</v>
      </c>
      <c r="E147" s="84" t="s">
        <v>6702</v>
      </c>
      <c r="F147" s="171"/>
      <c r="G147" s="125" t="str">
        <f>VLOOKUP($B147,'Product-Requirement'!$B:$M,8,FALSE)</f>
        <v>PROTECT</v>
      </c>
      <c r="H147" s="125" t="str">
        <f>VLOOKUP($B147,'Product-Requirement'!$B:$M,9,FALSE)</f>
        <v>Protective_Technology</v>
      </c>
      <c r="I147" s="125" t="str">
        <f>VLOOKUP($B147,'Product-Requirement'!$B:$M,10,FALSE)</f>
        <v>PR.PT-4: Communications and control networks are protected</v>
      </c>
      <c r="J147" s="125" t="str">
        <f>VLOOKUP($B147,'Product-Requirement'!$B:$M,11,FALSE)</f>
        <v>Infrastructure&amp;Network</v>
      </c>
      <c r="K147" s="125" t="str">
        <f>VLOOKUP($B147,'Product-Requirement'!$B:$M,12,FALSE)</f>
        <v>Manufacturer</v>
      </c>
      <c r="L147" s="125" t="s">
        <v>5965</v>
      </c>
      <c r="M147" s="185"/>
      <c r="N147" s="185"/>
      <c r="O147" s="185" t="s">
        <v>6703</v>
      </c>
      <c r="P147" s="185" t="s">
        <v>6704</v>
      </c>
      <c r="Q147" s="185"/>
      <c r="R147" s="185"/>
      <c r="S147" s="185" t="s">
        <v>6110</v>
      </c>
      <c r="T147" s="185" t="s">
        <v>6705</v>
      </c>
      <c r="U147" s="187" t="s">
        <v>378</v>
      </c>
      <c r="V147" s="187" t="s">
        <v>378</v>
      </c>
      <c r="W147" s="187" t="s">
        <v>378</v>
      </c>
      <c r="X147" s="187" t="s">
        <v>378</v>
      </c>
      <c r="Y147" s="187" t="s">
        <v>378</v>
      </c>
      <c r="Z147" s="187" t="s">
        <v>378</v>
      </c>
      <c r="AA147" s="187" t="s">
        <v>378</v>
      </c>
      <c r="AB147" s="187" t="s">
        <v>378</v>
      </c>
      <c r="AC147" s="187" t="s">
        <v>378</v>
      </c>
      <c r="AD147" s="187" t="s">
        <v>378</v>
      </c>
    </row>
    <row r="148" spans="1:30" s="167" customFormat="1" ht="76.5">
      <c r="A148" s="182">
        <v>148</v>
      </c>
      <c r="B148" s="169" t="s">
        <v>1603</v>
      </c>
      <c r="C148" s="166" t="s">
        <v>6706</v>
      </c>
      <c r="D148" s="165" t="s">
        <v>6707</v>
      </c>
      <c r="E148" s="165"/>
      <c r="F148" s="113"/>
      <c r="G148" s="125" t="str">
        <f>VLOOKUP($B148,'Product-Requirement'!$B:$M,8,FALSE)</f>
        <v>PROTECT</v>
      </c>
      <c r="H148" s="125" t="str">
        <f>VLOOKUP($B148,'Product-Requirement'!$B:$M,9,FALSE)</f>
        <v>Protective_Technology</v>
      </c>
      <c r="I148" s="125" t="str">
        <f>VLOOKUP($B148,'Product-Requirement'!$B:$M,10,FALSE)</f>
        <v>PR.PT-4: Communications and control networks are protected</v>
      </c>
      <c r="J148" s="125" t="str">
        <f>VLOOKUP($B148,'Product-Requirement'!$B:$M,11,FALSE)</f>
        <v>System_Design</v>
      </c>
      <c r="K148" s="125" t="str">
        <f>VLOOKUP($B148,'Product-Requirement'!$B:$M,12,FALSE)</f>
        <v>Manufacturer</v>
      </c>
      <c r="L148" s="125" t="s">
        <v>5965</v>
      </c>
      <c r="M148" s="185"/>
      <c r="N148" s="185"/>
      <c r="O148" s="185" t="s">
        <v>6708</v>
      </c>
      <c r="P148" s="185" t="s">
        <v>6709</v>
      </c>
      <c r="Q148" s="185"/>
      <c r="R148" s="185"/>
      <c r="S148" s="185"/>
      <c r="T148" s="185" t="s">
        <v>6710</v>
      </c>
      <c r="U148" s="187" t="s">
        <v>378</v>
      </c>
      <c r="V148" s="187" t="s">
        <v>378</v>
      </c>
      <c r="W148" s="187" t="s">
        <v>378</v>
      </c>
      <c r="X148" s="187" t="s">
        <v>378</v>
      </c>
      <c r="Y148" s="187" t="s">
        <v>378</v>
      </c>
      <c r="Z148" s="187" t="s">
        <v>378</v>
      </c>
      <c r="AA148" s="187" t="s">
        <v>378</v>
      </c>
      <c r="AB148" s="187" t="s">
        <v>378</v>
      </c>
      <c r="AC148" s="187" t="s">
        <v>378</v>
      </c>
      <c r="AD148" s="187" t="s">
        <v>378</v>
      </c>
    </row>
    <row r="149" spans="1:30" s="167" customFormat="1" ht="51">
      <c r="A149" s="181">
        <v>149</v>
      </c>
      <c r="B149" s="169" t="s">
        <v>1608</v>
      </c>
      <c r="C149" s="166" t="s">
        <v>6711</v>
      </c>
      <c r="D149" s="165" t="s">
        <v>6712</v>
      </c>
      <c r="E149" s="165"/>
      <c r="F149" s="107"/>
      <c r="G149" s="125" t="str">
        <f>VLOOKUP($B149,'Product-Requirement'!$B:$M,8,FALSE)</f>
        <v>PROTECT</v>
      </c>
      <c r="H149" s="125" t="str">
        <f>VLOOKUP($B149,'Product-Requirement'!$B:$M,9,FALSE)</f>
        <v>Protective_Technology</v>
      </c>
      <c r="I149" s="125" t="str">
        <f>VLOOKUP($B149,'Product-Requirement'!$B:$M,10,FALSE)</f>
        <v>PR.PT-4: Communications and control networks are protected</v>
      </c>
      <c r="J149" s="125" t="str">
        <f>VLOOKUP($B149,'Product-Requirement'!$B:$M,11,FALSE)</f>
        <v>System_Design</v>
      </c>
      <c r="K149" s="125" t="str">
        <f>VLOOKUP($B149,'Product-Requirement'!$B:$M,12,FALSE)</f>
        <v>Manufacturer</v>
      </c>
      <c r="L149" s="125" t="s">
        <v>5965</v>
      </c>
      <c r="M149" s="185"/>
      <c r="N149" s="185"/>
      <c r="O149" s="185"/>
      <c r="P149" s="185" t="s">
        <v>6709</v>
      </c>
      <c r="Q149" s="185"/>
      <c r="R149" s="185"/>
      <c r="S149" s="185" t="s">
        <v>6355</v>
      </c>
      <c r="T149" s="185" t="s">
        <v>6713</v>
      </c>
      <c r="U149" s="187" t="s">
        <v>378</v>
      </c>
      <c r="V149" s="187" t="s">
        <v>378</v>
      </c>
      <c r="W149" s="187" t="s">
        <v>378</v>
      </c>
      <c r="X149" s="188" t="s">
        <v>379</v>
      </c>
      <c r="Y149" s="188" t="s">
        <v>379</v>
      </c>
      <c r="Z149" s="188" t="s">
        <v>379</v>
      </c>
      <c r="AA149" s="188" t="s">
        <v>379</v>
      </c>
      <c r="AB149" s="187" t="s">
        <v>378</v>
      </c>
      <c r="AC149" s="187" t="s">
        <v>378</v>
      </c>
      <c r="AD149" s="188" t="s">
        <v>379</v>
      </c>
    </row>
    <row r="150" spans="1:30" s="167" customFormat="1" ht="63.75">
      <c r="A150" s="182">
        <v>150</v>
      </c>
      <c r="B150" s="169" t="s">
        <v>1763</v>
      </c>
      <c r="C150" s="166" t="s">
        <v>6714</v>
      </c>
      <c r="D150" s="165" t="s">
        <v>6715</v>
      </c>
      <c r="E150" s="165"/>
      <c r="F150" s="84" t="s">
        <v>6716</v>
      </c>
      <c r="G150" s="125" t="str">
        <f>VLOOKUP($B150,'Product-Requirement'!$B:$M,8,FALSE)</f>
        <v>PROTECT</v>
      </c>
      <c r="H150" s="125" t="str">
        <f>VLOOKUP($B150,'Product-Requirement'!$B:$M,9,FALSE)</f>
        <v>Protective_Technology</v>
      </c>
      <c r="I150" s="125" t="str">
        <f>VLOOKUP($B150,'Product-Requirement'!$B:$M,10,FALSE)</f>
        <v>PR.PT-4: Communications and control networks are protected</v>
      </c>
      <c r="J150" s="125" t="str">
        <f>VLOOKUP($B150,'Product-Requirement'!$B:$M,11,FALSE)</f>
        <v>System_Design</v>
      </c>
      <c r="K150" s="125" t="str">
        <f>VLOOKUP($B150,'Product-Requirement'!$B:$M,12,FALSE)</f>
        <v>Manufacturer</v>
      </c>
      <c r="L150" s="125" t="s">
        <v>6100</v>
      </c>
      <c r="M150" s="185"/>
      <c r="N150" s="185"/>
      <c r="O150" s="185"/>
      <c r="P150" s="185" t="s">
        <v>6717</v>
      </c>
      <c r="Q150" s="185"/>
      <c r="R150" s="185"/>
      <c r="S150" s="185"/>
      <c r="T150" s="185"/>
      <c r="U150" s="187" t="s">
        <v>378</v>
      </c>
      <c r="V150" s="187" t="s">
        <v>378</v>
      </c>
      <c r="W150" s="187" t="s">
        <v>378</v>
      </c>
      <c r="X150" s="188" t="s">
        <v>379</v>
      </c>
      <c r="Y150" s="188" t="s">
        <v>379</v>
      </c>
      <c r="Z150" s="188" t="s">
        <v>379</v>
      </c>
      <c r="AA150" s="188" t="s">
        <v>379</v>
      </c>
      <c r="AB150" s="188" t="s">
        <v>379</v>
      </c>
      <c r="AC150" s="188" t="s">
        <v>379</v>
      </c>
      <c r="AD150" s="188" t="s">
        <v>379</v>
      </c>
    </row>
    <row r="151" spans="1:30" s="167" customFormat="1" ht="63.75">
      <c r="A151" s="181">
        <v>151</v>
      </c>
      <c r="B151" s="169" t="s">
        <v>1796</v>
      </c>
      <c r="C151" s="166" t="s">
        <v>6718</v>
      </c>
      <c r="D151" s="165" t="s">
        <v>6719</v>
      </c>
      <c r="E151" s="165"/>
      <c r="F151" s="84" t="s">
        <v>6720</v>
      </c>
      <c r="G151" s="125" t="str">
        <f>VLOOKUP($B151,'Product-Requirement'!$B:$M,8,FALSE)</f>
        <v>PROTECT</v>
      </c>
      <c r="H151" s="125" t="str">
        <f>VLOOKUP($B151,'Product-Requirement'!$B:$M,9,FALSE)</f>
        <v>Protective_Technology</v>
      </c>
      <c r="I151" s="125" t="str">
        <f>VLOOKUP($B151,'Product-Requirement'!$B:$M,10,FALSE)</f>
        <v>PR.PT-4: Communications and control networks are protected</v>
      </c>
      <c r="J151" s="125" t="str">
        <f>VLOOKUP($B151,'Product-Requirement'!$B:$M,11,FALSE)</f>
        <v>System_Design</v>
      </c>
      <c r="K151" s="125" t="str">
        <f>VLOOKUP($B151,'Product-Requirement'!$B:$M,12,FALSE)</f>
        <v>Manufacturer</v>
      </c>
      <c r="L151" s="125" t="s">
        <v>6100</v>
      </c>
      <c r="M151" s="185"/>
      <c r="N151" s="185"/>
      <c r="O151" s="185"/>
      <c r="P151" s="185" t="s">
        <v>6721</v>
      </c>
      <c r="Q151" s="185"/>
      <c r="R151" s="185"/>
      <c r="S151" s="185"/>
      <c r="T151" s="185"/>
      <c r="U151" s="187" t="s">
        <v>378</v>
      </c>
      <c r="V151" s="187" t="s">
        <v>378</v>
      </c>
      <c r="W151" s="187" t="s">
        <v>378</v>
      </c>
      <c r="X151" s="188" t="s">
        <v>379</v>
      </c>
      <c r="Y151" s="188" t="s">
        <v>379</v>
      </c>
      <c r="Z151" s="188" t="s">
        <v>379</v>
      </c>
      <c r="AA151" s="188" t="s">
        <v>379</v>
      </c>
      <c r="AB151" s="188" t="s">
        <v>379</v>
      </c>
      <c r="AC151" s="188" t="s">
        <v>379</v>
      </c>
      <c r="AD151" s="188" t="s">
        <v>379</v>
      </c>
    </row>
    <row r="152" spans="1:30" s="167" customFormat="1" ht="102">
      <c r="A152" s="182">
        <v>152</v>
      </c>
      <c r="B152" s="169" t="s">
        <v>5225</v>
      </c>
      <c r="C152" s="166" t="s">
        <v>6722</v>
      </c>
      <c r="D152" s="165" t="s">
        <v>6723</v>
      </c>
      <c r="E152" s="165"/>
      <c r="F152" s="113" t="s">
        <v>6724</v>
      </c>
      <c r="G152" s="125" t="str">
        <f>VLOOKUP($B152,'Product-Requirement'!$B:$M,8,FALSE)</f>
        <v>PROTECT</v>
      </c>
      <c r="H152" s="125" t="str">
        <f>VLOOKUP($B152,'Product-Requirement'!$B:$M,9,FALSE)</f>
        <v>Protective_Technology</v>
      </c>
      <c r="I152" s="125" t="str">
        <f>VLOOKUP($B152,'Product-Requirement'!$B:$M,10,FALSE)</f>
        <v>PR.PT-5: Mechanisms (e.g., failsafe, load balancing, hot swap) are implemented to achieve resilience requirements in normal and adverse situations</v>
      </c>
      <c r="J152" s="125" t="str">
        <f>VLOOKUP($B152,'Product-Requirement'!$B:$M,11,FALSE)</f>
        <v>System_Design</v>
      </c>
      <c r="K152" s="125" t="str">
        <f>VLOOKUP($B152,'Product-Requirement'!$B:$M,12,FALSE)</f>
        <v>Manufacturer</v>
      </c>
      <c r="L152" s="125" t="s">
        <v>5965</v>
      </c>
      <c r="M152" s="185"/>
      <c r="N152" s="185"/>
      <c r="O152" s="185"/>
      <c r="P152" s="185" t="s">
        <v>6725</v>
      </c>
      <c r="Q152" s="185"/>
      <c r="R152" s="185"/>
      <c r="S152" s="185"/>
      <c r="T152" s="185"/>
      <c r="U152" s="188" t="s">
        <v>379</v>
      </c>
      <c r="V152" s="188" t="s">
        <v>379</v>
      </c>
      <c r="W152" s="188" t="s">
        <v>379</v>
      </c>
      <c r="X152" s="188" t="s">
        <v>379</v>
      </c>
      <c r="Y152" s="188" t="s">
        <v>379</v>
      </c>
      <c r="Z152" s="188" t="s">
        <v>379</v>
      </c>
      <c r="AA152" s="188" t="s">
        <v>379</v>
      </c>
      <c r="AB152" s="188" t="s">
        <v>379</v>
      </c>
      <c r="AC152" s="188" t="s">
        <v>379</v>
      </c>
      <c r="AD152" s="188" t="s">
        <v>379</v>
      </c>
    </row>
    <row r="153" spans="1:30" s="167" customFormat="1" ht="204">
      <c r="A153" s="181">
        <v>153</v>
      </c>
      <c r="B153" s="169" t="s">
        <v>952</v>
      </c>
      <c r="C153" s="166" t="s">
        <v>6726</v>
      </c>
      <c r="D153" s="165" t="s">
        <v>6727</v>
      </c>
      <c r="E153" s="165"/>
      <c r="F153" s="107"/>
      <c r="G153" s="125" t="str">
        <f>VLOOKUP($B153,'Product-Requirement'!$B:$M,8,FALSE)</f>
        <v>PROTECT</v>
      </c>
      <c r="H153" s="125" t="str">
        <f>VLOOKUP($B153,'Product-Requirement'!$B:$M,9,FALSE)</f>
        <v>Protective_Technology</v>
      </c>
      <c r="I153" s="125" t="str">
        <f>VLOOKUP($B153,'Product-Requirement'!$B:$M,10,FALSE)</f>
        <v>PR.PT-5: Mechanisms (e.g., failsafe, load balancing, hot swap) are implemented to achieve resilience requirements in normal and adverse situations</v>
      </c>
      <c r="J153" s="125" t="str">
        <f>VLOOKUP($B153,'Product-Requirement'!$B:$M,11,FALSE)</f>
        <v>Infrastructure&amp;Network</v>
      </c>
      <c r="K153" s="125" t="str">
        <f>VLOOKUP($B153,'Product-Requirement'!$B:$M,12,FALSE)</f>
        <v>Medical facilities(e.g.: Healthcare Delivery Organization/Hospital, Operator)</v>
      </c>
      <c r="L153" s="125" t="s">
        <v>6100</v>
      </c>
      <c r="M153" s="185"/>
      <c r="N153" s="185"/>
      <c r="O153" s="185" t="s">
        <v>6728</v>
      </c>
      <c r="P153" s="185" t="s">
        <v>6729</v>
      </c>
      <c r="Q153" s="185"/>
      <c r="R153" s="185"/>
      <c r="S153" s="185"/>
      <c r="T153" s="185"/>
      <c r="U153" s="187" t="s">
        <v>378</v>
      </c>
      <c r="V153" s="187" t="s">
        <v>378</v>
      </c>
      <c r="W153" s="187" t="s">
        <v>378</v>
      </c>
      <c r="X153" s="187" t="s">
        <v>378</v>
      </c>
      <c r="Y153" s="187" t="s">
        <v>378</v>
      </c>
      <c r="Z153" s="187" t="s">
        <v>378</v>
      </c>
      <c r="AA153" s="187" t="s">
        <v>378</v>
      </c>
      <c r="AB153" s="187" t="s">
        <v>378</v>
      </c>
      <c r="AC153" s="187" t="s">
        <v>378</v>
      </c>
      <c r="AD153" s="187" t="s">
        <v>378</v>
      </c>
    </row>
    <row r="154" spans="1:30" s="167" customFormat="1" ht="76.5">
      <c r="A154" s="182">
        <v>154</v>
      </c>
      <c r="B154" s="169" t="s">
        <v>560</v>
      </c>
      <c r="C154" s="166" t="s">
        <v>6730</v>
      </c>
      <c r="D154" s="165" t="s">
        <v>6731</v>
      </c>
      <c r="E154" s="165"/>
      <c r="F154" s="107"/>
      <c r="G154" s="125" t="str">
        <f>VLOOKUP($B154,'Product-Requirement'!$B:$M,8,FALSE)</f>
        <v>PROTECT</v>
      </c>
      <c r="H154" s="125" t="str">
        <f>VLOOKUP($B154,'Product-Requirement'!$B:$M,9,FALSE)</f>
        <v>Protective_Technology</v>
      </c>
      <c r="I154" s="125" t="str">
        <f>VLOOKUP($B154,'Product-Requirement'!$B:$M,10,FALSE)</f>
        <v>PR.PT-5: Mechanisms (e.g., failsafe, load balancing, hot swap) are implemented to achieve resilience requirements in normal and adverse situations</v>
      </c>
      <c r="J154" s="125" t="str">
        <f>VLOOKUP($B154,'Product-Requirement'!$B:$M,11,FALSE)</f>
        <v>System_Design</v>
      </c>
      <c r="K154" s="125" t="str">
        <f>VLOOKUP($B154,'Product-Requirement'!$B:$M,12,FALSE)</f>
        <v>Manufacturer</v>
      </c>
      <c r="L154" s="125" t="s">
        <v>5965</v>
      </c>
      <c r="M154" s="185"/>
      <c r="N154" s="185" t="s">
        <v>6732</v>
      </c>
      <c r="O154" s="185"/>
      <c r="P154" s="185" t="s">
        <v>6733</v>
      </c>
      <c r="Q154" s="185"/>
      <c r="R154" s="185"/>
      <c r="S154" s="185"/>
      <c r="T154" s="185" t="s">
        <v>6044</v>
      </c>
      <c r="U154" s="187" t="s">
        <v>378</v>
      </c>
      <c r="V154" s="187" t="s">
        <v>378</v>
      </c>
      <c r="W154" s="187" t="s">
        <v>378</v>
      </c>
      <c r="X154" s="188" t="s">
        <v>379</v>
      </c>
      <c r="Y154" s="188" t="s">
        <v>379</v>
      </c>
      <c r="Z154" s="188" t="s">
        <v>379</v>
      </c>
      <c r="AA154" s="188" t="s">
        <v>379</v>
      </c>
      <c r="AB154" s="187" t="s">
        <v>378</v>
      </c>
      <c r="AC154" s="187" t="s">
        <v>378</v>
      </c>
      <c r="AD154" s="188" t="s">
        <v>379</v>
      </c>
    </row>
    <row r="155" spans="1:30" s="167" customFormat="1" ht="102">
      <c r="A155" s="181">
        <v>155</v>
      </c>
      <c r="B155" s="169" t="s">
        <v>1986</v>
      </c>
      <c r="C155" s="166" t="s">
        <v>6734</v>
      </c>
      <c r="D155" s="165" t="s">
        <v>6735</v>
      </c>
      <c r="E155" s="165"/>
      <c r="F155" s="107" t="s">
        <v>3577</v>
      </c>
      <c r="G155" s="125" t="str">
        <f>VLOOKUP($B155,'Product-Requirement'!$B:$M,8,FALSE)</f>
        <v>PROTECT</v>
      </c>
      <c r="H155" s="125" t="str">
        <f>VLOOKUP($B155,'Product-Requirement'!$B:$M,9,FALSE)</f>
        <v>Protective_Technology</v>
      </c>
      <c r="I155" s="125" t="str">
        <f>VLOOKUP($B155,'Product-Requirement'!$B:$M,10,FALSE)</f>
        <v>PR.PT-5: Mechanisms (e.g., failsafe, load balancing, hot swap) are implemented to achieve resilience requirements in normal and adverse situations</v>
      </c>
      <c r="J155" s="125" t="str">
        <f>VLOOKUP($B155,'Product-Requirement'!$B:$M,11,FALSE)</f>
        <v>System_Design</v>
      </c>
      <c r="K155" s="125" t="str">
        <f>VLOOKUP($B155,'Product-Requirement'!$B:$M,12,FALSE)</f>
        <v>Manufacturer</v>
      </c>
      <c r="L155" s="125" t="s">
        <v>5965</v>
      </c>
      <c r="M155" s="185"/>
      <c r="N155" s="185"/>
      <c r="O155" s="185"/>
      <c r="P155" s="185" t="s">
        <v>6736</v>
      </c>
      <c r="Q155" s="185"/>
      <c r="R155" s="185" t="s">
        <v>6085</v>
      </c>
      <c r="S155" s="185"/>
      <c r="T155" s="185"/>
      <c r="U155" s="187" t="s">
        <v>378</v>
      </c>
      <c r="V155" s="187" t="s">
        <v>378</v>
      </c>
      <c r="W155" s="187" t="s">
        <v>378</v>
      </c>
      <c r="X155" s="188" t="s">
        <v>379</v>
      </c>
      <c r="Y155" s="188" t="s">
        <v>379</v>
      </c>
      <c r="Z155" s="188" t="s">
        <v>379</v>
      </c>
      <c r="AA155" s="188" t="s">
        <v>379</v>
      </c>
      <c r="AB155" s="188" t="s">
        <v>379</v>
      </c>
      <c r="AC155" s="188" t="s">
        <v>379</v>
      </c>
      <c r="AD155" s="188" t="s">
        <v>379</v>
      </c>
    </row>
    <row r="156" spans="1:30" s="167" customFormat="1" ht="38.25">
      <c r="A156" s="182">
        <v>156</v>
      </c>
      <c r="B156" s="169" t="s">
        <v>2003</v>
      </c>
      <c r="C156" s="166" t="s">
        <v>6737</v>
      </c>
      <c r="D156" s="165" t="s">
        <v>6738</v>
      </c>
      <c r="E156" s="165"/>
      <c r="F156" s="116"/>
      <c r="G156" s="125" t="str">
        <f>VLOOKUP($B156,'Product-Requirement'!$B:$M,8,FALSE)</f>
        <v>PROTECT</v>
      </c>
      <c r="H156" s="125" t="str">
        <f>VLOOKUP($B156,'Product-Requirement'!$B:$M,9,FALSE)</f>
        <v>Information_Protection_Processes_and_Procedures</v>
      </c>
      <c r="I156" s="125" t="s">
        <v>761</v>
      </c>
      <c r="J156" s="125" t="str">
        <f>VLOOKUP($B156,'Product-Requirement'!$B:$M,11,FALSE)</f>
        <v>System_Design</v>
      </c>
      <c r="K156" s="125" t="str">
        <f>VLOOKUP($B156,'Product-Requirement'!$B:$M,12,FALSE)</f>
        <v>Manufacturer</v>
      </c>
      <c r="L156" s="125" t="s">
        <v>5965</v>
      </c>
      <c r="M156" s="185"/>
      <c r="N156" s="185"/>
      <c r="O156" s="185"/>
      <c r="P156" s="185" t="s">
        <v>6739</v>
      </c>
      <c r="Q156" s="185"/>
      <c r="R156" s="185" t="s">
        <v>6740</v>
      </c>
      <c r="S156" s="185"/>
      <c r="T156" s="185"/>
      <c r="U156" s="187" t="s">
        <v>378</v>
      </c>
      <c r="V156" s="187" t="s">
        <v>378</v>
      </c>
      <c r="W156" s="187" t="s">
        <v>378</v>
      </c>
      <c r="X156" s="188" t="s">
        <v>379</v>
      </c>
      <c r="Y156" s="188" t="s">
        <v>379</v>
      </c>
      <c r="Z156" s="188" t="s">
        <v>379</v>
      </c>
      <c r="AA156" s="188" t="s">
        <v>379</v>
      </c>
      <c r="AB156" s="188" t="s">
        <v>379</v>
      </c>
      <c r="AC156" s="188" t="s">
        <v>379</v>
      </c>
      <c r="AD156" s="188" t="s">
        <v>379</v>
      </c>
    </row>
    <row r="157" spans="1:30" s="167" customFormat="1" ht="140.25">
      <c r="A157" s="181">
        <v>157</v>
      </c>
      <c r="B157" s="169" t="s">
        <v>1058</v>
      </c>
      <c r="C157" s="166" t="s">
        <v>6741</v>
      </c>
      <c r="D157" s="165" t="s">
        <v>6742</v>
      </c>
      <c r="E157" s="165"/>
      <c r="F157" s="171" t="s">
        <v>6743</v>
      </c>
      <c r="G157" s="125" t="str">
        <f>VLOOKUP($B157,'Product-Requirement'!$B:$M,8,FALSE)</f>
        <v>IDENTIFY</v>
      </c>
      <c r="H157" s="125" t="str">
        <f>VLOOKUP($B157,'Product-Requirement'!$B:$M,9,FALSE)</f>
        <v>Asset_Management</v>
      </c>
      <c r="I157" s="125" t="str">
        <f>VLOOKUP($B157,'Product-Requirement'!$B:$M,10,FALSE)</f>
        <v>ID.AM-2: Software platforms and applications within the organization are inventoried</v>
      </c>
      <c r="J157" s="125" t="str">
        <f>VLOOKUP($B157,'Product-Requirement'!$B:$M,11,FALSE)</f>
        <v>System_Design</v>
      </c>
      <c r="K157" s="125" t="str">
        <f>VLOOKUP($B157,'Product-Requirement'!$B:$M,12,FALSE)</f>
        <v>Manufacturer</v>
      </c>
      <c r="L157" s="125" t="s">
        <v>6100</v>
      </c>
      <c r="M157" s="185"/>
      <c r="N157" s="185"/>
      <c r="O157" s="185" t="s">
        <v>6744</v>
      </c>
      <c r="P157" s="185" t="s">
        <v>6745</v>
      </c>
      <c r="Q157" s="185"/>
      <c r="R157" s="185"/>
      <c r="S157" s="185"/>
      <c r="T157" s="185" t="s">
        <v>6746</v>
      </c>
      <c r="U157" s="187" t="s">
        <v>378</v>
      </c>
      <c r="V157" s="187" t="s">
        <v>378</v>
      </c>
      <c r="W157" s="187" t="s">
        <v>378</v>
      </c>
      <c r="X157" s="187" t="s">
        <v>378</v>
      </c>
      <c r="Y157" s="187" t="s">
        <v>378</v>
      </c>
      <c r="Z157" s="187" t="s">
        <v>378</v>
      </c>
      <c r="AA157" s="187" t="s">
        <v>378</v>
      </c>
      <c r="AB157" s="187" t="s">
        <v>378</v>
      </c>
      <c r="AC157" s="187" t="s">
        <v>378</v>
      </c>
      <c r="AD157" s="187" t="s">
        <v>378</v>
      </c>
    </row>
    <row r="158" spans="1:30" s="167" customFormat="1" ht="63.75">
      <c r="A158" s="182">
        <v>158</v>
      </c>
      <c r="B158" s="169" t="s">
        <v>1891</v>
      </c>
      <c r="C158" s="166" t="s">
        <v>6747</v>
      </c>
      <c r="D158" s="165" t="s">
        <v>6748</v>
      </c>
      <c r="E158" s="165"/>
      <c r="F158" s="171"/>
      <c r="G158" s="125" t="str">
        <f>VLOOKUP($B158,'Product-Requirement'!$B:$M,8,FALSE)</f>
        <v>DETECT</v>
      </c>
      <c r="H158" s="125" t="str">
        <f>VLOOKUP($B158,'Product-Requirement'!$B:$M,9,FALSE)</f>
        <v>Anomalies_and_Events</v>
      </c>
      <c r="I158" s="125" t="str">
        <f>VLOOKUP($B158,'Product-Requirement'!$B:$M,10,FALSE)</f>
        <v>DE.AE-3: Event data are collected and correlated from multiple sources and sensors</v>
      </c>
      <c r="J158" s="125" t="str">
        <f>VLOOKUP($B158,'Product-Requirement'!$B:$M,11,FALSE)</f>
        <v>Infrastructure&amp;Network</v>
      </c>
      <c r="K158" s="125" t="str">
        <f>VLOOKUP($B158,'Product-Requirement'!$B:$M,12,FALSE)</f>
        <v>Medical facilities(e.g.: Healthcare Delivery Organization/Hospital, Operator)</v>
      </c>
      <c r="L158" s="125" t="s">
        <v>6100</v>
      </c>
      <c r="M158" s="185"/>
      <c r="N158" s="185"/>
      <c r="O158" s="185" t="s">
        <v>6749</v>
      </c>
      <c r="P158" s="185" t="s">
        <v>6750</v>
      </c>
      <c r="Q158" s="185"/>
      <c r="R158" s="185"/>
      <c r="S158" s="185"/>
      <c r="T158" s="185" t="s">
        <v>6642</v>
      </c>
      <c r="U158" s="187" t="s">
        <v>378</v>
      </c>
      <c r="V158" s="187" t="s">
        <v>378</v>
      </c>
      <c r="W158" s="187" t="s">
        <v>378</v>
      </c>
      <c r="X158" s="188" t="s">
        <v>379</v>
      </c>
      <c r="Y158" s="188" t="s">
        <v>379</v>
      </c>
      <c r="Z158" s="187" t="s">
        <v>378</v>
      </c>
      <c r="AA158" s="187" t="s">
        <v>378</v>
      </c>
      <c r="AB158" s="187" t="s">
        <v>378</v>
      </c>
      <c r="AC158" s="187" t="s">
        <v>378</v>
      </c>
      <c r="AD158" s="187" t="s">
        <v>378</v>
      </c>
    </row>
    <row r="159" spans="1:30" s="167" customFormat="1" ht="191.25">
      <c r="A159" s="181">
        <v>159</v>
      </c>
      <c r="B159" s="169" t="s">
        <v>1579</v>
      </c>
      <c r="C159" s="166" t="s">
        <v>6751</v>
      </c>
      <c r="D159" s="165" t="s">
        <v>6752</v>
      </c>
      <c r="E159" s="165" t="s">
        <v>6753</v>
      </c>
      <c r="F159" s="171"/>
      <c r="G159" s="125" t="str">
        <f>VLOOKUP($B159,'Product-Requirement'!$B:$M,8,FALSE)</f>
        <v>DETECT</v>
      </c>
      <c r="H159" s="125" t="str">
        <f>VLOOKUP($B159,'Product-Requirement'!$B:$M,9,FALSE)</f>
        <v>Security_Continuous_Monitoring</v>
      </c>
      <c r="I159" s="125" t="str">
        <f>VLOOKUP($B159,'Product-Requirement'!$B:$M,10,FALSE)</f>
        <v>DE.CM-1: The network is monitored to detect potential cybersecurity events</v>
      </c>
      <c r="J159" s="125" t="str">
        <f>VLOOKUP($B159,'Product-Requirement'!$B:$M,11,FALSE)</f>
        <v>Infrastructure&amp;Network</v>
      </c>
      <c r="K159" s="125" t="str">
        <f>VLOOKUP($B159,'Product-Requirement'!$B:$M,12,FALSE)</f>
        <v>Medical facilities(e.g.: Healthcare Delivery Organization/Hospital, Operator)</v>
      </c>
      <c r="L159" s="125" t="s">
        <v>5965</v>
      </c>
      <c r="M159" s="185"/>
      <c r="N159" s="185"/>
      <c r="O159" s="185" t="s">
        <v>6754</v>
      </c>
      <c r="P159" s="185" t="s">
        <v>6755</v>
      </c>
      <c r="Q159" s="185" t="s">
        <v>6756</v>
      </c>
      <c r="R159" s="185" t="s">
        <v>6390</v>
      </c>
      <c r="S159" s="185"/>
      <c r="T159" s="185" t="s">
        <v>6757</v>
      </c>
      <c r="U159" s="187" t="s">
        <v>378</v>
      </c>
      <c r="V159" s="187" t="s">
        <v>378</v>
      </c>
      <c r="W159" s="187" t="s">
        <v>378</v>
      </c>
      <c r="X159" s="187" t="s">
        <v>378</v>
      </c>
      <c r="Y159" s="187" t="s">
        <v>378</v>
      </c>
      <c r="Z159" s="187" t="s">
        <v>378</v>
      </c>
      <c r="AA159" s="187" t="s">
        <v>378</v>
      </c>
      <c r="AB159" s="187" t="s">
        <v>378</v>
      </c>
      <c r="AC159" s="187" t="s">
        <v>378</v>
      </c>
      <c r="AD159" s="187" t="s">
        <v>378</v>
      </c>
    </row>
    <row r="160" spans="1:30" s="167" customFormat="1" ht="140.25">
      <c r="A160" s="182">
        <v>160</v>
      </c>
      <c r="B160" s="169" t="s">
        <v>1437</v>
      </c>
      <c r="C160" s="166" t="s">
        <v>6758</v>
      </c>
      <c r="D160" s="165" t="s">
        <v>6759</v>
      </c>
      <c r="E160" s="165"/>
      <c r="F160" s="171" t="s">
        <v>6760</v>
      </c>
      <c r="G160" s="125" t="str">
        <f>VLOOKUP($B160,'Product-Requirement'!$B:$M,8,FALSE)</f>
        <v>DETECT</v>
      </c>
      <c r="H160" s="125" t="str">
        <f>VLOOKUP($B160,'Product-Requirement'!$B:$M,9,FALSE)</f>
        <v>Security_Continuous_Monitoring</v>
      </c>
      <c r="I160" s="125" t="str">
        <f>VLOOKUP($B160,'Product-Requirement'!$B:$M,10,FALSE)</f>
        <v>DE.CM-1: The network is monitored to detect potential cybersecurity events</v>
      </c>
      <c r="J160" s="125" t="str">
        <f>VLOOKUP($B160,'Product-Requirement'!$B:$M,11,FALSE)</f>
        <v>Infrastructure&amp;Network</v>
      </c>
      <c r="K160" s="125" t="str">
        <f>VLOOKUP($B160,'Product-Requirement'!$B:$M,12,FALSE)</f>
        <v>Medical facilities(e.g.: Healthcare Delivery Organization/Hospital, Operator)</v>
      </c>
      <c r="L160" s="125" t="s">
        <v>5965</v>
      </c>
      <c r="M160" s="185"/>
      <c r="N160" s="185"/>
      <c r="O160" s="185" t="s">
        <v>6761</v>
      </c>
      <c r="P160" s="185" t="s">
        <v>6762</v>
      </c>
      <c r="Q160" s="185"/>
      <c r="R160" s="185"/>
      <c r="S160" s="185"/>
      <c r="T160" s="185"/>
      <c r="U160" s="187" t="s">
        <v>378</v>
      </c>
      <c r="V160" s="187" t="s">
        <v>378</v>
      </c>
      <c r="W160" s="187" t="s">
        <v>378</v>
      </c>
      <c r="X160" s="187" t="s">
        <v>378</v>
      </c>
      <c r="Y160" s="187" t="s">
        <v>378</v>
      </c>
      <c r="Z160" s="187" t="s">
        <v>378</v>
      </c>
      <c r="AA160" s="187" t="s">
        <v>378</v>
      </c>
      <c r="AB160" s="187" t="s">
        <v>378</v>
      </c>
      <c r="AC160" s="187" t="s">
        <v>378</v>
      </c>
      <c r="AD160" s="187" t="s">
        <v>378</v>
      </c>
    </row>
    <row r="161" spans="1:100" s="167" customFormat="1" ht="165.75">
      <c r="A161" s="181">
        <v>161</v>
      </c>
      <c r="B161" s="169" t="s">
        <v>4573</v>
      </c>
      <c r="C161" s="166" t="s">
        <v>6763</v>
      </c>
      <c r="D161" s="165" t="s">
        <v>6764</v>
      </c>
      <c r="E161" s="165"/>
      <c r="F161" s="171" t="s">
        <v>6765</v>
      </c>
      <c r="G161" s="125" t="str">
        <f>VLOOKUP($B161,'Product-Requirement'!$B:$M,8,FALSE)</f>
        <v>DETECT</v>
      </c>
      <c r="H161" s="125" t="str">
        <f>VLOOKUP($B161,'Product-Requirement'!$B:$M,9,FALSE)</f>
        <v>Security_Continuous_Monitoring</v>
      </c>
      <c r="I161" s="125" t="str">
        <f>VLOOKUP($B161,'Product-Requirement'!$B:$M,10,FALSE)</f>
        <v>DE.CM-4: Malicious code is detected</v>
      </c>
      <c r="J161" s="125" t="str">
        <f>VLOOKUP($B161,'Product-Requirement'!$B:$M,11,FALSE)</f>
        <v>Wireless</v>
      </c>
      <c r="K161" s="125" t="str">
        <f>VLOOKUP($B161,'Product-Requirement'!$B:$M,12,FALSE)</f>
        <v>Manufacturer</v>
      </c>
      <c r="L161" s="125" t="s">
        <v>6100</v>
      </c>
      <c r="M161" s="185"/>
      <c r="N161" s="185"/>
      <c r="O161" s="185"/>
      <c r="P161" s="185" t="s">
        <v>6198</v>
      </c>
      <c r="Q161" s="185"/>
      <c r="R161" s="185"/>
      <c r="S161" s="185"/>
      <c r="T161" s="185"/>
      <c r="U161" s="188" t="s">
        <v>379</v>
      </c>
      <c r="V161" s="188" t="s">
        <v>379</v>
      </c>
      <c r="W161" s="188" t="s">
        <v>379</v>
      </c>
      <c r="X161" s="188" t="s">
        <v>379</v>
      </c>
      <c r="Y161" s="188" t="s">
        <v>379</v>
      </c>
      <c r="Z161" s="188" t="s">
        <v>379</v>
      </c>
      <c r="AA161" s="188" t="s">
        <v>379</v>
      </c>
      <c r="AB161" s="188" t="s">
        <v>379</v>
      </c>
      <c r="AC161" s="188" t="s">
        <v>379</v>
      </c>
      <c r="AD161" s="188" t="s">
        <v>379</v>
      </c>
    </row>
    <row r="162" spans="1:100" s="167" customFormat="1" ht="191.25">
      <c r="A162" s="182">
        <v>162</v>
      </c>
      <c r="B162" s="169" t="s">
        <v>1826</v>
      </c>
      <c r="C162" s="166" t="s">
        <v>6766</v>
      </c>
      <c r="D162" s="165" t="s">
        <v>6767</v>
      </c>
      <c r="E162" s="165"/>
      <c r="F162" s="171" t="s">
        <v>6768</v>
      </c>
      <c r="G162" s="125" t="str">
        <f>VLOOKUP($B162,'Product-Requirement'!$B:$M,8,FALSE)</f>
        <v>DETECT</v>
      </c>
      <c r="H162" s="125" t="str">
        <f>VLOOKUP($B162,'Product-Requirement'!$B:$M,9,FALSE)</f>
        <v>Security_Continuous_Monitoring</v>
      </c>
      <c r="I162" s="125" t="str">
        <f>VLOOKUP($B162,'Product-Requirement'!$B:$M,10,FALSE)</f>
        <v>DE.CM-4: Malicious code is detected</v>
      </c>
      <c r="J162" s="125" t="str">
        <f>VLOOKUP($B162,'Product-Requirement'!$B:$M,11,FALSE)</f>
        <v>System_Design</v>
      </c>
      <c r="K162" s="125" t="str">
        <f>VLOOKUP($B162,'Product-Requirement'!$B:$M,12,FALSE)</f>
        <v>Manufacturer</v>
      </c>
      <c r="L162" s="125" t="s">
        <v>5965</v>
      </c>
      <c r="M162" s="185"/>
      <c r="N162" s="185"/>
      <c r="O162" s="185" t="s">
        <v>6769</v>
      </c>
      <c r="P162" s="185" t="s">
        <v>6770</v>
      </c>
      <c r="Q162" s="185"/>
      <c r="R162" s="185"/>
      <c r="S162" s="185"/>
      <c r="T162" s="185" t="s">
        <v>6771</v>
      </c>
      <c r="U162" s="187" t="s">
        <v>378</v>
      </c>
      <c r="V162" s="187" t="s">
        <v>378</v>
      </c>
      <c r="W162" s="187" t="s">
        <v>378</v>
      </c>
      <c r="X162" s="187" t="s">
        <v>378</v>
      </c>
      <c r="Y162" s="187" t="s">
        <v>378</v>
      </c>
      <c r="Z162" s="187" t="s">
        <v>378</v>
      </c>
      <c r="AA162" s="187" t="s">
        <v>378</v>
      </c>
      <c r="AB162" s="187" t="s">
        <v>378</v>
      </c>
      <c r="AC162" s="187" t="s">
        <v>378</v>
      </c>
      <c r="AD162" s="187" t="s">
        <v>378</v>
      </c>
    </row>
    <row r="163" spans="1:100" s="167" customFormat="1" ht="76.5">
      <c r="A163" s="181">
        <v>163</v>
      </c>
      <c r="B163" s="169" t="s">
        <v>4474</v>
      </c>
      <c r="C163" s="165" t="s">
        <v>6772</v>
      </c>
      <c r="D163" s="165" t="s">
        <v>6773</v>
      </c>
      <c r="E163" s="165"/>
      <c r="F163" s="171" t="s">
        <v>6774</v>
      </c>
      <c r="G163" s="125" t="str">
        <f>VLOOKUP($B163,'Product-Requirement'!$B:$M,8,FALSE)</f>
        <v>DETECT</v>
      </c>
      <c r="H163" s="125" t="str">
        <f>VLOOKUP($B163,'Product-Requirement'!$B:$M,9,FALSE)</f>
        <v>Security_Continuous_Monitoring</v>
      </c>
      <c r="I163" s="125" t="str">
        <f>VLOOKUP($B163,'Product-Requirement'!$B:$M,10,FALSE)</f>
        <v>DE.CM-7: Monitoring for unauthorized personnel, connections, devices, and software is performed</v>
      </c>
      <c r="J163" s="125" t="str">
        <f>VLOOKUP($B163,'Product-Requirement'!$B:$M,11,FALSE)</f>
        <v>Wireless</v>
      </c>
      <c r="K163" s="125" t="str">
        <f>VLOOKUP($B163,'Product-Requirement'!$B:$M,12,FALSE)</f>
        <v>Manufacturer</v>
      </c>
      <c r="L163" s="125" t="s">
        <v>5965</v>
      </c>
      <c r="M163" s="185"/>
      <c r="N163" s="185"/>
      <c r="O163" s="185"/>
      <c r="P163" s="185" t="s">
        <v>6775</v>
      </c>
      <c r="Q163" s="185"/>
      <c r="R163" s="185"/>
      <c r="S163" s="185"/>
      <c r="T163" s="185"/>
      <c r="U163" s="188" t="s">
        <v>379</v>
      </c>
      <c r="V163" s="188" t="s">
        <v>379</v>
      </c>
      <c r="W163" s="188" t="s">
        <v>379</v>
      </c>
      <c r="X163" s="188" t="s">
        <v>379</v>
      </c>
      <c r="Y163" s="188" t="s">
        <v>379</v>
      </c>
      <c r="Z163" s="188" t="s">
        <v>379</v>
      </c>
      <c r="AA163" s="188" t="s">
        <v>379</v>
      </c>
      <c r="AB163" s="188" t="s">
        <v>379</v>
      </c>
      <c r="AC163" s="188" t="s">
        <v>379</v>
      </c>
      <c r="AD163" s="188" t="s">
        <v>379</v>
      </c>
    </row>
    <row r="164" spans="1:100" s="167" customFormat="1" ht="178.5">
      <c r="A164" s="182">
        <v>164</v>
      </c>
      <c r="B164" s="169" t="s">
        <v>4908</v>
      </c>
      <c r="C164" s="165" t="s">
        <v>6776</v>
      </c>
      <c r="D164" s="165" t="s">
        <v>6777</v>
      </c>
      <c r="E164" s="165"/>
      <c r="F164" s="171" t="s">
        <v>6778</v>
      </c>
      <c r="G164" s="125" t="str">
        <f>VLOOKUP($B164,'Product-Requirement'!$B:$M,8,FALSE)</f>
        <v>DETECT</v>
      </c>
      <c r="H164" s="125" t="str">
        <f>VLOOKUP($B164,'Product-Requirement'!$B:$M,9,FALSE)</f>
        <v>Security_Continuous_Monitoring</v>
      </c>
      <c r="I164" s="125" t="str">
        <f>VLOOKUP($B164,'Product-Requirement'!$B:$M,10,FALSE)</f>
        <v>DE.CM-7: Monitoring for unauthorized personnel, connections, devices, and software is performed</v>
      </c>
      <c r="J164" s="125" t="str">
        <f>VLOOKUP($B164,'Product-Requirement'!$B:$M,11,FALSE)</f>
        <v>Infrastructure&amp;Network</v>
      </c>
      <c r="K164" s="125" t="str">
        <f>VLOOKUP($B164,'Product-Requirement'!$B:$M,12,FALSE)</f>
        <v>Manufacturer</v>
      </c>
      <c r="L164" s="125" t="s">
        <v>5965</v>
      </c>
      <c r="M164" s="185"/>
      <c r="N164" s="185"/>
      <c r="O164" s="185"/>
      <c r="P164" s="185" t="s">
        <v>6779</v>
      </c>
      <c r="Q164" s="185"/>
      <c r="R164" s="185"/>
      <c r="S164" s="185"/>
      <c r="T164" s="185"/>
      <c r="U164" s="188" t="s">
        <v>379</v>
      </c>
      <c r="V164" s="188" t="s">
        <v>379</v>
      </c>
      <c r="W164" s="188" t="s">
        <v>379</v>
      </c>
      <c r="X164" s="188" t="s">
        <v>379</v>
      </c>
      <c r="Y164" s="188" t="s">
        <v>379</v>
      </c>
      <c r="Z164" s="188" t="s">
        <v>379</v>
      </c>
      <c r="AA164" s="188" t="s">
        <v>379</v>
      </c>
      <c r="AB164" s="188" t="s">
        <v>379</v>
      </c>
      <c r="AC164" s="188" t="s">
        <v>379</v>
      </c>
      <c r="AD164" s="188" t="s">
        <v>379</v>
      </c>
    </row>
    <row r="165" spans="1:100" s="167" customFormat="1" ht="63.75">
      <c r="A165" s="181">
        <v>165</v>
      </c>
      <c r="B165" s="169" t="s">
        <v>5288</v>
      </c>
      <c r="C165" s="165" t="s">
        <v>6780</v>
      </c>
      <c r="D165" s="165" t="s">
        <v>6781</v>
      </c>
      <c r="E165" s="165"/>
      <c r="F165" s="171"/>
      <c r="G165" s="125" t="str">
        <f>VLOOKUP($B165,'Product-Requirement'!$B:$M,8,FALSE)</f>
        <v>DETECT</v>
      </c>
      <c r="H165" s="125" t="str">
        <f>VLOOKUP($B165,'Product-Requirement'!$B:$M,9,FALSE)</f>
        <v>Security_Continuous_Monitoring</v>
      </c>
      <c r="I165" s="125" t="str">
        <f>VLOOKUP($B165,'Product-Requirement'!$B:$M,10,FALSE)</f>
        <v>DE.CM-7: Monitoring for unauthorized personnel, connections, devices, and software is performed</v>
      </c>
      <c r="J165" s="125" t="str">
        <f>VLOOKUP($B165,'Product-Requirement'!$B:$M,11,FALSE)</f>
        <v>Infrastructure&amp;Network</v>
      </c>
      <c r="K165" s="125" t="str">
        <f>VLOOKUP($B165,'Product-Requirement'!$B:$M,12,FALSE)</f>
        <v>Manufacturer</v>
      </c>
      <c r="L165" s="125" t="s">
        <v>5965</v>
      </c>
      <c r="M165" s="185"/>
      <c r="N165" s="185"/>
      <c r="O165" s="185"/>
      <c r="P165" s="185" t="s">
        <v>6782</v>
      </c>
      <c r="Q165" s="185"/>
      <c r="R165" s="185"/>
      <c r="S165" s="185"/>
      <c r="T165" s="185"/>
      <c r="U165" s="188" t="s">
        <v>379</v>
      </c>
      <c r="V165" s="188" t="s">
        <v>379</v>
      </c>
      <c r="W165" s="188" t="s">
        <v>379</v>
      </c>
      <c r="X165" s="188" t="s">
        <v>379</v>
      </c>
      <c r="Y165" s="188" t="s">
        <v>379</v>
      </c>
      <c r="Z165" s="188" t="s">
        <v>379</v>
      </c>
      <c r="AA165" s="188" t="s">
        <v>379</v>
      </c>
      <c r="AB165" s="188" t="s">
        <v>379</v>
      </c>
      <c r="AC165" s="188" t="s">
        <v>379</v>
      </c>
      <c r="AD165" s="188" t="s">
        <v>379</v>
      </c>
    </row>
    <row r="166" spans="1:100" s="167" customFormat="1" ht="178.5">
      <c r="A166" s="182">
        <v>166</v>
      </c>
      <c r="B166" s="176" t="s">
        <v>1070</v>
      </c>
      <c r="C166" s="165" t="s">
        <v>6783</v>
      </c>
      <c r="D166" s="165" t="s">
        <v>6784</v>
      </c>
      <c r="E166" s="165"/>
      <c r="F166" s="171" t="s">
        <v>6785</v>
      </c>
      <c r="G166" s="125" t="str">
        <f>VLOOKUP($B166,'Product-Requirement'!$B:$M,8,FALSE)</f>
        <v>DETECT</v>
      </c>
      <c r="H166" s="125" t="str">
        <f>VLOOKUP($B166,'Product-Requirement'!$B:$M,9,FALSE)</f>
        <v>Security_Continuous_Monitoring</v>
      </c>
      <c r="I166" s="125" t="str">
        <f>VLOOKUP($B166,'Product-Requirement'!$B:$M,10,FALSE)</f>
        <v>DE.CM-7: Monitoring for unauthorized personnel, connections, devices, and software is performed</v>
      </c>
      <c r="J166" s="125" t="str">
        <f>VLOOKUP($B166,'Product-Requirement'!$B:$M,11,FALSE)</f>
        <v>Infrastructure&amp;Network</v>
      </c>
      <c r="K166" s="125" t="str">
        <f>VLOOKUP($B166,'Product-Requirement'!$B:$M,12,FALSE)</f>
        <v>Manufacturer</v>
      </c>
      <c r="L166" s="125" t="s">
        <v>5965</v>
      </c>
      <c r="M166" s="185"/>
      <c r="N166" s="185"/>
      <c r="O166" s="185" t="s">
        <v>6786</v>
      </c>
      <c r="P166" s="185" t="s">
        <v>6787</v>
      </c>
      <c r="Q166" s="185" t="s">
        <v>6788</v>
      </c>
      <c r="R166" s="185"/>
      <c r="S166" s="185"/>
      <c r="T166" s="185" t="s">
        <v>6789</v>
      </c>
      <c r="U166" s="187" t="s">
        <v>378</v>
      </c>
      <c r="V166" s="187" t="s">
        <v>378</v>
      </c>
      <c r="W166" s="187" t="s">
        <v>378</v>
      </c>
      <c r="X166" s="187" t="s">
        <v>378</v>
      </c>
      <c r="Y166" s="187" t="s">
        <v>378</v>
      </c>
      <c r="Z166" s="187" t="s">
        <v>378</v>
      </c>
      <c r="AA166" s="187" t="s">
        <v>378</v>
      </c>
      <c r="AB166" s="187" t="s">
        <v>378</v>
      </c>
      <c r="AC166" s="187" t="s">
        <v>378</v>
      </c>
      <c r="AD166" s="187" t="s">
        <v>378</v>
      </c>
    </row>
    <row r="167" spans="1:100" s="167" customFormat="1" ht="89.25">
      <c r="A167" s="181">
        <v>167</v>
      </c>
      <c r="B167" s="169" t="s">
        <v>1679</v>
      </c>
      <c r="C167" s="166" t="s">
        <v>6790</v>
      </c>
      <c r="D167" s="165" t="s">
        <v>6791</v>
      </c>
      <c r="E167" s="165"/>
      <c r="F167" s="174"/>
      <c r="G167" s="125" t="str">
        <f>VLOOKUP($B167,'Product-Requirement'!$B:$M,8,FALSE)</f>
        <v>DETECT</v>
      </c>
      <c r="H167" s="125" t="str">
        <f>VLOOKUP($B167,'Product-Requirement'!$B:$M,9,FALSE)</f>
        <v>Security_Continuous_Monitoring</v>
      </c>
      <c r="I167" s="125" t="str">
        <f>VLOOKUP($B167,'Product-Requirement'!$B:$M,10,FALSE)</f>
        <v>DE.CM-5: Unauthorized mobile code is detected</v>
      </c>
      <c r="J167" s="125" t="str">
        <f>VLOOKUP($B167,'Product-Requirement'!$B:$M,11,FALSE)</f>
        <v>System_Design</v>
      </c>
      <c r="K167" s="125" t="str">
        <f>VLOOKUP($B167,'Product-Requirement'!$B:$M,12,FALSE)</f>
        <v>Manufacturer</v>
      </c>
      <c r="L167" s="125" t="s">
        <v>5965</v>
      </c>
      <c r="M167" s="185"/>
      <c r="N167" s="185"/>
      <c r="O167" s="185"/>
      <c r="P167" s="185" t="s">
        <v>6792</v>
      </c>
      <c r="Q167" s="185"/>
      <c r="R167" s="185"/>
      <c r="S167" s="185"/>
      <c r="T167" s="185" t="s">
        <v>6621</v>
      </c>
      <c r="U167" s="187" t="s">
        <v>378</v>
      </c>
      <c r="V167" s="187" t="s">
        <v>378</v>
      </c>
      <c r="W167" s="187" t="s">
        <v>378</v>
      </c>
      <c r="X167" s="188" t="s">
        <v>379</v>
      </c>
      <c r="Y167" s="188" t="s">
        <v>379</v>
      </c>
      <c r="Z167" s="187" t="s">
        <v>378</v>
      </c>
      <c r="AA167" s="188" t="s">
        <v>379</v>
      </c>
      <c r="AB167" s="188" t="s">
        <v>379</v>
      </c>
      <c r="AC167" s="188" t="s">
        <v>379</v>
      </c>
      <c r="AD167" s="188" t="s">
        <v>379</v>
      </c>
    </row>
    <row r="168" spans="1:100" s="177" customFormat="1" ht="51">
      <c r="A168" s="182">
        <v>168</v>
      </c>
      <c r="B168" s="176" t="s">
        <v>1899</v>
      </c>
      <c r="C168" s="165" t="s">
        <v>6793</v>
      </c>
      <c r="D168" s="165" t="s">
        <v>6794</v>
      </c>
      <c r="E168" s="165"/>
      <c r="F168" s="171"/>
      <c r="G168" s="125" t="str">
        <f>VLOOKUP($B168,'Product-Requirement'!$B:$M,8,FALSE)</f>
        <v>DETECT</v>
      </c>
      <c r="H168" s="125" t="str">
        <f>VLOOKUP($B168,'Product-Requirement'!$B:$M,9,FALSE)</f>
        <v>Security_Continuous_Monitoring</v>
      </c>
      <c r="I168" s="125" t="str">
        <f>VLOOKUP($B168,'Product-Requirement'!$B:$M,10,FALSE)</f>
        <v>DE.CM-3: Personnel activity is monitored to detect potential cybersecurity events</v>
      </c>
      <c r="J168" s="125" t="str">
        <f>VLOOKUP($B168,'Product-Requirement'!$B:$M,11,FALSE)</f>
        <v>Infrastructure&amp;Network</v>
      </c>
      <c r="K168" s="125" t="str">
        <f>VLOOKUP($B168,'Product-Requirement'!$B:$M,12,FALSE)</f>
        <v>Medical facilities(e.g.: Healthcare Delivery Organization/Hospital, Operator)</v>
      </c>
      <c r="L168" s="125" t="s">
        <v>5965</v>
      </c>
      <c r="M168" s="185"/>
      <c r="N168" s="185"/>
      <c r="O168" s="185" t="s">
        <v>6795</v>
      </c>
      <c r="P168" s="185" t="s">
        <v>6750</v>
      </c>
      <c r="Q168" s="185"/>
      <c r="R168" s="185"/>
      <c r="S168" s="185"/>
      <c r="T168" s="185"/>
      <c r="U168" s="187" t="s">
        <v>378</v>
      </c>
      <c r="V168" s="187" t="s">
        <v>378</v>
      </c>
      <c r="W168" s="187" t="s">
        <v>378</v>
      </c>
      <c r="X168" s="187" t="s">
        <v>378</v>
      </c>
      <c r="Y168" s="187" t="s">
        <v>378</v>
      </c>
      <c r="Z168" s="187" t="s">
        <v>378</v>
      </c>
      <c r="AA168" s="187" t="s">
        <v>378</v>
      </c>
      <c r="AB168" s="187" t="s">
        <v>378</v>
      </c>
      <c r="AC168" s="187" t="s">
        <v>378</v>
      </c>
      <c r="AD168" s="187" t="s">
        <v>378</v>
      </c>
      <c r="AE168" s="167"/>
      <c r="AF168" s="167"/>
      <c r="AG168" s="167"/>
      <c r="AH168" s="167"/>
      <c r="AI168" s="167"/>
      <c r="AJ168" s="167"/>
      <c r="AK168" s="167"/>
      <c r="AL168" s="167"/>
      <c r="AM168" s="167"/>
      <c r="AN168" s="167"/>
      <c r="AO168" s="167"/>
      <c r="AP168" s="167"/>
      <c r="AQ168" s="167"/>
      <c r="AR168" s="167"/>
      <c r="AS168" s="167"/>
      <c r="AT168" s="167"/>
      <c r="AU168" s="167"/>
      <c r="AV168" s="167"/>
      <c r="AW168" s="167"/>
      <c r="AX168" s="167"/>
      <c r="AY168" s="167"/>
      <c r="AZ168" s="167"/>
      <c r="BA168" s="167"/>
      <c r="BB168" s="167"/>
      <c r="BC168" s="167"/>
      <c r="BD168" s="167"/>
      <c r="BE168" s="167"/>
      <c r="BF168" s="167"/>
      <c r="BG168" s="167"/>
      <c r="BH168" s="167"/>
      <c r="BI168" s="167"/>
      <c r="BJ168" s="167"/>
      <c r="BK168" s="167"/>
      <c r="BL168" s="167"/>
      <c r="BM168" s="167"/>
      <c r="BN168" s="167"/>
      <c r="BO168" s="167"/>
      <c r="BP168" s="167"/>
      <c r="BQ168" s="167"/>
      <c r="BR168" s="167"/>
      <c r="BS168" s="167"/>
      <c r="BT168" s="167"/>
      <c r="BU168" s="167"/>
      <c r="BV168" s="167"/>
      <c r="BW168" s="167"/>
      <c r="BX168" s="167"/>
      <c r="BY168" s="167"/>
      <c r="BZ168" s="167"/>
      <c r="CA168" s="167"/>
      <c r="CB168" s="167"/>
      <c r="CC168" s="167"/>
      <c r="CD168" s="167"/>
      <c r="CE168" s="167"/>
      <c r="CF168" s="167"/>
      <c r="CG168" s="167"/>
      <c r="CH168" s="167"/>
      <c r="CI168" s="167"/>
      <c r="CJ168" s="167"/>
      <c r="CK168" s="167"/>
      <c r="CL168" s="167"/>
      <c r="CM168" s="167"/>
      <c r="CN168" s="167"/>
      <c r="CO168" s="167"/>
      <c r="CP168" s="167"/>
      <c r="CQ168" s="167"/>
      <c r="CR168" s="167"/>
      <c r="CS168" s="167"/>
      <c r="CT168" s="167"/>
      <c r="CU168" s="167"/>
      <c r="CV168" s="167"/>
    </row>
    <row r="169" spans="1:100" s="167" customFormat="1" ht="242.25">
      <c r="A169" s="181">
        <v>169</v>
      </c>
      <c r="B169" s="176" t="s">
        <v>1089</v>
      </c>
      <c r="C169" s="166" t="s">
        <v>6796</v>
      </c>
      <c r="D169" s="165" t="s">
        <v>6797</v>
      </c>
      <c r="E169" s="165"/>
      <c r="F169" s="171" t="s">
        <v>6798</v>
      </c>
      <c r="G169" s="125" t="str">
        <f>VLOOKUP($B169,'Product-Requirement'!$B:$M,8,FALSE)</f>
        <v>DETECT</v>
      </c>
      <c r="H169" s="125" t="str">
        <f>VLOOKUP($B169,'Product-Requirement'!$B:$M,9,FALSE)</f>
        <v>Detection_Processes</v>
      </c>
      <c r="I169" s="125" t="str">
        <f>VLOOKUP($B169,'Product-Requirement'!$B:$M,10,FALSE)</f>
        <v>DE.DP-4: Event detection information is communicated</v>
      </c>
      <c r="J169" s="125" t="str">
        <f>VLOOKUP($B169,'Product-Requirement'!$B:$M,11,FALSE)</f>
        <v>System_Design</v>
      </c>
      <c r="K169" s="125" t="str">
        <f>VLOOKUP($B169,'Product-Requirement'!$B:$M,12,FALSE)</f>
        <v>Manufacturer</v>
      </c>
      <c r="L169" s="125" t="s">
        <v>5965</v>
      </c>
      <c r="M169" s="185"/>
      <c r="N169" s="185"/>
      <c r="O169" s="185" t="s">
        <v>6799</v>
      </c>
      <c r="P169" s="185" t="s">
        <v>6800</v>
      </c>
      <c r="Q169" s="185"/>
      <c r="R169" s="185" t="s">
        <v>6801</v>
      </c>
      <c r="S169" s="185" t="s">
        <v>6110</v>
      </c>
      <c r="T169" s="185" t="s">
        <v>6802</v>
      </c>
      <c r="U169" s="187" t="s">
        <v>378</v>
      </c>
      <c r="V169" s="187" t="s">
        <v>378</v>
      </c>
      <c r="W169" s="187" t="s">
        <v>378</v>
      </c>
      <c r="X169" s="187" t="s">
        <v>378</v>
      </c>
      <c r="Y169" s="187" t="s">
        <v>378</v>
      </c>
      <c r="Z169" s="187" t="s">
        <v>378</v>
      </c>
      <c r="AA169" s="187" t="s">
        <v>378</v>
      </c>
      <c r="AB169" s="187" t="s">
        <v>378</v>
      </c>
      <c r="AC169" s="187" t="s">
        <v>378</v>
      </c>
      <c r="AD169" s="187" t="s">
        <v>378</v>
      </c>
    </row>
    <row r="170" spans="1:100" s="167" customFormat="1" ht="38.25">
      <c r="A170" s="182">
        <v>170</v>
      </c>
      <c r="B170" s="176" t="s">
        <v>2453</v>
      </c>
      <c r="C170" s="166" t="s">
        <v>6803</v>
      </c>
      <c r="D170" s="165" t="s">
        <v>6804</v>
      </c>
      <c r="E170" s="165"/>
      <c r="F170" s="171"/>
      <c r="G170" s="125" t="str">
        <f>VLOOKUP($B170,'Product-Requirement'!$B:$M,8,FALSE)</f>
        <v>DETECT</v>
      </c>
      <c r="H170" s="125" t="str">
        <f>VLOOKUP($B170,'Product-Requirement'!$B:$M,9,FALSE)</f>
        <v>Security_Continuous_Monitoring</v>
      </c>
      <c r="I170" s="125" t="str">
        <f>VLOOKUP($B170,'Product-Requirement'!$B:$M,10,FALSE)</f>
        <v>DE.CM-6: External service provider activity is monitored to detect potential cybersecurity events</v>
      </c>
      <c r="J170" s="125" t="str">
        <f>VLOOKUP($B170,'Product-Requirement'!$B:$M,11,FALSE)</f>
        <v>Cloud</v>
      </c>
      <c r="K170" s="125" t="str">
        <f>VLOOKUP($B170,'Product-Requirement'!$B:$M,12,FALSE)</f>
        <v>Third Party(e.g:Vendor, Supplier, Contractor, Sub-Contractor etc.)</v>
      </c>
      <c r="L170" s="125" t="s">
        <v>5965</v>
      </c>
      <c r="M170" s="185"/>
      <c r="N170" s="185"/>
      <c r="O170" s="185"/>
      <c r="P170" s="185"/>
      <c r="Q170" s="185"/>
      <c r="R170" s="185"/>
      <c r="S170" s="185"/>
      <c r="T170" s="185" t="s">
        <v>6642</v>
      </c>
      <c r="U170" s="188" t="s">
        <v>379</v>
      </c>
      <c r="V170" s="188" t="s">
        <v>379</v>
      </c>
      <c r="W170" s="188" t="s">
        <v>379</v>
      </c>
      <c r="X170" s="188" t="s">
        <v>379</v>
      </c>
      <c r="Y170" s="188" t="s">
        <v>379</v>
      </c>
      <c r="Z170" s="187" t="s">
        <v>378</v>
      </c>
      <c r="AA170" s="188" t="s">
        <v>379</v>
      </c>
      <c r="AB170" s="188" t="s">
        <v>379</v>
      </c>
      <c r="AC170" s="188" t="s">
        <v>379</v>
      </c>
      <c r="AD170" s="188" t="s">
        <v>379</v>
      </c>
    </row>
    <row r="171" spans="1:100" s="167" customFormat="1" ht="76.5">
      <c r="A171" s="181">
        <v>171</v>
      </c>
      <c r="B171" s="176" t="s">
        <v>4489</v>
      </c>
      <c r="C171" s="166" t="s">
        <v>6805</v>
      </c>
      <c r="D171" s="165" t="s">
        <v>6806</v>
      </c>
      <c r="E171" s="165" t="s">
        <v>6807</v>
      </c>
      <c r="F171" s="171" t="s">
        <v>6808</v>
      </c>
      <c r="G171" s="125" t="str">
        <f>VLOOKUP($B171,'Product-Requirement'!$B:$M,8,FALSE)</f>
        <v>PROTECT</v>
      </c>
      <c r="H171" s="125" t="str">
        <f>VLOOKUP($B171,'Product-Requirement'!$B:$M,9,FALSE)</f>
        <v>Protective_Technology</v>
      </c>
      <c r="I171" s="125" t="str">
        <f>VLOOKUP($B171,'Product-Requirement'!$B:$M,10,FALSE)</f>
        <v>PR.PT-4: Communications and control networks are protected</v>
      </c>
      <c r="J171" s="125" t="str">
        <f>VLOOKUP($B171,'Product-Requirement'!$B:$M,11,FALSE)</f>
        <v>Wireless</v>
      </c>
      <c r="K171" s="125" t="str">
        <f>VLOOKUP($B171,'Product-Requirement'!$B:$M,12,FALSE)</f>
        <v>Manufacturer</v>
      </c>
      <c r="L171" s="125" t="s">
        <v>5965</v>
      </c>
      <c r="M171" s="185"/>
      <c r="N171" s="185"/>
      <c r="O171" s="185"/>
      <c r="P171" s="185" t="s">
        <v>6809</v>
      </c>
      <c r="Q171" s="185"/>
      <c r="R171" s="185"/>
      <c r="S171" s="185"/>
      <c r="T171" s="185" t="s">
        <v>6810</v>
      </c>
      <c r="U171" s="188" t="s">
        <v>379</v>
      </c>
      <c r="V171" s="188" t="s">
        <v>379</v>
      </c>
      <c r="W171" s="188" t="s">
        <v>379</v>
      </c>
      <c r="X171" s="188" t="s">
        <v>379</v>
      </c>
      <c r="Y171" s="188" t="s">
        <v>379</v>
      </c>
      <c r="Z171" s="188" t="s">
        <v>379</v>
      </c>
      <c r="AA171" s="188" t="s">
        <v>379</v>
      </c>
      <c r="AB171" s="188" t="s">
        <v>379</v>
      </c>
      <c r="AC171" s="188" t="s">
        <v>379</v>
      </c>
      <c r="AD171" s="188" t="s">
        <v>379</v>
      </c>
    </row>
    <row r="172" spans="1:100" s="167" customFormat="1" ht="63.75">
      <c r="A172" s="182">
        <v>172</v>
      </c>
      <c r="B172" s="176" t="s">
        <v>5268</v>
      </c>
      <c r="C172" s="165" t="s">
        <v>6811</v>
      </c>
      <c r="D172" s="165" t="s">
        <v>6812</v>
      </c>
      <c r="E172" s="165"/>
      <c r="F172" s="171" t="s">
        <v>6813</v>
      </c>
      <c r="G172" s="125" t="str">
        <f>VLOOKUP($B172,'Product-Requirement'!$B:$M,8,FALSE)</f>
        <v>PROTECT</v>
      </c>
      <c r="H172" s="125" t="str">
        <f>VLOOKUP($B172,'Product-Requirement'!$B:$M,9,FALSE)</f>
        <v>Protective_Technology</v>
      </c>
      <c r="I172" s="125" t="str">
        <f>VLOOKUP($B172,'Product-Requirement'!$B:$M,10,FALSE)</f>
        <v>PR.PT-4: Communications and control networks are protected</v>
      </c>
      <c r="J172" s="125" t="str">
        <f>VLOOKUP($B172,'Product-Requirement'!$B:$M,11,FALSE)</f>
        <v>System_Design</v>
      </c>
      <c r="K172" s="125" t="str">
        <f>VLOOKUP($B172,'Product-Requirement'!$B:$M,12,FALSE)</f>
        <v>Manufacturer</v>
      </c>
      <c r="L172" s="125" t="s">
        <v>5965</v>
      </c>
      <c r="M172" s="185"/>
      <c r="N172" s="185"/>
      <c r="O172" s="185"/>
      <c r="P172" s="185" t="s">
        <v>6814</v>
      </c>
      <c r="Q172" s="185"/>
      <c r="R172" s="185"/>
      <c r="S172" s="185"/>
      <c r="T172" s="185"/>
      <c r="U172" s="188" t="s">
        <v>379</v>
      </c>
      <c r="V172" s="188" t="s">
        <v>379</v>
      </c>
      <c r="W172" s="188" t="s">
        <v>379</v>
      </c>
      <c r="X172" s="188" t="s">
        <v>379</v>
      </c>
      <c r="Y172" s="188" t="s">
        <v>379</v>
      </c>
      <c r="Z172" s="188" t="s">
        <v>379</v>
      </c>
      <c r="AA172" s="188" t="s">
        <v>379</v>
      </c>
      <c r="AB172" s="188" t="s">
        <v>379</v>
      </c>
      <c r="AC172" s="188" t="s">
        <v>379</v>
      </c>
      <c r="AD172" s="188" t="s">
        <v>379</v>
      </c>
    </row>
    <row r="173" spans="1:100" s="167" customFormat="1" ht="242.25">
      <c r="A173" s="181">
        <v>173</v>
      </c>
      <c r="B173" s="176" t="s">
        <v>596</v>
      </c>
      <c r="C173" s="165" t="s">
        <v>6815</v>
      </c>
      <c r="D173" s="165" t="s">
        <v>6816</v>
      </c>
      <c r="E173" s="165"/>
      <c r="F173" s="171" t="s">
        <v>6817</v>
      </c>
      <c r="G173" s="125" t="str">
        <f>VLOOKUP($B173,'Product-Requirement'!$B:$M,8,FALSE)</f>
        <v>PROTECT</v>
      </c>
      <c r="H173" s="125" t="str">
        <f>VLOOKUP($B173,'Product-Requirement'!$B:$M,9,FALSE)</f>
        <v>Protective_Technology</v>
      </c>
      <c r="I173" s="125" t="str">
        <f>VLOOKUP($B173,'Product-Requirement'!$B:$M,10,FALSE)</f>
        <v>PR.PT-4: Communications and control networks are protected</v>
      </c>
      <c r="J173" s="125" t="str">
        <f>VLOOKUP($B173,'Product-Requirement'!$B:$M,11,FALSE)</f>
        <v>System_Design</v>
      </c>
      <c r="K173" s="125" t="str">
        <f>VLOOKUP($B173,'Product-Requirement'!$B:$M,12,FALSE)</f>
        <v>Manufacturer</v>
      </c>
      <c r="L173" s="125" t="s">
        <v>5965</v>
      </c>
      <c r="M173" s="185"/>
      <c r="N173" s="185"/>
      <c r="O173" s="185" t="s">
        <v>6818</v>
      </c>
      <c r="P173" s="185" t="s">
        <v>6819</v>
      </c>
      <c r="Q173" s="185"/>
      <c r="R173" s="185" t="s">
        <v>6330</v>
      </c>
      <c r="S173" s="185" t="s">
        <v>6355</v>
      </c>
      <c r="T173" s="185" t="s">
        <v>6820</v>
      </c>
      <c r="U173" s="187" t="s">
        <v>378</v>
      </c>
      <c r="V173" s="187" t="s">
        <v>378</v>
      </c>
      <c r="W173" s="187" t="s">
        <v>378</v>
      </c>
      <c r="X173" s="187" t="s">
        <v>378</v>
      </c>
      <c r="Y173" s="187" t="s">
        <v>378</v>
      </c>
      <c r="Z173" s="187" t="s">
        <v>378</v>
      </c>
      <c r="AA173" s="187" t="s">
        <v>378</v>
      </c>
      <c r="AB173" s="187" t="s">
        <v>378</v>
      </c>
      <c r="AC173" s="187" t="s">
        <v>378</v>
      </c>
      <c r="AD173" s="187" t="s">
        <v>378</v>
      </c>
    </row>
    <row r="174" spans="1:100" s="167" customFormat="1" ht="127.5">
      <c r="A174" s="182">
        <v>174</v>
      </c>
      <c r="B174" s="176" t="s">
        <v>1525</v>
      </c>
      <c r="C174" s="165" t="s">
        <v>6821</v>
      </c>
      <c r="D174" s="165" t="s">
        <v>6822</v>
      </c>
      <c r="E174" s="165" t="s">
        <v>6823</v>
      </c>
      <c r="F174" s="171" t="s">
        <v>6824</v>
      </c>
      <c r="G174" s="125" t="str">
        <f>VLOOKUP($B174,'Product-Requirement'!$B:$M,8,FALSE)</f>
        <v>PROTECT</v>
      </c>
      <c r="H174" s="125" t="str">
        <f>VLOOKUP($B174,'Product-Requirement'!$B:$M,9,FALSE)</f>
        <v>Data_Security</v>
      </c>
      <c r="I174" s="125" t="str">
        <f>VLOOKUP($B174,'Product-Requirement'!$B:$M,10,FALSE)</f>
        <v>PR.DS-3: Assets are formally managed throughout removal, transfers, and disposition</v>
      </c>
      <c r="J174" s="125" t="str">
        <f>VLOOKUP($B174,'Product-Requirement'!$B:$M,11,FALSE)</f>
        <v>System_Design</v>
      </c>
      <c r="K174" s="125" t="str">
        <f>VLOOKUP($B174,'Product-Requirement'!$B:$M,12,FALSE)</f>
        <v>Manufacturer</v>
      </c>
      <c r="L174" s="125" t="s">
        <v>5965</v>
      </c>
      <c r="M174" s="185"/>
      <c r="N174" s="185" t="s">
        <v>6825</v>
      </c>
      <c r="O174" s="185" t="s">
        <v>6826</v>
      </c>
      <c r="P174" s="185" t="s">
        <v>6827</v>
      </c>
      <c r="Q174" s="185"/>
      <c r="R174" s="185"/>
      <c r="S174" s="185"/>
      <c r="T174" s="185" t="s">
        <v>6828</v>
      </c>
      <c r="U174" s="187" t="s">
        <v>378</v>
      </c>
      <c r="V174" s="187" t="s">
        <v>378</v>
      </c>
      <c r="W174" s="187" t="s">
        <v>378</v>
      </c>
      <c r="X174" s="187" t="s">
        <v>378</v>
      </c>
      <c r="Y174" s="187" t="s">
        <v>378</v>
      </c>
      <c r="Z174" s="187" t="s">
        <v>378</v>
      </c>
      <c r="AA174" s="187" t="s">
        <v>378</v>
      </c>
      <c r="AB174" s="187" t="s">
        <v>378</v>
      </c>
      <c r="AC174" s="187" t="s">
        <v>378</v>
      </c>
      <c r="AD174" s="187" t="s">
        <v>378</v>
      </c>
    </row>
    <row r="175" spans="1:100" s="167" customFormat="1" ht="140.25">
      <c r="A175" s="181">
        <v>175</v>
      </c>
      <c r="B175" s="176" t="s">
        <v>2299</v>
      </c>
      <c r="C175" s="165" t="s">
        <v>6829</v>
      </c>
      <c r="D175" s="165" t="s">
        <v>6830</v>
      </c>
      <c r="E175" s="165" t="s">
        <v>6831</v>
      </c>
      <c r="F175" s="174"/>
      <c r="G175" s="125" t="str">
        <f>VLOOKUP($B175,'Product-Requirement'!$B:$M,8,FALSE)</f>
        <v>PROTECT</v>
      </c>
      <c r="H175" s="125" t="str">
        <f>VLOOKUP($B175,'Product-Requirement'!$B:$M,9,FALSE)</f>
        <v>Data_Security</v>
      </c>
      <c r="I175" s="125" t="str">
        <f>VLOOKUP($B175,'Product-Requirement'!$B:$M,10,FALSE)</f>
        <v>PR.DS-7: The development and testing environment(s) are separate from the production environment</v>
      </c>
      <c r="J175" s="125" t="str">
        <f>VLOOKUP($B175,'Product-Requirement'!$B:$M,11,FALSE)</f>
        <v>Infrastructure&amp;Network</v>
      </c>
      <c r="K175" s="125" t="str">
        <f>VLOOKUP($B175,'Product-Requirement'!$B:$M,12,FALSE)</f>
        <v>Manufacturer</v>
      </c>
      <c r="L175" s="125" t="s">
        <v>5965</v>
      </c>
      <c r="M175" s="185"/>
      <c r="N175" s="185"/>
      <c r="O175" s="185" t="s">
        <v>6832</v>
      </c>
      <c r="P175" s="185" t="s">
        <v>6833</v>
      </c>
      <c r="Q175" s="185" t="s">
        <v>6834</v>
      </c>
      <c r="R175" s="185"/>
      <c r="S175" s="185"/>
      <c r="T175" s="185" t="s">
        <v>6621</v>
      </c>
      <c r="U175" s="187" t="s">
        <v>378</v>
      </c>
      <c r="V175" s="187" t="s">
        <v>378</v>
      </c>
      <c r="W175" s="187" t="s">
        <v>378</v>
      </c>
      <c r="X175" s="187" t="s">
        <v>378</v>
      </c>
      <c r="Y175" s="187" t="s">
        <v>378</v>
      </c>
      <c r="Z175" s="187" t="s">
        <v>378</v>
      </c>
      <c r="AA175" s="187" t="s">
        <v>378</v>
      </c>
      <c r="AB175" s="187" t="s">
        <v>378</v>
      </c>
      <c r="AC175" s="187" t="s">
        <v>378</v>
      </c>
      <c r="AD175" s="187" t="s">
        <v>378</v>
      </c>
    </row>
    <row r="176" spans="1:100" s="167" customFormat="1" ht="51">
      <c r="A176" s="182">
        <v>176</v>
      </c>
      <c r="B176" s="176" t="s">
        <v>2323</v>
      </c>
      <c r="C176" s="165" t="s">
        <v>6835</v>
      </c>
      <c r="D176" s="165" t="s">
        <v>6836</v>
      </c>
      <c r="E176" s="165"/>
      <c r="F176" s="171"/>
      <c r="G176" s="125" t="str">
        <f>VLOOKUP($B176,'Product-Requirement'!$B:$M,8,FALSE)</f>
        <v>PROTECT</v>
      </c>
      <c r="H176" s="125" t="str">
        <f>VLOOKUP($B176,'Product-Requirement'!$B:$M,9,FALSE)</f>
        <v>Information_Protection_Processes_and_Procedures</v>
      </c>
      <c r="I176" s="125" t="s">
        <v>761</v>
      </c>
      <c r="J176" s="125" t="str">
        <f>VLOOKUP($B176,'Product-Requirement'!$B:$M,11,FALSE)</f>
        <v>Cloud</v>
      </c>
      <c r="K176" s="125" t="str">
        <f>VLOOKUP($B176,'Product-Requirement'!$B:$M,12,FALSE)</f>
        <v>Third Party(e.g:Vendor, Supplier, Contractor, Sub-Contractor etc.)</v>
      </c>
      <c r="L176" s="125" t="s">
        <v>6100</v>
      </c>
      <c r="M176" s="185"/>
      <c r="N176" s="185"/>
      <c r="O176" s="185"/>
      <c r="P176" s="185"/>
      <c r="Q176" s="185"/>
      <c r="R176" s="185"/>
      <c r="S176" s="185"/>
      <c r="T176" s="185" t="s">
        <v>6837</v>
      </c>
      <c r="U176" s="188" t="s">
        <v>379</v>
      </c>
      <c r="V176" s="188" t="s">
        <v>379</v>
      </c>
      <c r="W176" s="188" t="s">
        <v>379</v>
      </c>
      <c r="X176" s="188" t="s">
        <v>379</v>
      </c>
      <c r="Y176" s="188" t="s">
        <v>379</v>
      </c>
      <c r="Z176" s="187" t="s">
        <v>378</v>
      </c>
      <c r="AA176" s="188" t="s">
        <v>379</v>
      </c>
      <c r="AB176" s="188" t="s">
        <v>379</v>
      </c>
      <c r="AC176" s="188" t="s">
        <v>379</v>
      </c>
      <c r="AD176" s="188" t="s">
        <v>379</v>
      </c>
    </row>
    <row r="177" spans="1:30" s="167" customFormat="1" ht="153">
      <c r="A177" s="181">
        <v>177</v>
      </c>
      <c r="B177" s="176" t="s">
        <v>2356</v>
      </c>
      <c r="C177" s="165" t="s">
        <v>6838</v>
      </c>
      <c r="D177" s="165" t="s">
        <v>6839</v>
      </c>
      <c r="E177" s="165"/>
      <c r="F177" s="113"/>
      <c r="G177" s="125" t="str">
        <f>VLOOKUP($B177,'Product-Requirement'!$B:$M,8,FALSE)</f>
        <v>PROTECT</v>
      </c>
      <c r="H177" s="125" t="str">
        <f>VLOOKUP($B177,'Product-Requirement'!$B:$M,9,FALSE)</f>
        <v>Identity_Management_Authentication_and_Access_Control</v>
      </c>
      <c r="I177" s="125" t="str">
        <f>VLOOKUP($B177,'Product-Requirement'!$B:$M,10,FALSE)</f>
        <v>PR.AC-4: Access permissions and authorizations are managed, incorporating the principles of least privilege and separation of duties</v>
      </c>
      <c r="J177" s="125" t="str">
        <f>VLOOKUP($B177,'Product-Requirement'!$B:$M,11,FALSE)</f>
        <v>System_Design</v>
      </c>
      <c r="K177" s="125" t="str">
        <f>VLOOKUP($B177,'Product-Requirement'!$B:$M,12,FALSE)</f>
        <v>Manufacturer</v>
      </c>
      <c r="L177" s="125" t="s">
        <v>5965</v>
      </c>
      <c r="M177" s="185"/>
      <c r="N177" s="185"/>
      <c r="O177" s="185" t="s">
        <v>6840</v>
      </c>
      <c r="P177" s="185"/>
      <c r="Q177" s="185"/>
      <c r="R177" s="185"/>
      <c r="S177" s="185"/>
      <c r="T177" s="185" t="s">
        <v>6841</v>
      </c>
      <c r="U177" s="187" t="s">
        <v>378</v>
      </c>
      <c r="V177" s="187" t="s">
        <v>378</v>
      </c>
      <c r="W177" s="187" t="s">
        <v>378</v>
      </c>
      <c r="X177" s="187" t="s">
        <v>378</v>
      </c>
      <c r="Y177" s="187" t="s">
        <v>378</v>
      </c>
      <c r="Z177" s="187" t="s">
        <v>378</v>
      </c>
      <c r="AA177" s="187" t="s">
        <v>378</v>
      </c>
      <c r="AB177" s="187" t="s">
        <v>378</v>
      </c>
      <c r="AC177" s="187" t="s">
        <v>378</v>
      </c>
      <c r="AD177" s="187" t="s">
        <v>378</v>
      </c>
    </row>
    <row r="178" spans="1:30" s="167" customFormat="1" ht="140.25">
      <c r="A178" s="182">
        <v>178</v>
      </c>
      <c r="B178" s="176" t="s">
        <v>3311</v>
      </c>
      <c r="C178" s="165" t="s">
        <v>6842</v>
      </c>
      <c r="D178" s="165" t="s">
        <v>6843</v>
      </c>
      <c r="E178" s="165"/>
      <c r="F178" s="107"/>
      <c r="G178" s="125" t="str">
        <f>VLOOKUP($B178,'Product-Requirement'!$B:$M,8,FALSE)</f>
        <v>PROTECT</v>
      </c>
      <c r="H178" s="125" t="str">
        <f>VLOOKUP($B178,'Product-Requirement'!$B:$M,9,FALSE)</f>
        <v>Information_Protection_Processes_and_Procedures</v>
      </c>
      <c r="I178" s="125" t="s">
        <v>761</v>
      </c>
      <c r="J178" s="125" t="str">
        <f>VLOOKUP($B178,'Product-Requirement'!$B:$M,11,FALSE)</f>
        <v>System_Design</v>
      </c>
      <c r="K178" s="125" t="str">
        <f>VLOOKUP($B178,'Product-Requirement'!$B:$M,12,FALSE)</f>
        <v>Manufacturer</v>
      </c>
      <c r="L178" s="125" t="s">
        <v>5965</v>
      </c>
      <c r="M178" s="185"/>
      <c r="N178" s="185"/>
      <c r="O178" s="185" t="s">
        <v>6844</v>
      </c>
      <c r="P178" s="185"/>
      <c r="Q178" s="185"/>
      <c r="R178" s="185" t="s">
        <v>6562</v>
      </c>
      <c r="S178" s="185" t="s">
        <v>6845</v>
      </c>
      <c r="T178" s="185" t="s">
        <v>6846</v>
      </c>
      <c r="U178" s="187" t="s">
        <v>378</v>
      </c>
      <c r="V178" s="187" t="s">
        <v>378</v>
      </c>
      <c r="W178" s="187" t="s">
        <v>378</v>
      </c>
      <c r="X178" s="187" t="s">
        <v>378</v>
      </c>
      <c r="Y178" s="187" t="s">
        <v>378</v>
      </c>
      <c r="Z178" s="187" t="s">
        <v>378</v>
      </c>
      <c r="AA178" s="187" t="s">
        <v>378</v>
      </c>
      <c r="AB178" s="187" t="s">
        <v>378</v>
      </c>
      <c r="AC178" s="187" t="s">
        <v>378</v>
      </c>
      <c r="AD178" s="187" t="s">
        <v>378</v>
      </c>
    </row>
    <row r="179" spans="1:30" s="167" customFormat="1" ht="63.75">
      <c r="A179" s="181">
        <v>179</v>
      </c>
      <c r="B179" s="176" t="s">
        <v>2434</v>
      </c>
      <c r="C179" s="165" t="s">
        <v>6847</v>
      </c>
      <c r="D179" s="165" t="s">
        <v>6848</v>
      </c>
      <c r="E179" s="165"/>
      <c r="F179" s="171"/>
      <c r="G179" s="125" t="str">
        <f>VLOOKUP($B179,'Product-Requirement'!$B:$M,8,FALSE)</f>
        <v>IDENTIFY</v>
      </c>
      <c r="H179" s="125" t="str">
        <f>VLOOKUP($B179,'Product-Requirement'!$B:$M,9,FALSE)</f>
        <v>Asset_Management</v>
      </c>
      <c r="I179" s="125" t="str">
        <f>VLOOKUP($B179,'Product-Requirement'!$B:$M,10,FALSE)</f>
        <v xml:space="preserve">ID.AM-5: Resources (e.g., hardware, devices, data, time, personnel, and software) are prioritized based on their classification, criticality, and business value </v>
      </c>
      <c r="J179" s="125" t="str">
        <f>VLOOKUP($B179,'Product-Requirement'!$B:$M,11,FALSE)</f>
        <v>Infrastructure&amp;Network</v>
      </c>
      <c r="K179" s="125" t="str">
        <f>VLOOKUP($B179,'Product-Requirement'!$B:$M,12,FALSE)</f>
        <v>Medical facilities(e.g.: Healthcare Delivery Organization/Hospital, Operator)</v>
      </c>
      <c r="L179" s="125" t="s">
        <v>6100</v>
      </c>
      <c r="M179" s="185"/>
      <c r="N179" s="185"/>
      <c r="O179" s="185"/>
      <c r="P179" s="185"/>
      <c r="Q179" s="185"/>
      <c r="R179" s="185"/>
      <c r="S179" s="185"/>
      <c r="T179" s="185" t="s">
        <v>6746</v>
      </c>
      <c r="U179" s="188" t="s">
        <v>379</v>
      </c>
      <c r="V179" s="188" t="s">
        <v>379</v>
      </c>
      <c r="W179" s="188" t="s">
        <v>379</v>
      </c>
      <c r="X179" s="188" t="s">
        <v>379</v>
      </c>
      <c r="Y179" s="188" t="s">
        <v>379</v>
      </c>
      <c r="Z179" s="187" t="s">
        <v>378</v>
      </c>
      <c r="AA179" s="188" t="s">
        <v>379</v>
      </c>
      <c r="AB179" s="188" t="s">
        <v>379</v>
      </c>
      <c r="AC179" s="188" t="s">
        <v>379</v>
      </c>
      <c r="AD179" s="188" t="s">
        <v>379</v>
      </c>
    </row>
    <row r="180" spans="1:30" s="167" customFormat="1" ht="165.75">
      <c r="A180" s="182">
        <v>180</v>
      </c>
      <c r="B180" s="176" t="s">
        <v>2582</v>
      </c>
      <c r="C180" s="165" t="s">
        <v>6849</v>
      </c>
      <c r="D180" s="165" t="s">
        <v>6850</v>
      </c>
      <c r="E180" s="165" t="s">
        <v>6851</v>
      </c>
      <c r="F180" s="171" t="s">
        <v>6852</v>
      </c>
      <c r="G180" s="125" t="str">
        <f>VLOOKUP($B180,'Product-Requirement'!$B:$M,8,FALSE)</f>
        <v>PROTECT</v>
      </c>
      <c r="H180" s="125" t="str">
        <f>VLOOKUP($B180,'Product-Requirement'!$B:$M,9,FALSE)</f>
        <v>Data_Security</v>
      </c>
      <c r="I180" s="125" t="str">
        <f>VLOOKUP($B180,'Product-Requirement'!$B:$M,10,FALSE)</f>
        <v>PR.DS-5: Protections against data leaks are implemented</v>
      </c>
      <c r="J180" s="125" t="str">
        <f>VLOOKUP($B180,'Product-Requirement'!$B:$M,11,FALSE)</f>
        <v>System_Design</v>
      </c>
      <c r="K180" s="125" t="str">
        <f>VLOOKUP($B180,'Product-Requirement'!$B:$M,12,FALSE)</f>
        <v>Manufacturer</v>
      </c>
      <c r="L180" s="125" t="s">
        <v>5965</v>
      </c>
      <c r="M180" s="185"/>
      <c r="N180" s="185"/>
      <c r="O180" s="185" t="s">
        <v>6853</v>
      </c>
      <c r="P180" s="185" t="s">
        <v>6854</v>
      </c>
      <c r="Q180" s="185"/>
      <c r="R180" s="185"/>
      <c r="S180" s="185" t="s">
        <v>6110</v>
      </c>
      <c r="T180" s="185" t="s">
        <v>6855</v>
      </c>
      <c r="U180" s="187" t="s">
        <v>378</v>
      </c>
      <c r="V180" s="187" t="s">
        <v>378</v>
      </c>
      <c r="W180" s="187" t="s">
        <v>378</v>
      </c>
      <c r="X180" s="187" t="s">
        <v>378</v>
      </c>
      <c r="Y180" s="187" t="s">
        <v>378</v>
      </c>
      <c r="Z180" s="187" t="s">
        <v>378</v>
      </c>
      <c r="AA180" s="187" t="s">
        <v>378</v>
      </c>
      <c r="AB180" s="187" t="s">
        <v>378</v>
      </c>
      <c r="AC180" s="187" t="s">
        <v>378</v>
      </c>
      <c r="AD180" s="187" t="s">
        <v>378</v>
      </c>
    </row>
    <row r="181" spans="1:30" s="167" customFormat="1" ht="76.5">
      <c r="A181" s="181">
        <v>181</v>
      </c>
      <c r="B181" s="176" t="s">
        <v>2754</v>
      </c>
      <c r="C181" s="165" t="s">
        <v>6856</v>
      </c>
      <c r="D181" s="165" t="s">
        <v>6857</v>
      </c>
      <c r="E181" s="165"/>
      <c r="F181" s="171" t="s">
        <v>6858</v>
      </c>
      <c r="G181" s="125" t="str">
        <f>VLOOKUP($B181,'Product-Requirement'!$B:$M,8,FALSE)</f>
        <v>PROTECT</v>
      </c>
      <c r="H181" s="125" t="str">
        <f>VLOOKUP($B181,'Product-Requirement'!$B:$M,9,FALSE)</f>
        <v>Data_Security</v>
      </c>
      <c r="I181" s="125" t="str">
        <f>VLOOKUP($B181,'Product-Requirement'!$B:$M,10,FALSE)</f>
        <v>PR.DS-6: Integrity checking mechanisms are used to verify software, firmware, and information integrity</v>
      </c>
      <c r="J181" s="125" t="str">
        <f>VLOOKUP($B181,'Product-Requirement'!$B:$M,11,FALSE)</f>
        <v>System_Design</v>
      </c>
      <c r="K181" s="125" t="str">
        <f>VLOOKUP($B181,'Product-Requirement'!$B:$M,12,FALSE)</f>
        <v>Manufacturer</v>
      </c>
      <c r="L181" s="125" t="s">
        <v>5965</v>
      </c>
      <c r="M181" s="185"/>
      <c r="N181" s="185"/>
      <c r="O181" s="185"/>
      <c r="P181" s="185"/>
      <c r="Q181" s="185"/>
      <c r="R181" s="185"/>
      <c r="S181" s="185"/>
      <c r="T181" s="185" t="s">
        <v>6859</v>
      </c>
      <c r="U181" s="187" t="s">
        <v>378</v>
      </c>
      <c r="V181" s="188" t="s">
        <v>379</v>
      </c>
      <c r="W181" s="188" t="s">
        <v>379</v>
      </c>
      <c r="X181" s="188" t="s">
        <v>379</v>
      </c>
      <c r="Y181" s="188" t="s">
        <v>379</v>
      </c>
      <c r="Z181" s="188" t="s">
        <v>379</v>
      </c>
      <c r="AA181" s="188" t="s">
        <v>379</v>
      </c>
      <c r="AB181" s="188" t="s">
        <v>379</v>
      </c>
      <c r="AC181" s="188" t="s">
        <v>379</v>
      </c>
      <c r="AD181" s="188" t="s">
        <v>379</v>
      </c>
    </row>
    <row r="182" spans="1:30" s="167" customFormat="1" ht="127.5">
      <c r="A182" s="182">
        <v>182</v>
      </c>
      <c r="B182" s="176" t="s">
        <v>658</v>
      </c>
      <c r="C182" s="165" t="s">
        <v>6860</v>
      </c>
      <c r="D182" s="165" t="s">
        <v>6861</v>
      </c>
      <c r="E182" s="165" t="s">
        <v>6862</v>
      </c>
      <c r="F182" s="171" t="s">
        <v>6863</v>
      </c>
      <c r="G182" s="125" t="str">
        <f>VLOOKUP($B182,'Product-Requirement'!$B:$M,8,FALSE)</f>
        <v>PROTECT</v>
      </c>
      <c r="H182" s="125" t="str">
        <f>VLOOKUP($B182,'Product-Requirement'!$B:$M,9,FALSE)</f>
        <v>Information_Protection_Processes_and_Procedures</v>
      </c>
      <c r="I182" s="125" t="str">
        <f>VLOOKUP($B182,'Product-Requirement'!$B:$M,10,FALSE)</f>
        <v>PR.IP-6: Data is destroyed according to policy</v>
      </c>
      <c r="J182" s="125" t="str">
        <f>VLOOKUP($B182,'Product-Requirement'!$B:$M,11,FALSE)</f>
        <v>Wireless</v>
      </c>
      <c r="K182" s="125" t="str">
        <f>VLOOKUP($B182,'Product-Requirement'!$B:$M,12,FALSE)</f>
        <v>Manufacturer</v>
      </c>
      <c r="L182" s="125" t="s">
        <v>5965</v>
      </c>
      <c r="M182" s="185"/>
      <c r="N182" s="185"/>
      <c r="O182" s="185"/>
      <c r="P182" s="185" t="s">
        <v>6864</v>
      </c>
      <c r="Q182" s="185"/>
      <c r="R182" s="185"/>
      <c r="S182" s="185"/>
      <c r="T182" s="185" t="s">
        <v>6865</v>
      </c>
      <c r="U182" s="187" t="s">
        <v>378</v>
      </c>
      <c r="V182" s="187" t="s">
        <v>378</v>
      </c>
      <c r="W182" s="187" t="s">
        <v>378</v>
      </c>
      <c r="X182" s="188" t="s">
        <v>379</v>
      </c>
      <c r="Y182" s="188" t="s">
        <v>379</v>
      </c>
      <c r="Z182" s="188" t="s">
        <v>379</v>
      </c>
      <c r="AA182" s="188" t="s">
        <v>379</v>
      </c>
      <c r="AB182" s="188" t="s">
        <v>379</v>
      </c>
      <c r="AC182" s="188" t="s">
        <v>379</v>
      </c>
      <c r="AD182" s="188" t="s">
        <v>379</v>
      </c>
    </row>
    <row r="183" spans="1:30" s="167" customFormat="1" ht="25.5">
      <c r="A183" s="181">
        <v>183</v>
      </c>
      <c r="B183" s="176" t="s">
        <v>2473</v>
      </c>
      <c r="C183" s="165" t="s">
        <v>6866</v>
      </c>
      <c r="D183" s="166" t="s">
        <v>6867</v>
      </c>
      <c r="E183" s="166"/>
      <c r="F183" s="179"/>
      <c r="G183" s="125" t="str">
        <f>VLOOKUP($B183,'Product-Requirement'!$B:$M,8,FALSE)</f>
        <v>PROTECT</v>
      </c>
      <c r="H183" s="125" t="str">
        <f>VLOOKUP($B183,'Product-Requirement'!$B:$M,9,FALSE)</f>
        <v>Information_Protection_Processes_and_Procedures</v>
      </c>
      <c r="I183" s="125" t="str">
        <f>VLOOKUP($B183,'Product-Requirement'!$B:$M,10,FALSE)</f>
        <v>PR.IP-6: Data is destroyed according to policy</v>
      </c>
      <c r="J183" s="125" t="str">
        <f>VLOOKUP($B183,'Product-Requirement'!$B:$M,11,FALSE)</f>
        <v>System_Design</v>
      </c>
      <c r="K183" s="125" t="str">
        <f>VLOOKUP($B183,'Product-Requirement'!$B:$M,12,FALSE)</f>
        <v>Manufacturer</v>
      </c>
      <c r="L183" s="136" t="s">
        <v>5965</v>
      </c>
      <c r="M183" s="185"/>
      <c r="N183" s="185"/>
      <c r="O183" s="185"/>
      <c r="P183" s="185"/>
      <c r="Q183" s="185"/>
      <c r="R183" s="185"/>
      <c r="S183" s="185"/>
      <c r="T183" s="185" t="s">
        <v>6868</v>
      </c>
      <c r="U183" s="187" t="s">
        <v>378</v>
      </c>
      <c r="V183" s="188" t="s">
        <v>379</v>
      </c>
      <c r="W183" s="188" t="s">
        <v>379</v>
      </c>
      <c r="X183" s="188" t="s">
        <v>379</v>
      </c>
      <c r="Y183" s="188" t="s">
        <v>379</v>
      </c>
      <c r="Z183" s="188" t="s">
        <v>379</v>
      </c>
      <c r="AA183" s="187" t="s">
        <v>378</v>
      </c>
      <c r="AB183" s="187" t="s">
        <v>378</v>
      </c>
      <c r="AC183" s="187" t="s">
        <v>378</v>
      </c>
      <c r="AD183" s="187" t="s">
        <v>378</v>
      </c>
    </row>
    <row r="184" spans="1:30" s="167" customFormat="1" ht="51">
      <c r="A184" s="182">
        <v>184</v>
      </c>
      <c r="B184" s="176" t="s">
        <v>4761</v>
      </c>
      <c r="C184" s="165" t="s">
        <v>6869</v>
      </c>
      <c r="D184" s="166" t="s">
        <v>6870</v>
      </c>
      <c r="E184" s="166"/>
      <c r="F184" s="171"/>
      <c r="G184" s="125" t="str">
        <f>VLOOKUP($B184,'Product-Requirement'!$B:$M,8,FALSE)</f>
        <v>PROTECT</v>
      </c>
      <c r="H184" s="125" t="str">
        <f>VLOOKUP($B184,'Product-Requirement'!$B:$M,9,FALSE)</f>
        <v>Protective_Technology</v>
      </c>
      <c r="I184" s="125" t="str">
        <f>VLOOKUP($B184,'Product-Requirement'!$B:$M,10,FALSE)</f>
        <v>PR.PT-3: The principle of least functionality is incorporated by configuring systems to provide only essential capabilities</v>
      </c>
      <c r="J184" s="125" t="str">
        <f>VLOOKUP($B184,'Product-Requirement'!$B:$M,11,FALSE)</f>
        <v>Wireless</v>
      </c>
      <c r="K184" s="125" t="str">
        <f>VLOOKUP($B184,'Product-Requirement'!$B:$M,12,FALSE)</f>
        <v>Manufacturer</v>
      </c>
      <c r="L184" s="125" t="s">
        <v>5965</v>
      </c>
      <c r="M184" s="185"/>
      <c r="N184" s="185"/>
      <c r="O184" s="185"/>
      <c r="P184" s="185" t="s">
        <v>6549</v>
      </c>
      <c r="Q184" s="185"/>
      <c r="R184" s="185"/>
      <c r="S184" s="185"/>
      <c r="T184" s="185"/>
      <c r="U184" s="188" t="s">
        <v>379</v>
      </c>
      <c r="V184" s="188" t="s">
        <v>379</v>
      </c>
      <c r="W184" s="188" t="s">
        <v>379</v>
      </c>
      <c r="X184" s="188" t="s">
        <v>379</v>
      </c>
      <c r="Y184" s="188" t="s">
        <v>379</v>
      </c>
      <c r="Z184" s="188" t="s">
        <v>379</v>
      </c>
      <c r="AA184" s="188" t="s">
        <v>379</v>
      </c>
      <c r="AB184" s="188" t="s">
        <v>379</v>
      </c>
      <c r="AC184" s="188" t="s">
        <v>379</v>
      </c>
      <c r="AD184" s="188" t="s">
        <v>379</v>
      </c>
    </row>
    <row r="185" spans="1:30" s="167" customFormat="1" ht="51">
      <c r="A185" s="181">
        <v>185</v>
      </c>
      <c r="B185" s="176" t="s">
        <v>4936</v>
      </c>
      <c r="C185" s="165" t="s">
        <v>6871</v>
      </c>
      <c r="D185" s="166" t="s">
        <v>6872</v>
      </c>
      <c r="E185" s="166"/>
      <c r="F185" s="171"/>
      <c r="G185" s="125" t="str">
        <f>VLOOKUP($B185,'Product-Requirement'!$B:$M,8,FALSE)</f>
        <v>PROTECT</v>
      </c>
      <c r="H185" s="125" t="str">
        <f>VLOOKUP($B185,'Product-Requirement'!$B:$M,9,FALSE)</f>
        <v>Protective_Technology</v>
      </c>
      <c r="I185" s="125" t="str">
        <f>VLOOKUP($B185,'Product-Requirement'!$B:$M,10,FALSE)</f>
        <v>PR.PT-3: The principle of least functionality is incorporated by configuring systems to provide only essential capabilities</v>
      </c>
      <c r="J185" s="125" t="str">
        <f>VLOOKUP($B185,'Product-Requirement'!$B:$M,11,FALSE)</f>
        <v>System_Design</v>
      </c>
      <c r="K185" s="125" t="str">
        <f>VLOOKUP($B185,'Product-Requirement'!$B:$M,12,FALSE)</f>
        <v>Manufacturer</v>
      </c>
      <c r="L185" s="136" t="s">
        <v>5965</v>
      </c>
      <c r="M185" s="185"/>
      <c r="N185" s="185"/>
      <c r="O185" s="185"/>
      <c r="P185" s="185" t="s">
        <v>6873</v>
      </c>
      <c r="Q185" s="185"/>
      <c r="R185" s="185"/>
      <c r="S185" s="185"/>
      <c r="T185" s="185"/>
      <c r="U185" s="188" t="s">
        <v>379</v>
      </c>
      <c r="V185" s="188" t="s">
        <v>379</v>
      </c>
      <c r="W185" s="188" t="s">
        <v>379</v>
      </c>
      <c r="X185" s="188" t="s">
        <v>379</v>
      </c>
      <c r="Y185" s="188" t="s">
        <v>379</v>
      </c>
      <c r="Z185" s="188" t="s">
        <v>379</v>
      </c>
      <c r="AA185" s="188" t="s">
        <v>379</v>
      </c>
      <c r="AB185" s="188" t="s">
        <v>379</v>
      </c>
      <c r="AC185" s="188" t="s">
        <v>379</v>
      </c>
      <c r="AD185" s="188" t="s">
        <v>379</v>
      </c>
    </row>
    <row r="186" spans="1:30" s="167" customFormat="1" ht="153">
      <c r="A186" s="182">
        <v>186</v>
      </c>
      <c r="B186" s="176" t="s">
        <v>2575</v>
      </c>
      <c r="C186" s="165" t="s">
        <v>6874</v>
      </c>
      <c r="D186" s="166" t="s">
        <v>6875</v>
      </c>
      <c r="E186" s="166" t="s">
        <v>6876</v>
      </c>
      <c r="F186" s="171" t="s">
        <v>6877</v>
      </c>
      <c r="G186" s="125" t="str">
        <f>VLOOKUP($B186,'Product-Requirement'!$B:$M,8,FALSE)</f>
        <v>PROTECT</v>
      </c>
      <c r="H186" s="125" t="str">
        <f>VLOOKUP($B186,'Product-Requirement'!$B:$M,9,FALSE)</f>
        <v>Protective_Technology</v>
      </c>
      <c r="I186" s="125" t="str">
        <f>VLOOKUP($B186,'Product-Requirement'!$B:$M,10,FALSE)</f>
        <v>PR.PT-3: The principle of least functionality is incorporated by configuring systems to provide only essential capabilities</v>
      </c>
      <c r="J186" s="125" t="str">
        <f>VLOOKUP($B186,'Product-Requirement'!$B:$M,11,FALSE)</f>
        <v>System_Design</v>
      </c>
      <c r="K186" s="125" t="str">
        <f>VLOOKUP($B186,'Product-Requirement'!$B:$M,12,FALSE)</f>
        <v>Manufacturer</v>
      </c>
      <c r="L186" s="125" t="s">
        <v>5965</v>
      </c>
      <c r="M186" s="185"/>
      <c r="N186" s="185"/>
      <c r="O186" s="185" t="s">
        <v>6878</v>
      </c>
      <c r="P186" s="185"/>
      <c r="Q186" s="185"/>
      <c r="R186" s="185"/>
      <c r="S186" s="185"/>
      <c r="T186" s="185" t="s">
        <v>6879</v>
      </c>
      <c r="U186" s="187" t="s">
        <v>378</v>
      </c>
      <c r="V186" s="187" t="s">
        <v>378</v>
      </c>
      <c r="W186" s="187" t="s">
        <v>378</v>
      </c>
      <c r="X186" s="187" t="s">
        <v>378</v>
      </c>
      <c r="Y186" s="187" t="s">
        <v>378</v>
      </c>
      <c r="Z186" s="187" t="s">
        <v>378</v>
      </c>
      <c r="AA186" s="187" t="s">
        <v>378</v>
      </c>
      <c r="AB186" s="187" t="s">
        <v>378</v>
      </c>
      <c r="AC186" s="187" t="s">
        <v>378</v>
      </c>
      <c r="AD186" s="187" t="s">
        <v>378</v>
      </c>
    </row>
    <row r="187" spans="1:30" s="167" customFormat="1" ht="140.25">
      <c r="A187" s="181">
        <v>187</v>
      </c>
      <c r="B187" s="169" t="s">
        <v>3550</v>
      </c>
      <c r="C187" s="166" t="s">
        <v>6880</v>
      </c>
      <c r="D187" s="165" t="s">
        <v>6881</v>
      </c>
      <c r="E187" s="165" t="s">
        <v>6882</v>
      </c>
      <c r="F187" s="113"/>
      <c r="G187" s="125" t="str">
        <f>VLOOKUP($B187,'Product-Requirement'!$B:$M,8,FALSE)</f>
        <v>PROTECT</v>
      </c>
      <c r="H187" s="125" t="str">
        <f>VLOOKUP($B187,'Product-Requirement'!$B:$M,9,FALSE)</f>
        <v>Identity_Management_Authentication_and_Access_Control</v>
      </c>
      <c r="I187" s="125" t="str">
        <f>VLOOKUP($B187,'Product-Requirement'!$B:$M,10,FALSE)</f>
        <v>PR.AC-4: Access permissions and authorizations are managed, incorporating the principles of least privilege and separation of duties</v>
      </c>
      <c r="J187" s="125" t="str">
        <f>VLOOKUP($B187,'Product-Requirement'!$B:$M,11,FALSE)</f>
        <v>System_Design</v>
      </c>
      <c r="K187" s="125" t="str">
        <f>VLOOKUP($B187,'Product-Requirement'!$B:$M,12,FALSE)</f>
        <v>Manufacturer</v>
      </c>
      <c r="L187" s="125" t="s">
        <v>5965</v>
      </c>
      <c r="M187" s="185"/>
      <c r="N187" s="185"/>
      <c r="O187" s="185" t="s">
        <v>6883</v>
      </c>
      <c r="P187" s="185" t="s">
        <v>6884</v>
      </c>
      <c r="Q187" s="185"/>
      <c r="R187" s="185"/>
      <c r="S187" s="185" t="s">
        <v>6095</v>
      </c>
      <c r="T187" s="185" t="s">
        <v>6885</v>
      </c>
      <c r="U187" s="187" t="s">
        <v>378</v>
      </c>
      <c r="V187" s="187" t="s">
        <v>378</v>
      </c>
      <c r="W187" s="187" t="s">
        <v>378</v>
      </c>
      <c r="X187" s="187" t="s">
        <v>378</v>
      </c>
      <c r="Y187" s="187" t="s">
        <v>378</v>
      </c>
      <c r="Z187" s="187" t="s">
        <v>378</v>
      </c>
      <c r="AA187" s="187" t="s">
        <v>378</v>
      </c>
      <c r="AB187" s="187" t="s">
        <v>378</v>
      </c>
      <c r="AC187" s="187" t="s">
        <v>378</v>
      </c>
      <c r="AD187" s="187" t="s">
        <v>378</v>
      </c>
    </row>
    <row r="188" spans="1:30" s="167" customFormat="1" ht="76.5">
      <c r="A188" s="182">
        <v>188</v>
      </c>
      <c r="B188" s="169" t="s">
        <v>4610</v>
      </c>
      <c r="C188" s="166" t="s">
        <v>6886</v>
      </c>
      <c r="D188" s="165" t="s">
        <v>6887</v>
      </c>
      <c r="E188" s="165"/>
      <c r="F188" s="171" t="s">
        <v>6888</v>
      </c>
      <c r="G188" s="125" t="str">
        <f>VLOOKUP($B188,'Product-Requirement'!$B:$M,8,FALSE)</f>
        <v>PROTECT</v>
      </c>
      <c r="H188" s="125" t="str">
        <f>VLOOKUP($B188,'Product-Requirement'!$B:$M,9,FALSE)</f>
        <v>Identity_Management_Authentication_and_Access_Control</v>
      </c>
      <c r="I188" s="125" t="str">
        <f>VLOOKUP($B188,'Product-Requirement'!$B:$M,10,FALSE)</f>
        <v>PR.AC-6: Identities are proofed and bound to credentials and asserted in interactions</v>
      </c>
      <c r="J188" s="125" t="str">
        <f>VLOOKUP($B188,'Product-Requirement'!$B:$M,11,FALSE)</f>
        <v>Wireless</v>
      </c>
      <c r="K188" s="125" t="str">
        <f>VLOOKUP($B188,'Product-Requirement'!$B:$M,12,FALSE)</f>
        <v>Manufacturer</v>
      </c>
      <c r="L188" s="125" t="s">
        <v>5965</v>
      </c>
      <c r="M188" s="185"/>
      <c r="N188" s="185"/>
      <c r="O188" s="185"/>
      <c r="P188" s="185"/>
      <c r="Q188" s="185"/>
      <c r="R188" s="185"/>
      <c r="S188" s="185"/>
      <c r="T188" s="185" t="s">
        <v>6889</v>
      </c>
      <c r="U188" s="188" t="s">
        <v>379</v>
      </c>
      <c r="V188" s="188" t="s">
        <v>379</v>
      </c>
      <c r="W188" s="188" t="s">
        <v>379</v>
      </c>
      <c r="X188" s="188" t="s">
        <v>379</v>
      </c>
      <c r="Y188" s="188" t="s">
        <v>379</v>
      </c>
      <c r="Z188" s="188" t="s">
        <v>379</v>
      </c>
      <c r="AA188" s="188" t="s">
        <v>379</v>
      </c>
      <c r="AB188" s="188" t="s">
        <v>379</v>
      </c>
      <c r="AC188" s="188" t="s">
        <v>379</v>
      </c>
      <c r="AD188" s="188" t="s">
        <v>379</v>
      </c>
    </row>
    <row r="189" spans="1:30" s="167" customFormat="1" ht="38.25">
      <c r="A189" s="181">
        <v>189</v>
      </c>
      <c r="B189" s="169" t="s">
        <v>4688</v>
      </c>
      <c r="C189" s="166" t="s">
        <v>6890</v>
      </c>
      <c r="D189" s="165" t="s">
        <v>6891</v>
      </c>
      <c r="E189" s="165"/>
      <c r="F189" s="171"/>
      <c r="G189" s="125" t="str">
        <f>VLOOKUP($B189,'Product-Requirement'!$B:$M,8,FALSE)</f>
        <v>PROTECT</v>
      </c>
      <c r="H189" s="125" t="str">
        <f>VLOOKUP($B189,'Product-Requirement'!$B:$M,9,FALSE)</f>
        <v>Identity_Management_Authentication_and_Access_Control</v>
      </c>
      <c r="I189" s="125" t="str">
        <f>VLOOKUP($B189,'Product-Requirement'!$B:$M,10,FALSE)</f>
        <v>PR.AC-6: Identities are proofed and bound to credentials and asserted in interactions</v>
      </c>
      <c r="J189" s="125" t="str">
        <f>VLOOKUP($B189,'Product-Requirement'!$B:$M,11,FALSE)</f>
        <v>Wireless</v>
      </c>
      <c r="K189" s="125" t="str">
        <f>VLOOKUP($B189,'Product-Requirement'!$B:$M,12,FALSE)</f>
        <v>Manufacturer</v>
      </c>
      <c r="L189" s="125" t="s">
        <v>5965</v>
      </c>
      <c r="M189" s="185"/>
      <c r="N189" s="185"/>
      <c r="O189" s="185"/>
      <c r="P189" s="185" t="s">
        <v>6892</v>
      </c>
      <c r="Q189" s="185"/>
      <c r="R189" s="185"/>
      <c r="S189" s="185"/>
      <c r="T189" s="185"/>
      <c r="U189" s="188" t="s">
        <v>379</v>
      </c>
      <c r="V189" s="188" t="s">
        <v>379</v>
      </c>
      <c r="W189" s="188" t="s">
        <v>379</v>
      </c>
      <c r="X189" s="188" t="s">
        <v>379</v>
      </c>
      <c r="Y189" s="188" t="s">
        <v>379</v>
      </c>
      <c r="Z189" s="188" t="s">
        <v>379</v>
      </c>
      <c r="AA189" s="188" t="s">
        <v>379</v>
      </c>
      <c r="AB189" s="188" t="s">
        <v>379</v>
      </c>
      <c r="AC189" s="188" t="s">
        <v>379</v>
      </c>
      <c r="AD189" s="188" t="s">
        <v>379</v>
      </c>
    </row>
    <row r="190" spans="1:30" s="167" customFormat="1" ht="38.25">
      <c r="A190" s="182">
        <v>190</v>
      </c>
      <c r="B190" s="169" t="s">
        <v>5701</v>
      </c>
      <c r="C190" s="166" t="s">
        <v>6893</v>
      </c>
      <c r="D190" s="165" t="s">
        <v>6894</v>
      </c>
      <c r="E190" s="165"/>
      <c r="F190" s="171"/>
      <c r="G190" s="125" t="str">
        <f>VLOOKUP($B190,'Product-Requirement'!$B:$M,8,FALSE)</f>
        <v>PROTECT</v>
      </c>
      <c r="H190" s="125" t="str">
        <f>VLOOKUP($B190,'Product-Requirement'!$B:$M,9,FALSE)</f>
        <v>Identity_Management_Authentication_and_Access_Control</v>
      </c>
      <c r="I190" s="125" t="str">
        <f>VLOOKUP($B190,'Product-Requirement'!$B:$M,10,FALSE)</f>
        <v>PR.AC-6: Identities are proofed and bound to credentials and asserted in interactions</v>
      </c>
      <c r="J190" s="125" t="str">
        <f>VLOOKUP($B190,'Product-Requirement'!$B:$M,11,FALSE)</f>
        <v>Wireless</v>
      </c>
      <c r="K190" s="125" t="str">
        <f>VLOOKUP($B190,'Product-Requirement'!$B:$M,12,FALSE)</f>
        <v>Manufacturer</v>
      </c>
      <c r="L190" s="125" t="s">
        <v>5965</v>
      </c>
      <c r="M190" s="185"/>
      <c r="N190" s="185"/>
      <c r="O190" s="185"/>
      <c r="P190" s="185"/>
      <c r="Q190" s="185" t="s">
        <v>6487</v>
      </c>
      <c r="R190" s="185"/>
      <c r="S190" s="185"/>
      <c r="T190" s="185"/>
      <c r="U190" s="187" t="s">
        <v>378</v>
      </c>
      <c r="V190" s="187" t="s">
        <v>378</v>
      </c>
      <c r="W190" s="187" t="s">
        <v>378</v>
      </c>
      <c r="X190" s="187" t="s">
        <v>378</v>
      </c>
      <c r="Y190" s="187" t="s">
        <v>378</v>
      </c>
      <c r="Z190" s="187" t="s">
        <v>378</v>
      </c>
      <c r="AA190" s="187" t="s">
        <v>378</v>
      </c>
      <c r="AB190" s="187" t="s">
        <v>378</v>
      </c>
      <c r="AC190" s="187" t="s">
        <v>378</v>
      </c>
      <c r="AD190" s="187" t="s">
        <v>378</v>
      </c>
    </row>
    <row r="191" spans="1:30" s="177" customFormat="1" ht="76.5">
      <c r="A191" s="181">
        <v>191</v>
      </c>
      <c r="B191" s="169" t="s">
        <v>4503</v>
      </c>
      <c r="C191" s="166" t="s">
        <v>6895</v>
      </c>
      <c r="D191" s="165" t="s">
        <v>6896</v>
      </c>
      <c r="E191" s="165"/>
      <c r="F191" s="171" t="s">
        <v>6897</v>
      </c>
      <c r="G191" s="125" t="str">
        <f>VLOOKUP($B191,'Product-Requirement'!$B:$M,8,FALSE)</f>
        <v>PROTECT</v>
      </c>
      <c r="H191" s="125" t="str">
        <f>VLOOKUP($B191,'Product-Requirement'!$B:$M,9,FALSE)</f>
        <v>Identity_Management_Authentication_and_Access_Control</v>
      </c>
      <c r="I191" s="125" t="str">
        <f>VLOOKUP($B191,'Product-Requirement'!$B:$M,10,FALSE)</f>
        <v>PR.AC-6: Identities are proofed and bound to credentials and asserted in interactions</v>
      </c>
      <c r="J191" s="125" t="str">
        <f>VLOOKUP($B191,'Product-Requirement'!$B:$M,11,FALSE)</f>
        <v>Wireless</v>
      </c>
      <c r="K191" s="125" t="str">
        <f>VLOOKUP($B191,'Product-Requirement'!$B:$M,12,FALSE)</f>
        <v>Manufacturer</v>
      </c>
      <c r="L191" s="125" t="s">
        <v>5965</v>
      </c>
      <c r="M191" s="185"/>
      <c r="N191" s="185"/>
      <c r="O191" s="185"/>
      <c r="P191" s="185" t="s">
        <v>6898</v>
      </c>
      <c r="Q191" s="185"/>
      <c r="R191" s="185"/>
      <c r="S191" s="185"/>
      <c r="T191" s="185"/>
      <c r="U191" s="188" t="s">
        <v>379</v>
      </c>
      <c r="V191" s="188" t="s">
        <v>379</v>
      </c>
      <c r="W191" s="188" t="s">
        <v>379</v>
      </c>
      <c r="X191" s="188" t="s">
        <v>379</v>
      </c>
      <c r="Y191" s="188" t="s">
        <v>379</v>
      </c>
      <c r="Z191" s="188" t="s">
        <v>379</v>
      </c>
      <c r="AA191" s="188" t="s">
        <v>379</v>
      </c>
      <c r="AB191" s="188" t="s">
        <v>379</v>
      </c>
      <c r="AC191" s="188" t="s">
        <v>379</v>
      </c>
      <c r="AD191" s="188" t="s">
        <v>379</v>
      </c>
    </row>
    <row r="192" spans="1:30" s="167" customFormat="1" ht="140.25">
      <c r="A192" s="182">
        <v>192</v>
      </c>
      <c r="B192" s="176" t="s">
        <v>3038</v>
      </c>
      <c r="C192" s="165" t="s">
        <v>6899</v>
      </c>
      <c r="D192" s="165" t="s">
        <v>6900</v>
      </c>
      <c r="E192" s="165" t="s">
        <v>6901</v>
      </c>
      <c r="F192" s="171"/>
      <c r="G192" s="125" t="str">
        <f>VLOOKUP($B192,'Product-Requirement'!$B:$M,8,FALSE)</f>
        <v>PROTECT</v>
      </c>
      <c r="H192" s="125" t="str">
        <f>VLOOKUP($B192,'Product-Requirement'!$B:$M,9,FALSE)</f>
        <v>Identity_Management_Authentication_and_Access_Control</v>
      </c>
      <c r="I192" s="125" t="str">
        <f>VLOOKUP($B192,'Product-Requirement'!$B:$M,10,FALSE)</f>
        <v>PR.AC-6: Identities are proofed and bound to credentials and asserted in interactions</v>
      </c>
      <c r="J192" s="125" t="str">
        <f>VLOOKUP($B192,'Product-Requirement'!$B:$M,11,FALSE)</f>
        <v>System_Design</v>
      </c>
      <c r="K192" s="125" t="str">
        <f>VLOOKUP($B192,'Product-Requirement'!$B:$M,12,FALSE)</f>
        <v>Manufacturer</v>
      </c>
      <c r="L192" s="125" t="s">
        <v>5965</v>
      </c>
      <c r="M192" s="185"/>
      <c r="N192" s="185"/>
      <c r="O192" s="185" t="s">
        <v>6902</v>
      </c>
      <c r="P192" s="185" t="s">
        <v>6903</v>
      </c>
      <c r="Q192" s="185"/>
      <c r="R192" s="185"/>
      <c r="S192" s="185"/>
      <c r="T192" s="185"/>
      <c r="U192" s="187" t="s">
        <v>378</v>
      </c>
      <c r="V192" s="187" t="s">
        <v>378</v>
      </c>
      <c r="W192" s="187" t="s">
        <v>378</v>
      </c>
      <c r="X192" s="187" t="s">
        <v>378</v>
      </c>
      <c r="Y192" s="187" t="s">
        <v>378</v>
      </c>
      <c r="Z192" s="187" t="s">
        <v>378</v>
      </c>
      <c r="AA192" s="187" t="s">
        <v>378</v>
      </c>
      <c r="AB192" s="187" t="s">
        <v>378</v>
      </c>
      <c r="AC192" s="187" t="s">
        <v>378</v>
      </c>
      <c r="AD192" s="187" t="s">
        <v>378</v>
      </c>
    </row>
    <row r="193" spans="1:30" s="167" customFormat="1" ht="76.5">
      <c r="A193" s="181">
        <v>193</v>
      </c>
      <c r="B193" s="176" t="s">
        <v>4860</v>
      </c>
      <c r="C193" s="165" t="s">
        <v>6904</v>
      </c>
      <c r="D193" s="165" t="s">
        <v>6905</v>
      </c>
      <c r="E193" s="165"/>
      <c r="F193" s="171" t="s">
        <v>6906</v>
      </c>
      <c r="G193" s="125" t="str">
        <f>VLOOKUP($B193,'Product-Requirement'!$B:$M,8,FALSE)</f>
        <v>PROTECT</v>
      </c>
      <c r="H193" s="125" t="str">
        <f>VLOOKUP($B193,'Product-Requirement'!$B:$M,9,FALSE)</f>
        <v>Identity_Management_Authentication_and_Access_Control</v>
      </c>
      <c r="I193" s="125" t="str">
        <f>VLOOKUP($B193,'Product-Requirement'!$B:$M,10,FALSE)</f>
        <v>PR.AC-7: Users, devices, and other assets are authenticated (e.g., single-factor, multi-factor) commensurate with the risk of the transaction (e.g., individuals’ security and privacy risks and other organizational risks)</v>
      </c>
      <c r="J193" s="125" t="str">
        <f>VLOOKUP($B193,'Product-Requirement'!$B:$M,11,FALSE)</f>
        <v>System_Design</v>
      </c>
      <c r="K193" s="125" t="str">
        <f>VLOOKUP($B193,'Product-Requirement'!$B:$M,12,FALSE)</f>
        <v>Manufacturer</v>
      </c>
      <c r="L193" s="125" t="s">
        <v>5965</v>
      </c>
      <c r="M193" s="185"/>
      <c r="N193" s="185"/>
      <c r="O193" s="185"/>
      <c r="P193" s="185" t="s">
        <v>6907</v>
      </c>
      <c r="Q193" s="185"/>
      <c r="R193" s="185"/>
      <c r="S193" s="185"/>
      <c r="T193" s="185"/>
      <c r="U193" s="188" t="s">
        <v>379</v>
      </c>
      <c r="V193" s="188" t="s">
        <v>379</v>
      </c>
      <c r="W193" s="188" t="s">
        <v>379</v>
      </c>
      <c r="X193" s="188" t="s">
        <v>379</v>
      </c>
      <c r="Y193" s="188" t="s">
        <v>379</v>
      </c>
      <c r="Z193" s="188" t="s">
        <v>379</v>
      </c>
      <c r="AA193" s="188" t="s">
        <v>379</v>
      </c>
      <c r="AB193" s="188" t="s">
        <v>379</v>
      </c>
      <c r="AC193" s="188" t="s">
        <v>379</v>
      </c>
      <c r="AD193" s="188" t="s">
        <v>379</v>
      </c>
    </row>
    <row r="194" spans="1:30" s="167" customFormat="1" ht="76.5">
      <c r="A194" s="182">
        <v>194</v>
      </c>
      <c r="B194" s="176" t="s">
        <v>689</v>
      </c>
      <c r="C194" s="165" t="s">
        <v>6908</v>
      </c>
      <c r="D194" s="165" t="s">
        <v>6909</v>
      </c>
      <c r="E194" s="165" t="s">
        <v>6910</v>
      </c>
      <c r="F194" s="125"/>
      <c r="G194" s="125" t="str">
        <f>VLOOKUP($B194,'Product-Requirement'!$B:$M,8,FALSE)</f>
        <v>PROTECT</v>
      </c>
      <c r="H194" s="125" t="str">
        <f>VLOOKUP($B194,'Product-Requirement'!$B:$M,9,FALSE)</f>
        <v>Identity_Management_Authentication_and_Access_Control</v>
      </c>
      <c r="I194" s="125" t="str">
        <f>VLOOKUP($B194,'Product-Requirement'!$B:$M,10,FALSE)</f>
        <v>PR.AC-7: Users, devices, and other assets are authenticated (e.g., single-factor, multi-factor) commensurate with the risk of the transaction (e.g., individuals’ security and privacy risks and other organizational risks)</v>
      </c>
      <c r="J194" s="125" t="str">
        <f>VLOOKUP($B194,'Product-Requirement'!$B:$M,11,FALSE)</f>
        <v>System_Design</v>
      </c>
      <c r="K194" s="125" t="str">
        <f>VLOOKUP($B194,'Product-Requirement'!$B:$M,12,FALSE)</f>
        <v>Manufacturer</v>
      </c>
      <c r="L194" s="125" t="s">
        <v>5965</v>
      </c>
      <c r="M194" s="185"/>
      <c r="N194" s="185"/>
      <c r="O194" s="185" t="s">
        <v>6911</v>
      </c>
      <c r="P194" s="185" t="s">
        <v>6912</v>
      </c>
      <c r="Q194" s="185"/>
      <c r="R194" s="185"/>
      <c r="S194" s="185"/>
      <c r="T194" s="185" t="s">
        <v>6913</v>
      </c>
      <c r="U194" s="187" t="s">
        <v>378</v>
      </c>
      <c r="V194" s="187" t="s">
        <v>378</v>
      </c>
      <c r="W194" s="187" t="s">
        <v>378</v>
      </c>
      <c r="X194" s="187" t="s">
        <v>378</v>
      </c>
      <c r="Y194" s="187" t="s">
        <v>378</v>
      </c>
      <c r="Z194" s="187" t="s">
        <v>378</v>
      </c>
      <c r="AA194" s="187" t="s">
        <v>378</v>
      </c>
      <c r="AB194" s="187" t="s">
        <v>378</v>
      </c>
      <c r="AC194" s="187" t="s">
        <v>378</v>
      </c>
      <c r="AD194" s="187" t="s">
        <v>378</v>
      </c>
    </row>
    <row r="195" spans="1:30" s="167" customFormat="1" ht="25.5">
      <c r="A195" s="181">
        <v>195</v>
      </c>
      <c r="B195" s="176" t="s">
        <v>4849</v>
      </c>
      <c r="C195" s="165" t="s">
        <v>6914</v>
      </c>
      <c r="D195" s="165" t="s">
        <v>6915</v>
      </c>
      <c r="E195" s="165"/>
      <c r="F195" s="171"/>
      <c r="G195" s="125" t="str">
        <f>VLOOKUP($B195,'Product-Requirement'!$B:$M,8,FALSE)</f>
        <v>PROTECT</v>
      </c>
      <c r="H195" s="125" t="str">
        <f>VLOOKUP($B195,'Product-Requirement'!$B:$M,9,FALSE)</f>
        <v>Protective_Technology</v>
      </c>
      <c r="I195" s="125" t="str">
        <f>VLOOKUP($B195,'Product-Requirement'!$B:$M,10,FALSE)</f>
        <v>PR.PT-4: Communications and control networks are protected</v>
      </c>
      <c r="J195" s="125" t="str">
        <f>VLOOKUP($B195,'Product-Requirement'!$B:$M,11,FALSE)</f>
        <v>System_Design</v>
      </c>
      <c r="K195" s="125" t="str">
        <f>VLOOKUP($B195,'Product-Requirement'!$B:$M,12,FALSE)</f>
        <v>Manufacturer</v>
      </c>
      <c r="L195" s="125" t="s">
        <v>5965</v>
      </c>
      <c r="M195" s="185"/>
      <c r="N195" s="185"/>
      <c r="O195" s="185"/>
      <c r="P195" s="185" t="s">
        <v>6916</v>
      </c>
      <c r="Q195" s="185"/>
      <c r="R195" s="185"/>
      <c r="S195" s="185"/>
      <c r="T195" s="185"/>
      <c r="U195" s="188" t="s">
        <v>379</v>
      </c>
      <c r="V195" s="188" t="s">
        <v>379</v>
      </c>
      <c r="W195" s="188" t="s">
        <v>379</v>
      </c>
      <c r="X195" s="188" t="s">
        <v>379</v>
      </c>
      <c r="Y195" s="188" t="s">
        <v>379</v>
      </c>
      <c r="Z195" s="188" t="s">
        <v>379</v>
      </c>
      <c r="AA195" s="188" t="s">
        <v>379</v>
      </c>
      <c r="AB195" s="188" t="s">
        <v>379</v>
      </c>
      <c r="AC195" s="188" t="s">
        <v>379</v>
      </c>
      <c r="AD195" s="188" t="s">
        <v>379</v>
      </c>
    </row>
    <row r="196" spans="1:30" s="167" customFormat="1" ht="38.25">
      <c r="A196" s="182">
        <v>196</v>
      </c>
      <c r="B196" s="176" t="s">
        <v>2714</v>
      </c>
      <c r="C196" s="166" t="s">
        <v>6917</v>
      </c>
      <c r="D196" s="165" t="s">
        <v>6918</v>
      </c>
      <c r="E196" s="165"/>
      <c r="F196" s="171" t="s">
        <v>6919</v>
      </c>
      <c r="G196" s="125" t="str">
        <f>VLOOKUP($B196,'Product-Requirement'!$B:$M,8,FALSE)</f>
        <v>PROTECT</v>
      </c>
      <c r="H196" s="125" t="str">
        <f>VLOOKUP($B196,'Product-Requirement'!$B:$M,9,FALSE)</f>
        <v>Data_Security</v>
      </c>
      <c r="I196" s="125" t="str">
        <f>VLOOKUP($B196,'Product-Requirement'!$B:$M,10,FALSE)</f>
        <v>PR.DS-2: Data-in-transit is protected</v>
      </c>
      <c r="J196" s="125" t="str">
        <f>VLOOKUP($B196,'Product-Requirement'!$B:$M,11,FALSE)</f>
        <v>Wireless</v>
      </c>
      <c r="K196" s="125" t="str">
        <f>VLOOKUP($B196,'Product-Requirement'!$B:$M,12,FALSE)</f>
        <v>Manufacturer</v>
      </c>
      <c r="L196" s="125" t="s">
        <v>5965</v>
      </c>
      <c r="M196" s="185"/>
      <c r="N196" s="185"/>
      <c r="O196" s="185"/>
      <c r="P196" s="185" t="s">
        <v>6198</v>
      </c>
      <c r="Q196" s="185"/>
      <c r="R196" s="185"/>
      <c r="S196" s="185"/>
      <c r="T196" s="185" t="s">
        <v>6920</v>
      </c>
      <c r="U196" s="187" t="s">
        <v>378</v>
      </c>
      <c r="V196" s="188" t="s">
        <v>379</v>
      </c>
      <c r="W196" s="188" t="s">
        <v>379</v>
      </c>
      <c r="X196" s="188" t="s">
        <v>379</v>
      </c>
      <c r="Y196" s="188" t="s">
        <v>379</v>
      </c>
      <c r="Z196" s="188" t="s">
        <v>379</v>
      </c>
      <c r="AA196" s="188" t="s">
        <v>379</v>
      </c>
      <c r="AB196" s="188" t="s">
        <v>379</v>
      </c>
      <c r="AC196" s="188" t="s">
        <v>379</v>
      </c>
      <c r="AD196" s="188" t="s">
        <v>379</v>
      </c>
    </row>
    <row r="197" spans="1:30" s="167" customFormat="1" ht="114.75">
      <c r="A197" s="181">
        <v>197</v>
      </c>
      <c r="B197" s="169" t="s">
        <v>4832</v>
      </c>
      <c r="C197" s="166" t="s">
        <v>6921</v>
      </c>
      <c r="D197" s="165" t="s">
        <v>6922</v>
      </c>
      <c r="E197" s="165"/>
      <c r="F197" s="171" t="s">
        <v>6923</v>
      </c>
      <c r="G197" s="125" t="str">
        <f>VLOOKUP($B197,'Product-Requirement'!$B:$M,8,FALSE)</f>
        <v>PROTECT</v>
      </c>
      <c r="H197" s="125" t="str">
        <f>VLOOKUP($B197,'Product-Requirement'!$B:$M,9,FALSE)</f>
        <v>Data_Security</v>
      </c>
      <c r="I197" s="125" t="str">
        <f>VLOOKUP($B197,'Product-Requirement'!$B:$M,10,FALSE)</f>
        <v>PR.DS-6: Integrity checking mechanisms are used to verify software, firmware, and information integrity</v>
      </c>
      <c r="J197" s="125" t="str">
        <f>VLOOKUP($B197,'Product-Requirement'!$B:$M,11,FALSE)</f>
        <v>System_Design</v>
      </c>
      <c r="K197" s="125" t="str">
        <f>VLOOKUP($B197,'Product-Requirement'!$B:$M,12,FALSE)</f>
        <v>Manufacturer</v>
      </c>
      <c r="L197" s="125" t="s">
        <v>5965</v>
      </c>
      <c r="M197" s="185"/>
      <c r="N197" s="185"/>
      <c r="O197" s="185"/>
      <c r="P197" s="185" t="s">
        <v>6924</v>
      </c>
      <c r="Q197" s="185"/>
      <c r="R197" s="185"/>
      <c r="S197" s="185"/>
      <c r="T197" s="185"/>
      <c r="U197" s="188" t="s">
        <v>379</v>
      </c>
      <c r="V197" s="188" t="s">
        <v>379</v>
      </c>
      <c r="W197" s="188" t="s">
        <v>379</v>
      </c>
      <c r="X197" s="188" t="s">
        <v>379</v>
      </c>
      <c r="Y197" s="188" t="s">
        <v>379</v>
      </c>
      <c r="Z197" s="188" t="s">
        <v>379</v>
      </c>
      <c r="AA197" s="188" t="s">
        <v>379</v>
      </c>
      <c r="AB197" s="188" t="s">
        <v>379</v>
      </c>
      <c r="AC197" s="188" t="s">
        <v>379</v>
      </c>
      <c r="AD197" s="188" t="s">
        <v>379</v>
      </c>
    </row>
    <row r="198" spans="1:30" s="167" customFormat="1" ht="114.75">
      <c r="A198" s="182">
        <v>198</v>
      </c>
      <c r="B198" s="169" t="s">
        <v>2314</v>
      </c>
      <c r="C198" s="166" t="s">
        <v>6925</v>
      </c>
      <c r="D198" s="165" t="s">
        <v>6926</v>
      </c>
      <c r="E198" s="165"/>
      <c r="F198" s="113" t="s">
        <v>6927</v>
      </c>
      <c r="G198" s="125" t="str">
        <f>VLOOKUP($B198,'Product-Requirement'!$B:$M,8,FALSE)</f>
        <v>PROTECT</v>
      </c>
      <c r="H198" s="125" t="str">
        <f>VLOOKUP($B198,'Product-Requirement'!$B:$M,9,FALSE)</f>
        <v>Data_Security</v>
      </c>
      <c r="I198" s="125" t="str">
        <f>VLOOKUP($B198,'Product-Requirement'!$B:$M,10,FALSE)</f>
        <v>PR.DS-6: Integrity checking mechanisms are used to verify software, firmware, and information integrity</v>
      </c>
      <c r="J198" s="125" t="str">
        <f>VLOOKUP($B198,'Product-Requirement'!$B:$M,11,FALSE)</f>
        <v>System_Design</v>
      </c>
      <c r="K198" s="125" t="str">
        <f>VLOOKUP($B198,'Product-Requirement'!$B:$M,12,FALSE)</f>
        <v>Manufacturer</v>
      </c>
      <c r="L198" s="125" t="s">
        <v>5965</v>
      </c>
      <c r="M198" s="185"/>
      <c r="N198" s="185"/>
      <c r="O198" s="185" t="s">
        <v>6928</v>
      </c>
      <c r="P198" s="185"/>
      <c r="Q198" s="185"/>
      <c r="R198" s="185"/>
      <c r="S198" s="185"/>
      <c r="T198" s="185" t="s">
        <v>6621</v>
      </c>
      <c r="U198" s="187" t="s">
        <v>378</v>
      </c>
      <c r="V198" s="187" t="s">
        <v>378</v>
      </c>
      <c r="W198" s="187" t="s">
        <v>378</v>
      </c>
      <c r="X198" s="187" t="s">
        <v>378</v>
      </c>
      <c r="Y198" s="187" t="s">
        <v>378</v>
      </c>
      <c r="Z198" s="187" t="s">
        <v>378</v>
      </c>
      <c r="AA198" s="187" t="s">
        <v>378</v>
      </c>
      <c r="AB198" s="187" t="s">
        <v>378</v>
      </c>
      <c r="AC198" s="187" t="s">
        <v>378</v>
      </c>
      <c r="AD198" s="187" t="s">
        <v>378</v>
      </c>
    </row>
    <row r="199" spans="1:30" s="167" customFormat="1" ht="191.25">
      <c r="A199" s="181">
        <v>199</v>
      </c>
      <c r="B199" s="169" t="s">
        <v>4789</v>
      </c>
      <c r="C199" s="166" t="s">
        <v>6929</v>
      </c>
      <c r="D199" s="165" t="s">
        <v>6930</v>
      </c>
      <c r="E199" s="165" t="s">
        <v>6931</v>
      </c>
      <c r="F199" s="171"/>
      <c r="G199" s="125" t="str">
        <f>VLOOKUP($B199,'Product-Requirement'!$B:$M,8,FALSE)</f>
        <v>PROTECT</v>
      </c>
      <c r="H199" s="125" t="str">
        <f>VLOOKUP($B199,'Product-Requirement'!$B:$M,9,FALSE)</f>
        <v>Information_Protection_Processes_and_Procedures</v>
      </c>
      <c r="I199" s="125" t="s">
        <v>761</v>
      </c>
      <c r="J199" s="125" t="str">
        <f>VLOOKUP($B199,'Product-Requirement'!$B:$M,11,FALSE)</f>
        <v>System_Design</v>
      </c>
      <c r="K199" s="125" t="str">
        <f>VLOOKUP($B199,'Product-Requirement'!$B:$M,12,FALSE)</f>
        <v>Manufacturer</v>
      </c>
      <c r="L199" s="125" t="s">
        <v>5965</v>
      </c>
      <c r="M199" s="185"/>
      <c r="N199" s="185"/>
      <c r="O199" s="185"/>
      <c r="P199" s="185" t="s">
        <v>6932</v>
      </c>
      <c r="Q199" s="185"/>
      <c r="R199" s="185"/>
      <c r="S199" s="185"/>
      <c r="T199" s="185"/>
      <c r="U199" s="188" t="s">
        <v>379</v>
      </c>
      <c r="V199" s="188" t="s">
        <v>379</v>
      </c>
      <c r="W199" s="188" t="s">
        <v>379</v>
      </c>
      <c r="X199" s="188" t="s">
        <v>379</v>
      </c>
      <c r="Y199" s="188" t="s">
        <v>379</v>
      </c>
      <c r="Z199" s="188" t="s">
        <v>379</v>
      </c>
      <c r="AA199" s="188" t="s">
        <v>379</v>
      </c>
      <c r="AB199" s="188" t="s">
        <v>379</v>
      </c>
      <c r="AC199" s="188" t="s">
        <v>379</v>
      </c>
      <c r="AD199" s="188" t="s">
        <v>379</v>
      </c>
    </row>
    <row r="200" spans="1:30" s="167" customFormat="1" ht="114.75">
      <c r="A200" s="182">
        <v>200</v>
      </c>
      <c r="B200" s="169" t="s">
        <v>4831</v>
      </c>
      <c r="C200" s="166" t="s">
        <v>6933</v>
      </c>
      <c r="D200" s="165" t="s">
        <v>6934</v>
      </c>
      <c r="E200" s="165"/>
      <c r="F200" s="171"/>
      <c r="G200" s="125" t="str">
        <f>VLOOKUP($B200,'Product-Requirement'!$B:$M,8,FALSE)</f>
        <v>PROTECT</v>
      </c>
      <c r="H200" s="125" t="str">
        <f>VLOOKUP($B200,'Product-Requirement'!$B:$M,9,FALSE)</f>
        <v>Information_Protection_Processes_and_Procedures</v>
      </c>
      <c r="I200" s="125" t="s">
        <v>761</v>
      </c>
      <c r="J200" s="125" t="str">
        <f>VLOOKUP($B200,'Product-Requirement'!$B:$M,11,FALSE)</f>
        <v>System_Design</v>
      </c>
      <c r="K200" s="125" t="str">
        <f>VLOOKUP($B200,'Product-Requirement'!$B:$M,12,FALSE)</f>
        <v>Manufacturer</v>
      </c>
      <c r="L200" s="125" t="s">
        <v>5965</v>
      </c>
      <c r="M200" s="185"/>
      <c r="N200" s="185"/>
      <c r="O200" s="185"/>
      <c r="P200" s="185" t="s">
        <v>6935</v>
      </c>
      <c r="Q200" s="185"/>
      <c r="R200" s="185"/>
      <c r="S200" s="185"/>
      <c r="T200" s="185"/>
      <c r="U200" s="188" t="s">
        <v>379</v>
      </c>
      <c r="V200" s="188" t="s">
        <v>379</v>
      </c>
      <c r="W200" s="188" t="s">
        <v>379</v>
      </c>
      <c r="X200" s="188" t="s">
        <v>379</v>
      </c>
      <c r="Y200" s="188" t="s">
        <v>379</v>
      </c>
      <c r="Z200" s="188" t="s">
        <v>379</v>
      </c>
      <c r="AA200" s="188" t="s">
        <v>379</v>
      </c>
      <c r="AB200" s="188" t="s">
        <v>379</v>
      </c>
      <c r="AC200" s="188" t="s">
        <v>379</v>
      </c>
      <c r="AD200" s="188" t="s">
        <v>379</v>
      </c>
    </row>
    <row r="201" spans="1:30" s="167" customFormat="1" ht="63.75">
      <c r="A201" s="181">
        <v>201</v>
      </c>
      <c r="B201" s="169" t="s">
        <v>4835</v>
      </c>
      <c r="C201" s="166" t="s">
        <v>6936</v>
      </c>
      <c r="D201" s="165" t="s">
        <v>6937</v>
      </c>
      <c r="E201" s="165"/>
      <c r="F201" s="171"/>
      <c r="G201" s="125" t="str">
        <f>VLOOKUP($B201,'Product-Requirement'!$B:$M,8,FALSE)</f>
        <v>PROTECT</v>
      </c>
      <c r="H201" s="125" t="str">
        <f>VLOOKUP($B201,'Product-Requirement'!$B:$M,9,FALSE)</f>
        <v>Information_Protection_Processes_and_Procedures</v>
      </c>
      <c r="I201" s="125" t="s">
        <v>761</v>
      </c>
      <c r="J201" s="125" t="str">
        <f>VLOOKUP($B201,'Product-Requirement'!$B:$M,11,FALSE)</f>
        <v>System_Design</v>
      </c>
      <c r="K201" s="125" t="str">
        <f>VLOOKUP($B201,'Product-Requirement'!$B:$M,12,FALSE)</f>
        <v>Manufacturer</v>
      </c>
      <c r="L201" s="125" t="s">
        <v>5965</v>
      </c>
      <c r="M201" s="185"/>
      <c r="N201" s="185"/>
      <c r="O201" s="185"/>
      <c r="P201" s="185" t="s">
        <v>6938</v>
      </c>
      <c r="Q201" s="185"/>
      <c r="R201" s="185"/>
      <c r="S201" s="185"/>
      <c r="T201" s="185"/>
      <c r="U201" s="188" t="s">
        <v>379</v>
      </c>
      <c r="V201" s="188" t="s">
        <v>379</v>
      </c>
      <c r="W201" s="188" t="s">
        <v>379</v>
      </c>
      <c r="X201" s="188" t="s">
        <v>379</v>
      </c>
      <c r="Y201" s="188" t="s">
        <v>379</v>
      </c>
      <c r="Z201" s="188" t="s">
        <v>379</v>
      </c>
      <c r="AA201" s="188" t="s">
        <v>379</v>
      </c>
      <c r="AB201" s="188" t="s">
        <v>379</v>
      </c>
      <c r="AC201" s="188" t="s">
        <v>379</v>
      </c>
      <c r="AD201" s="188" t="s">
        <v>379</v>
      </c>
    </row>
    <row r="202" spans="1:30" s="167" customFormat="1" ht="76.5">
      <c r="A202" s="182">
        <v>202</v>
      </c>
      <c r="B202" s="176" t="s">
        <v>4803</v>
      </c>
      <c r="C202" s="165" t="s">
        <v>6939</v>
      </c>
      <c r="D202" s="165" t="s">
        <v>6940</v>
      </c>
      <c r="E202" s="165"/>
      <c r="F202" s="171" t="s">
        <v>6941</v>
      </c>
      <c r="G202" s="125" t="str">
        <f>VLOOKUP($B202,'Product-Requirement'!$B:$M,8,FALSE)</f>
        <v>PROTECT</v>
      </c>
      <c r="H202" s="125" t="str">
        <f>VLOOKUP($B202,'Product-Requirement'!$B:$M,9,FALSE)</f>
        <v>Identity_Management_Authentication_and_Access_Control</v>
      </c>
      <c r="I202" s="125" t="str">
        <f>VLOOKUP($B202,'Product-Requirement'!$B:$M,10,FALSE)</f>
        <v>PR.AC-4: Access permissions and authorizations are managed, incorporating the principles of least privilege and separation of duties</v>
      </c>
      <c r="J202" s="125" t="str">
        <f>VLOOKUP($B202,'Product-Requirement'!$B:$M,11,FALSE)</f>
        <v>System_Design</v>
      </c>
      <c r="K202" s="125" t="str">
        <f>VLOOKUP($B202,'Product-Requirement'!$B:$M,12,FALSE)</f>
        <v>Manufacturer</v>
      </c>
      <c r="L202" s="125" t="s">
        <v>5965</v>
      </c>
      <c r="M202" s="185"/>
      <c r="N202" s="185"/>
      <c r="O202" s="185"/>
      <c r="P202" s="185" t="s">
        <v>6942</v>
      </c>
      <c r="Q202" s="185"/>
      <c r="R202" s="185"/>
      <c r="S202" s="185"/>
      <c r="T202" s="185"/>
      <c r="U202" s="188" t="s">
        <v>379</v>
      </c>
      <c r="V202" s="188" t="s">
        <v>379</v>
      </c>
      <c r="W202" s="188" t="s">
        <v>379</v>
      </c>
      <c r="X202" s="188" t="s">
        <v>379</v>
      </c>
      <c r="Y202" s="188" t="s">
        <v>379</v>
      </c>
      <c r="Z202" s="188" t="s">
        <v>379</v>
      </c>
      <c r="AA202" s="188" t="s">
        <v>379</v>
      </c>
      <c r="AB202" s="188" t="s">
        <v>379</v>
      </c>
      <c r="AC202" s="188" t="s">
        <v>379</v>
      </c>
      <c r="AD202" s="188" t="s">
        <v>379</v>
      </c>
    </row>
    <row r="203" spans="1:30" s="167" customFormat="1" ht="102">
      <c r="A203" s="181">
        <v>203</v>
      </c>
      <c r="B203" s="169" t="s">
        <v>2042</v>
      </c>
      <c r="C203" s="166" t="s">
        <v>6943</v>
      </c>
      <c r="D203" s="165" t="s">
        <v>6944</v>
      </c>
      <c r="E203" s="165"/>
      <c r="F203" s="113" t="s">
        <v>6945</v>
      </c>
      <c r="G203" s="125" t="str">
        <f>VLOOKUP($B203,'Product-Requirement'!$B:$M,8,FALSE)</f>
        <v>PROTECT</v>
      </c>
      <c r="H203" s="125" t="str">
        <f>VLOOKUP($B203,'Product-Requirement'!$B:$M,9,FALSE)</f>
        <v>Identity_Management_Authentication_and_Access_Control</v>
      </c>
      <c r="I203" s="125" t="str">
        <f>VLOOKUP($B203,'Product-Requirement'!$B:$M,10,FALSE)</f>
        <v>PR.AC-4: Access permissions and authorizations are managed, incorporating the principles of least privilege and separation of duties</v>
      </c>
      <c r="J203" s="125" t="str">
        <f>VLOOKUP($B203,'Product-Requirement'!$B:$M,11,FALSE)</f>
        <v>System_Design</v>
      </c>
      <c r="K203" s="125" t="str">
        <f>VLOOKUP($B203,'Product-Requirement'!$B:$M,12,FALSE)</f>
        <v>Manufacturer</v>
      </c>
      <c r="L203" s="125" t="s">
        <v>5965</v>
      </c>
      <c r="M203" s="185"/>
      <c r="N203" s="185"/>
      <c r="O203" s="185" t="s">
        <v>6946</v>
      </c>
      <c r="P203" s="185" t="s">
        <v>6947</v>
      </c>
      <c r="Q203" s="185" t="s">
        <v>6948</v>
      </c>
      <c r="R203" s="185"/>
      <c r="S203" s="185"/>
      <c r="T203" s="185"/>
      <c r="U203" s="187" t="s">
        <v>378</v>
      </c>
      <c r="V203" s="187" t="s">
        <v>378</v>
      </c>
      <c r="W203" s="187" t="s">
        <v>378</v>
      </c>
      <c r="X203" s="187" t="s">
        <v>378</v>
      </c>
      <c r="Y203" s="187" t="s">
        <v>378</v>
      </c>
      <c r="Z203" s="187" t="s">
        <v>378</v>
      </c>
      <c r="AA203" s="187" t="s">
        <v>378</v>
      </c>
      <c r="AB203" s="187" t="s">
        <v>378</v>
      </c>
      <c r="AC203" s="187" t="s">
        <v>378</v>
      </c>
      <c r="AD203" s="187" t="s">
        <v>378</v>
      </c>
    </row>
    <row r="204" spans="1:30" s="167" customFormat="1" ht="76.5">
      <c r="A204" s="182">
        <v>204</v>
      </c>
      <c r="B204" s="169" t="s">
        <v>4917</v>
      </c>
      <c r="C204" s="166" t="s">
        <v>6949</v>
      </c>
      <c r="D204" s="165" t="s">
        <v>6950</v>
      </c>
      <c r="E204" s="165"/>
      <c r="F204" s="171" t="s">
        <v>6951</v>
      </c>
      <c r="G204" s="125" t="str">
        <f>VLOOKUP($B204,'Product-Requirement'!$B:$M,8,FALSE)</f>
        <v>PROTECT</v>
      </c>
      <c r="H204" s="125" t="str">
        <f>VLOOKUP($B204,'Product-Requirement'!$B:$M,9,FALSE)</f>
        <v>Information_Protection_Processes_and_Procedures</v>
      </c>
      <c r="I204" s="125" t="str">
        <f>VLOOKUP($B204,'Product-Requirement'!$B:$M,10,FALSE)</f>
        <v>PR.IP-3: Configuration change control processes are in place</v>
      </c>
      <c r="J204" s="125" t="str">
        <f>VLOOKUP($B204,'Product-Requirement'!$B:$M,11,FALSE)</f>
        <v>Infrastructure&amp;Network</v>
      </c>
      <c r="K204" s="125" t="str">
        <f>VLOOKUP($B204,'Product-Requirement'!$B:$M,12,FALSE)</f>
        <v>Manufacturer</v>
      </c>
      <c r="L204" s="125" t="s">
        <v>5965</v>
      </c>
      <c r="M204" s="185"/>
      <c r="N204" s="185"/>
      <c r="O204" s="185"/>
      <c r="P204" s="185" t="s">
        <v>6952</v>
      </c>
      <c r="Q204" s="185"/>
      <c r="R204" s="185"/>
      <c r="S204" s="185"/>
      <c r="T204" s="185"/>
      <c r="U204" s="188" t="s">
        <v>379</v>
      </c>
      <c r="V204" s="188" t="s">
        <v>379</v>
      </c>
      <c r="W204" s="188" t="s">
        <v>379</v>
      </c>
      <c r="X204" s="188" t="s">
        <v>379</v>
      </c>
      <c r="Y204" s="188" t="s">
        <v>379</v>
      </c>
      <c r="Z204" s="188" t="s">
        <v>379</v>
      </c>
      <c r="AA204" s="188" t="s">
        <v>379</v>
      </c>
      <c r="AB204" s="188" t="s">
        <v>379</v>
      </c>
      <c r="AC204" s="188" t="s">
        <v>379</v>
      </c>
      <c r="AD204" s="188" t="s">
        <v>379</v>
      </c>
    </row>
    <row r="205" spans="1:30" s="167" customFormat="1" ht="127.5">
      <c r="A205" s="181">
        <v>205</v>
      </c>
      <c r="B205" s="169" t="s">
        <v>1485</v>
      </c>
      <c r="C205" s="166" t="s">
        <v>6953</v>
      </c>
      <c r="D205" s="165" t="s">
        <v>6954</v>
      </c>
      <c r="E205" s="165"/>
      <c r="F205" s="171" t="s">
        <v>6955</v>
      </c>
      <c r="G205" s="125" t="str">
        <f>VLOOKUP($B205,'Product-Requirement'!$B:$M,8,FALSE)</f>
        <v>PROTECT</v>
      </c>
      <c r="H205" s="125" t="str">
        <f>VLOOKUP($B205,'Product-Requirement'!$B:$M,9,FALSE)</f>
        <v>Information_Protection_Processes_and_Procedures</v>
      </c>
      <c r="I205" s="125" t="str">
        <f>VLOOKUP($B205,'Product-Requirement'!$B:$M,10,FALSE)</f>
        <v>PR.IP-3: Configuration change control processes are in place</v>
      </c>
      <c r="J205" s="125" t="str">
        <f>VLOOKUP($B205,'Product-Requirement'!$B:$M,11,FALSE)</f>
        <v>Infrastructure&amp;Network</v>
      </c>
      <c r="K205" s="125" t="str">
        <f>VLOOKUP($B205,'Product-Requirement'!$B:$M,12,FALSE)</f>
        <v>Manufacturer</v>
      </c>
      <c r="L205" s="125" t="s">
        <v>5965</v>
      </c>
      <c r="M205" s="185"/>
      <c r="N205" s="185"/>
      <c r="O205" s="185" t="s">
        <v>6956</v>
      </c>
      <c r="P205" s="185" t="s">
        <v>6957</v>
      </c>
      <c r="Q205" s="185"/>
      <c r="R205" s="185"/>
      <c r="S205" s="185" t="s">
        <v>6110</v>
      </c>
      <c r="T205" s="185"/>
      <c r="U205" s="187" t="s">
        <v>378</v>
      </c>
      <c r="V205" s="187" t="s">
        <v>378</v>
      </c>
      <c r="W205" s="187" t="s">
        <v>378</v>
      </c>
      <c r="X205" s="187" t="s">
        <v>378</v>
      </c>
      <c r="Y205" s="187" t="s">
        <v>378</v>
      </c>
      <c r="Z205" s="187" t="s">
        <v>378</v>
      </c>
      <c r="AA205" s="187" t="s">
        <v>378</v>
      </c>
      <c r="AB205" s="187" t="s">
        <v>378</v>
      </c>
      <c r="AC205" s="187" t="s">
        <v>378</v>
      </c>
      <c r="AD205" s="187" t="s">
        <v>378</v>
      </c>
    </row>
    <row r="206" spans="1:30" s="167" customFormat="1" ht="267.75">
      <c r="A206" s="182">
        <v>206</v>
      </c>
      <c r="B206" s="169" t="s">
        <v>1617</v>
      </c>
      <c r="C206" s="166" t="s">
        <v>6958</v>
      </c>
      <c r="D206" s="165" t="s">
        <v>6959</v>
      </c>
      <c r="E206" s="165"/>
      <c r="F206" s="174"/>
      <c r="G206" s="125" t="str">
        <f>VLOOKUP($B206,'Product-Requirement'!$B:$M,8,FALSE)</f>
        <v>PROTECT</v>
      </c>
      <c r="H206" s="125" t="str">
        <f>VLOOKUP($B206,'Product-Requirement'!$B:$M,9,FALSE)</f>
        <v>Protective_Technology</v>
      </c>
      <c r="I206" s="125" t="str">
        <f>VLOOKUP($B206,'Product-Requirement'!$B:$M,10,FALSE)</f>
        <v>PR.PT-5: Mechanisms (e.g., failsafe, load balancing, hot swap) are implemented to achieve resilience requirements in normal and adverse situations</v>
      </c>
      <c r="J206" s="125" t="str">
        <f>VLOOKUP($B206,'Product-Requirement'!$B:$M,11,FALSE)</f>
        <v>System_Design</v>
      </c>
      <c r="K206" s="125" t="str">
        <f>VLOOKUP($B206,'Product-Requirement'!$B:$M,12,FALSE)</f>
        <v>Manufacturer</v>
      </c>
      <c r="L206" s="125" t="s">
        <v>6100</v>
      </c>
      <c r="M206" s="185"/>
      <c r="N206" s="185"/>
      <c r="O206" s="185" t="s">
        <v>6960</v>
      </c>
      <c r="P206" s="185" t="s">
        <v>6961</v>
      </c>
      <c r="Q206" s="185"/>
      <c r="R206" s="185"/>
      <c r="S206" s="185" t="s">
        <v>6110</v>
      </c>
      <c r="T206" s="185" t="s">
        <v>6962</v>
      </c>
      <c r="U206" s="187" t="s">
        <v>378</v>
      </c>
      <c r="V206" s="187" t="s">
        <v>378</v>
      </c>
      <c r="W206" s="187" t="s">
        <v>378</v>
      </c>
      <c r="X206" s="187" t="s">
        <v>378</v>
      </c>
      <c r="Y206" s="187" t="s">
        <v>378</v>
      </c>
      <c r="Z206" s="187" t="s">
        <v>378</v>
      </c>
      <c r="AA206" s="187" t="s">
        <v>378</v>
      </c>
      <c r="AB206" s="187" t="s">
        <v>378</v>
      </c>
      <c r="AC206" s="187" t="s">
        <v>378</v>
      </c>
      <c r="AD206" s="187" t="s">
        <v>378</v>
      </c>
    </row>
    <row r="207" spans="1:30" s="167" customFormat="1" ht="63.75">
      <c r="A207" s="181">
        <v>207</v>
      </c>
      <c r="B207" s="176" t="s">
        <v>1436</v>
      </c>
      <c r="C207" s="166" t="s">
        <v>6963</v>
      </c>
      <c r="D207" s="165" t="s">
        <v>6964</v>
      </c>
      <c r="E207" s="165"/>
      <c r="F207" s="171" t="s">
        <v>6965</v>
      </c>
      <c r="G207" s="125" t="str">
        <f>VLOOKUP($B207,'Product-Requirement'!$B:$M,8,FALSE)</f>
        <v>PROTECT</v>
      </c>
      <c r="H207" s="125" t="str">
        <f>VLOOKUP($B207,'Product-Requirement'!$B:$M,9,FALSE)</f>
        <v>Identity_Management_Authentication_and_Access_Control</v>
      </c>
      <c r="I207" s="125" t="str">
        <f>VLOOKUP($B207,'Product-Requirement'!$B:$M,10,FALSE)</f>
        <v>PR.AC-2: Physical access to assets is managed and protected</v>
      </c>
      <c r="J207" s="125" t="str">
        <f>VLOOKUP($B207,'Product-Requirement'!$B:$M,11,FALSE)</f>
        <v>System_Design</v>
      </c>
      <c r="K207" s="125" t="str">
        <f>VLOOKUP($B207,'Product-Requirement'!$B:$M,12,FALSE)</f>
        <v>Manufacturer</v>
      </c>
      <c r="L207" s="125" t="s">
        <v>6100</v>
      </c>
      <c r="M207" s="185"/>
      <c r="N207" s="185"/>
      <c r="O207" s="185"/>
      <c r="P207" s="185" t="s">
        <v>6966</v>
      </c>
      <c r="Q207" s="185"/>
      <c r="R207" s="185"/>
      <c r="S207" s="185" t="s">
        <v>6110</v>
      </c>
      <c r="T207" s="185" t="s">
        <v>6967</v>
      </c>
      <c r="U207" s="187" t="s">
        <v>378</v>
      </c>
      <c r="V207" s="187" t="s">
        <v>378</v>
      </c>
      <c r="W207" s="187" t="s">
        <v>378</v>
      </c>
      <c r="X207" s="187" t="s">
        <v>378</v>
      </c>
      <c r="Y207" s="187" t="s">
        <v>378</v>
      </c>
      <c r="Z207" s="187" t="s">
        <v>378</v>
      </c>
      <c r="AA207" s="187" t="s">
        <v>378</v>
      </c>
      <c r="AB207" s="187" t="s">
        <v>378</v>
      </c>
      <c r="AC207" s="187" t="s">
        <v>378</v>
      </c>
      <c r="AD207" s="187" t="s">
        <v>378</v>
      </c>
    </row>
    <row r="208" spans="1:30" s="167" customFormat="1" ht="216.75">
      <c r="A208" s="182">
        <v>208</v>
      </c>
      <c r="B208" s="169" t="s">
        <v>4807</v>
      </c>
      <c r="C208" s="166" t="s">
        <v>6968</v>
      </c>
      <c r="D208" s="165" t="s">
        <v>6969</v>
      </c>
      <c r="E208" s="165"/>
      <c r="F208" s="171" t="s">
        <v>6970</v>
      </c>
      <c r="G208" s="125" t="str">
        <f>VLOOKUP($B208,'Product-Requirement'!$B:$M,8,FALSE)</f>
        <v>PROTECT</v>
      </c>
      <c r="H208" s="125" t="str">
        <f>VLOOKUP($B208,'Product-Requirement'!$B:$M,9,FALSE)</f>
        <v>Information_Protection_Processes_and_Procedures</v>
      </c>
      <c r="I208" s="125" t="str">
        <f>VLOOKUP($B208,'Product-Requirement'!$B:$M,10,FALSE)</f>
        <v>PR.IP-12: A vulnerability management plan is developed and implemented</v>
      </c>
      <c r="J208" s="125" t="str">
        <f>VLOOKUP($B208,'Product-Requirement'!$B:$M,11,FALSE)</f>
        <v>Infrastructure&amp;Network</v>
      </c>
      <c r="K208" s="125" t="str">
        <f>VLOOKUP($B208,'Product-Requirement'!$B:$M,12,FALSE)</f>
        <v>Manufacturer</v>
      </c>
      <c r="L208" s="125" t="s">
        <v>5965</v>
      </c>
      <c r="M208" s="185"/>
      <c r="N208" s="185"/>
      <c r="O208" s="185"/>
      <c r="P208" s="185" t="s">
        <v>6971</v>
      </c>
      <c r="Q208" s="185"/>
      <c r="R208" s="185"/>
      <c r="S208" s="185"/>
      <c r="T208" s="185"/>
      <c r="U208" s="188" t="s">
        <v>379</v>
      </c>
      <c r="V208" s="188" t="s">
        <v>379</v>
      </c>
      <c r="W208" s="188" t="s">
        <v>379</v>
      </c>
      <c r="X208" s="188" t="s">
        <v>379</v>
      </c>
      <c r="Y208" s="188" t="s">
        <v>379</v>
      </c>
      <c r="Z208" s="188" t="s">
        <v>379</v>
      </c>
      <c r="AA208" s="188" t="s">
        <v>379</v>
      </c>
      <c r="AB208" s="188" t="s">
        <v>379</v>
      </c>
      <c r="AC208" s="188" t="s">
        <v>379</v>
      </c>
      <c r="AD208" s="188" t="s">
        <v>379</v>
      </c>
    </row>
    <row r="209" spans="1:30" s="167" customFormat="1" ht="293.25">
      <c r="A209" s="181">
        <v>209</v>
      </c>
      <c r="B209" s="166" t="s">
        <v>2632</v>
      </c>
      <c r="C209" s="166" t="s">
        <v>6972</v>
      </c>
      <c r="D209" s="165" t="s">
        <v>6973</v>
      </c>
      <c r="E209" s="165"/>
      <c r="F209" s="171" t="s">
        <v>6974</v>
      </c>
      <c r="G209" s="125" t="str">
        <f>VLOOKUP($B209,'Product-Requirement'!$B:$M,8,FALSE)</f>
        <v>PROTECT</v>
      </c>
      <c r="H209" s="125" t="str">
        <f>VLOOKUP($B209,'Product-Requirement'!$B:$M,9,FALSE)</f>
        <v>Information_Protection_Processes_and_Procedures</v>
      </c>
      <c r="I209" s="125" t="str">
        <f>VLOOKUP($B209,'Product-Requirement'!$B:$M,10,FALSE)</f>
        <v>PR.IP-12: A vulnerability management plan is developed and implemented</v>
      </c>
      <c r="J209" s="125" t="str">
        <f>VLOOKUP($B209,'Product-Requirement'!$B:$M,11,FALSE)</f>
        <v>Infrastructure&amp;Network</v>
      </c>
      <c r="K209" s="125" t="str">
        <f>VLOOKUP($B209,'Product-Requirement'!$B:$M,12,FALSE)</f>
        <v>Manufacturer</v>
      </c>
      <c r="L209" s="125" t="s">
        <v>5965</v>
      </c>
      <c r="M209" s="185"/>
      <c r="N209" s="185" t="s">
        <v>6975</v>
      </c>
      <c r="O209" s="185" t="s">
        <v>6976</v>
      </c>
      <c r="P209" s="185"/>
      <c r="Q209" s="185" t="s">
        <v>6977</v>
      </c>
      <c r="R209" s="185"/>
      <c r="S209" s="185" t="s">
        <v>6110</v>
      </c>
      <c r="T209" s="185" t="s">
        <v>6978</v>
      </c>
      <c r="U209" s="187" t="s">
        <v>378</v>
      </c>
      <c r="V209" s="187" t="s">
        <v>378</v>
      </c>
      <c r="W209" s="187" t="s">
        <v>378</v>
      </c>
      <c r="X209" s="187" t="s">
        <v>378</v>
      </c>
      <c r="Y209" s="187" t="s">
        <v>378</v>
      </c>
      <c r="Z209" s="187" t="s">
        <v>378</v>
      </c>
      <c r="AA209" s="187" t="s">
        <v>378</v>
      </c>
      <c r="AB209" s="187" t="s">
        <v>378</v>
      </c>
      <c r="AC209" s="187" t="s">
        <v>378</v>
      </c>
      <c r="AD209" s="187" t="s">
        <v>378</v>
      </c>
    </row>
    <row r="210" spans="1:30" s="167" customFormat="1" ht="76.5">
      <c r="A210" s="182">
        <v>210</v>
      </c>
      <c r="B210" s="176" t="s">
        <v>2375</v>
      </c>
      <c r="C210" s="165" t="s">
        <v>6979</v>
      </c>
      <c r="D210" s="165" t="s">
        <v>6980</v>
      </c>
      <c r="E210" s="165"/>
      <c r="F210" s="171"/>
      <c r="G210" s="125" t="str">
        <f>VLOOKUP($B210,'Product-Requirement'!$B:$M,8,FALSE)</f>
        <v>PROTECT</v>
      </c>
      <c r="H210" s="125" t="str">
        <f>VLOOKUP($B210,'Product-Requirement'!$B:$M,9,FALSE)</f>
        <v>Information_Protection_Processes_and_Procedures</v>
      </c>
      <c r="I210" s="125" t="s">
        <v>761</v>
      </c>
      <c r="J210" s="125" t="str">
        <f>VLOOKUP($B210,'Product-Requirement'!$B:$M,11,FALSE)</f>
        <v>Cloud</v>
      </c>
      <c r="K210" s="125" t="str">
        <f>VLOOKUP($B210,'Product-Requirement'!$B:$M,12,FALSE)</f>
        <v>Third Party(e.g:Vendor, Supplier, Contractor, Sub-Contractor etc.)</v>
      </c>
      <c r="L210" s="125" t="s">
        <v>5965</v>
      </c>
      <c r="M210" s="185"/>
      <c r="N210" s="185"/>
      <c r="O210" s="185"/>
      <c r="P210" s="185"/>
      <c r="Q210" s="185"/>
      <c r="R210" s="185"/>
      <c r="S210" s="185"/>
      <c r="T210" s="185" t="s">
        <v>6981</v>
      </c>
      <c r="U210" s="188" t="s">
        <v>379</v>
      </c>
      <c r="V210" s="188" t="s">
        <v>379</v>
      </c>
      <c r="W210" s="188" t="s">
        <v>379</v>
      </c>
      <c r="X210" s="188" t="s">
        <v>379</v>
      </c>
      <c r="Y210" s="188" t="s">
        <v>379</v>
      </c>
      <c r="Z210" s="187" t="s">
        <v>378</v>
      </c>
      <c r="AA210" s="188" t="s">
        <v>379</v>
      </c>
      <c r="AB210" s="188" t="s">
        <v>379</v>
      </c>
      <c r="AC210" s="188" t="s">
        <v>379</v>
      </c>
      <c r="AD210" s="188" t="s">
        <v>379</v>
      </c>
    </row>
    <row r="211" spans="1:30" s="167" customFormat="1" ht="51">
      <c r="A211" s="181">
        <v>211</v>
      </c>
      <c r="B211" s="169" t="s">
        <v>5059</v>
      </c>
      <c r="C211" s="166" t="s">
        <v>6982</v>
      </c>
      <c r="D211" s="165" t="s">
        <v>6983</v>
      </c>
      <c r="E211" s="165"/>
      <c r="F211" s="113" t="s">
        <v>6984</v>
      </c>
      <c r="G211" s="125" t="str">
        <f>VLOOKUP($B211,'Product-Requirement'!$B:$M,8,FALSE)</f>
        <v>PROTECT</v>
      </c>
      <c r="H211" s="125" t="str">
        <f>VLOOKUP($B211,'Product-Requirement'!$B:$M,9,FALSE)</f>
        <v>Protective_Technology</v>
      </c>
      <c r="I211" s="125" t="str">
        <f>VLOOKUP($B211,'Product-Requirement'!$B:$M,10,FALSE)</f>
        <v>PR.PT-4: Communications and control networks are protected</v>
      </c>
      <c r="J211" s="125" t="str">
        <f>VLOOKUP($B211,'Product-Requirement'!$B:$M,11,FALSE)</f>
        <v>System_Design</v>
      </c>
      <c r="K211" s="125" t="str">
        <f>VLOOKUP($B211,'Product-Requirement'!$B:$M,12,FALSE)</f>
        <v>Manufacturer</v>
      </c>
      <c r="L211" s="125" t="s">
        <v>5965</v>
      </c>
      <c r="M211" s="185"/>
      <c r="N211" s="185"/>
      <c r="O211" s="185"/>
      <c r="P211" s="185"/>
      <c r="Q211" s="185" t="s">
        <v>6985</v>
      </c>
      <c r="R211" s="185" t="s">
        <v>6986</v>
      </c>
      <c r="S211" s="185"/>
      <c r="T211" s="185"/>
      <c r="U211" s="187" t="s">
        <v>378</v>
      </c>
      <c r="V211" s="187" t="s">
        <v>378</v>
      </c>
      <c r="W211" s="187" t="s">
        <v>378</v>
      </c>
      <c r="X211" s="187" t="s">
        <v>378</v>
      </c>
      <c r="Y211" s="187" t="s">
        <v>378</v>
      </c>
      <c r="Z211" s="187" t="s">
        <v>378</v>
      </c>
      <c r="AA211" s="187" t="s">
        <v>378</v>
      </c>
      <c r="AB211" s="187" t="s">
        <v>378</v>
      </c>
      <c r="AC211" s="187" t="s">
        <v>378</v>
      </c>
      <c r="AD211" s="187" t="s">
        <v>378</v>
      </c>
    </row>
    <row r="212" spans="1:30" s="167" customFormat="1" ht="51">
      <c r="A212" s="182">
        <v>212</v>
      </c>
      <c r="B212" s="169" t="s">
        <v>4994</v>
      </c>
      <c r="C212" s="113" t="s">
        <v>6987</v>
      </c>
      <c r="D212" s="165" t="s">
        <v>6988</v>
      </c>
      <c r="E212" s="165"/>
      <c r="F212" s="113" t="s">
        <v>6989</v>
      </c>
      <c r="G212" s="125" t="str">
        <f>VLOOKUP($B212,'Product-Requirement'!$B:$M,8,FALSE)</f>
        <v>PROTECT</v>
      </c>
      <c r="H212" s="125" t="str">
        <f>VLOOKUP($B212,'Product-Requirement'!$B:$M,9,FALSE)</f>
        <v>Identity_Management_Authentication_and_Access_Control</v>
      </c>
      <c r="I212" s="125" t="str">
        <f>VLOOKUP($B212,'Product-Requirement'!$B:$M,10,FALSE)</f>
        <v>PR.AC-5: Network integrity is protected (e.g., network segregation, network segmentation)</v>
      </c>
      <c r="J212" s="125" t="str">
        <f>VLOOKUP($B212,'Product-Requirement'!$B:$M,11,FALSE)</f>
        <v>Infrastructure&amp;Network</v>
      </c>
      <c r="K212" s="125" t="str">
        <f>VLOOKUP($B212,'Product-Requirement'!$B:$M,12,FALSE)</f>
        <v>Manufacturer</v>
      </c>
      <c r="L212" s="125" t="s">
        <v>5965</v>
      </c>
      <c r="M212" s="185"/>
      <c r="N212" s="185"/>
      <c r="O212" s="185"/>
      <c r="P212" s="185" t="s">
        <v>6990</v>
      </c>
      <c r="Q212" s="185"/>
      <c r="R212" s="185"/>
      <c r="S212" s="185"/>
      <c r="T212" s="185"/>
      <c r="U212" s="188" t="s">
        <v>379</v>
      </c>
      <c r="V212" s="188" t="s">
        <v>379</v>
      </c>
      <c r="W212" s="188" t="s">
        <v>379</v>
      </c>
      <c r="X212" s="188" t="s">
        <v>379</v>
      </c>
      <c r="Y212" s="188" t="s">
        <v>379</v>
      </c>
      <c r="Z212" s="188" t="s">
        <v>379</v>
      </c>
      <c r="AA212" s="188" t="s">
        <v>379</v>
      </c>
      <c r="AB212" s="188" t="s">
        <v>379</v>
      </c>
      <c r="AC212" s="188" t="s">
        <v>379</v>
      </c>
      <c r="AD212" s="188" t="s">
        <v>379</v>
      </c>
    </row>
    <row r="213" spans="1:30" s="167" customFormat="1" ht="63.75">
      <c r="A213" s="181">
        <v>213</v>
      </c>
      <c r="B213" s="169" t="s">
        <v>744</v>
      </c>
      <c r="C213" s="166" t="s">
        <v>6991</v>
      </c>
      <c r="D213" s="165" t="s">
        <v>6992</v>
      </c>
      <c r="E213" s="165" t="s">
        <v>6993</v>
      </c>
      <c r="F213" s="107"/>
      <c r="G213" s="125" t="str">
        <f>VLOOKUP($B213,'Product-Requirement'!$B:$M,8,FALSE)</f>
        <v>PROTECT</v>
      </c>
      <c r="H213" s="125" t="str">
        <f>VLOOKUP($B213,'Product-Requirement'!$B:$M,9,FALSE)</f>
        <v>Identity_Management_Authentication_and_Access_Control</v>
      </c>
      <c r="I213" s="125" t="str">
        <f>VLOOKUP($B213,'Product-Requirement'!$B:$M,10,FALSE)</f>
        <v>PR.AC-4: Access permissions and authorizations are managed, incorporating the principles of least privilege and separation of duties</v>
      </c>
      <c r="J213" s="125" t="str">
        <f>VLOOKUP($B213,'Product-Requirement'!$B:$M,11,FALSE)</f>
        <v>Wireless</v>
      </c>
      <c r="K213" s="125" t="str">
        <f>VLOOKUP($B213,'Product-Requirement'!$B:$M,12,FALSE)</f>
        <v>Manufacturer</v>
      </c>
      <c r="L213" s="125" t="s">
        <v>5965</v>
      </c>
      <c r="M213" s="185"/>
      <c r="N213" s="185"/>
      <c r="O213" s="185"/>
      <c r="P213" s="185" t="s">
        <v>6994</v>
      </c>
      <c r="Q213" s="185"/>
      <c r="R213" s="185"/>
      <c r="S213" s="185"/>
      <c r="T213" s="185"/>
      <c r="U213" s="187" t="s">
        <v>378</v>
      </c>
      <c r="V213" s="187" t="s">
        <v>378</v>
      </c>
      <c r="W213" s="187" t="s">
        <v>378</v>
      </c>
      <c r="X213" s="188" t="s">
        <v>379</v>
      </c>
      <c r="Y213" s="188" t="s">
        <v>379</v>
      </c>
      <c r="Z213" s="188" t="s">
        <v>379</v>
      </c>
      <c r="AA213" s="188" t="s">
        <v>379</v>
      </c>
      <c r="AB213" s="188" t="s">
        <v>379</v>
      </c>
      <c r="AC213" s="188" t="s">
        <v>379</v>
      </c>
      <c r="AD213" s="188" t="s">
        <v>379</v>
      </c>
    </row>
    <row r="214" spans="1:30" s="167" customFormat="1" ht="153">
      <c r="A214" s="182">
        <v>214</v>
      </c>
      <c r="B214" s="169" t="s">
        <v>5249</v>
      </c>
      <c r="C214" s="113" t="s">
        <v>6995</v>
      </c>
      <c r="D214" s="165" t="s">
        <v>6996</v>
      </c>
      <c r="E214" s="165"/>
      <c r="F214" s="113" t="s">
        <v>6997</v>
      </c>
      <c r="G214" s="125" t="str">
        <f>VLOOKUP($B214,'Product-Requirement'!$B:$M,8,FALSE)</f>
        <v>PROTECT</v>
      </c>
      <c r="H214" s="125" t="str">
        <f>VLOOKUP($B214,'Product-Requirement'!$B:$M,9,FALSE)</f>
        <v>Identity_Management_Authentication_and_Access_Control</v>
      </c>
      <c r="I214" s="125" t="str">
        <f>VLOOKUP($B214,'Product-Requirement'!$B:$M,10,FALSE)</f>
        <v>PR.AC-4: Access permissions and authorizations are managed, incorporating the principles of least privilege and separation of duties</v>
      </c>
      <c r="J214" s="125" t="str">
        <f>VLOOKUP($B214,'Product-Requirement'!$B:$M,11,FALSE)</f>
        <v>System_Design</v>
      </c>
      <c r="K214" s="125" t="str">
        <f>VLOOKUP($B214,'Product-Requirement'!$B:$M,12,FALSE)</f>
        <v>Manufacturer</v>
      </c>
      <c r="L214" s="125" t="s">
        <v>5965</v>
      </c>
      <c r="M214" s="185"/>
      <c r="N214" s="185"/>
      <c r="O214" s="185"/>
      <c r="P214" s="185" t="s">
        <v>6998</v>
      </c>
      <c r="Q214" s="185"/>
      <c r="R214" s="185"/>
      <c r="S214" s="185"/>
      <c r="T214" s="185"/>
      <c r="U214" s="188" t="s">
        <v>379</v>
      </c>
      <c r="V214" s="188" t="s">
        <v>379</v>
      </c>
      <c r="W214" s="188" t="s">
        <v>379</v>
      </c>
      <c r="X214" s="188" t="s">
        <v>379</v>
      </c>
      <c r="Y214" s="188" t="s">
        <v>379</v>
      </c>
      <c r="Z214" s="188" t="s">
        <v>379</v>
      </c>
      <c r="AA214" s="188" t="s">
        <v>379</v>
      </c>
      <c r="AB214" s="188" t="s">
        <v>379</v>
      </c>
      <c r="AC214" s="188" t="s">
        <v>379</v>
      </c>
      <c r="AD214" s="188" t="s">
        <v>379</v>
      </c>
    </row>
    <row r="215" spans="1:30" s="167" customFormat="1" ht="63.75">
      <c r="A215" s="181">
        <v>215</v>
      </c>
      <c r="B215" s="169" t="s">
        <v>4529</v>
      </c>
      <c r="C215" s="166" t="s">
        <v>6999</v>
      </c>
      <c r="D215" s="165" t="s">
        <v>7000</v>
      </c>
      <c r="E215" s="165"/>
      <c r="F215" s="113" t="s">
        <v>7001</v>
      </c>
      <c r="G215" s="125" t="str">
        <f>VLOOKUP($B215,'Product-Requirement'!$B:$M,8,FALSE)</f>
        <v>PROTECT</v>
      </c>
      <c r="H215" s="125" t="str">
        <f>VLOOKUP($B215,'Product-Requirement'!$B:$M,9,FALSE)</f>
        <v>Data_Security</v>
      </c>
      <c r="I215" s="125" t="str">
        <f>VLOOKUP($B215,'Product-Requirement'!$B:$M,10,FALSE)</f>
        <v>PR.DS-6: Integrity checking mechanisms are used to verify software, firmware, and information integrity</v>
      </c>
      <c r="J215" s="125" t="str">
        <f>VLOOKUP($B215,'Product-Requirement'!$B:$M,11,FALSE)</f>
        <v>Wireless</v>
      </c>
      <c r="K215" s="125" t="str">
        <f>VLOOKUP($B215,'Product-Requirement'!$B:$M,12,FALSE)</f>
        <v>Manufacturer</v>
      </c>
      <c r="L215" s="125" t="s">
        <v>5965</v>
      </c>
      <c r="M215" s="185"/>
      <c r="N215" s="185"/>
      <c r="O215" s="185"/>
      <c r="P215" s="185" t="s">
        <v>7002</v>
      </c>
      <c r="Q215" s="185"/>
      <c r="R215" s="185"/>
      <c r="S215" s="185"/>
      <c r="T215" s="185" t="s">
        <v>7003</v>
      </c>
      <c r="U215" s="188" t="s">
        <v>379</v>
      </c>
      <c r="V215" s="188" t="s">
        <v>379</v>
      </c>
      <c r="W215" s="188" t="s">
        <v>379</v>
      </c>
      <c r="X215" s="188" t="s">
        <v>379</v>
      </c>
      <c r="Y215" s="188" t="s">
        <v>379</v>
      </c>
      <c r="Z215" s="188" t="s">
        <v>379</v>
      </c>
      <c r="AA215" s="188" t="s">
        <v>379</v>
      </c>
      <c r="AB215" s="188" t="s">
        <v>379</v>
      </c>
      <c r="AC215" s="188" t="s">
        <v>379</v>
      </c>
      <c r="AD215" s="188" t="s">
        <v>379</v>
      </c>
    </row>
    <row r="216" spans="1:30" s="167" customFormat="1" ht="63.75">
      <c r="A216" s="182">
        <v>216</v>
      </c>
      <c r="B216" s="169" t="s">
        <v>4522</v>
      </c>
      <c r="C216" s="166" t="s">
        <v>7004</v>
      </c>
      <c r="D216" s="165" t="s">
        <v>7005</v>
      </c>
      <c r="E216" s="165"/>
      <c r="F216" s="113" t="s">
        <v>7006</v>
      </c>
      <c r="G216" s="125" t="str">
        <f>VLOOKUP($B216,'Product-Requirement'!$B:$M,8,FALSE)</f>
        <v>IDENTIFY</v>
      </c>
      <c r="H216" s="125" t="str">
        <f>VLOOKUP($B216,'Product-Requirement'!$B:$M,9,FALSE)</f>
        <v>Asset_Management</v>
      </c>
      <c r="I216" s="125" t="str">
        <f>VLOOKUP($B216,'Product-Requirement'!$B:$M,10,FALSE)</f>
        <v>ID.AM-2: Software platforms and applications within the organization are inventoried</v>
      </c>
      <c r="J216" s="125" t="str">
        <f>VLOOKUP($B216,'Product-Requirement'!$B:$M,11,FALSE)</f>
        <v>Wireless</v>
      </c>
      <c r="K216" s="125" t="str">
        <f>VLOOKUP($B216,'Product-Requirement'!$B:$M,12,FALSE)</f>
        <v>Manufacturer</v>
      </c>
      <c r="L216" s="125" t="s">
        <v>5965</v>
      </c>
      <c r="M216" s="185"/>
      <c r="N216" s="185"/>
      <c r="O216" s="185"/>
      <c r="P216" s="185" t="s">
        <v>6365</v>
      </c>
      <c r="Q216" s="185"/>
      <c r="R216" s="185"/>
      <c r="S216" s="185"/>
      <c r="T216" s="185"/>
      <c r="U216" s="188" t="s">
        <v>379</v>
      </c>
      <c r="V216" s="188" t="s">
        <v>379</v>
      </c>
      <c r="W216" s="188" t="s">
        <v>379</v>
      </c>
      <c r="X216" s="188" t="s">
        <v>379</v>
      </c>
      <c r="Y216" s="188" t="s">
        <v>379</v>
      </c>
      <c r="Z216" s="188" t="s">
        <v>379</v>
      </c>
      <c r="AA216" s="188" t="s">
        <v>379</v>
      </c>
      <c r="AB216" s="188" t="s">
        <v>379</v>
      </c>
      <c r="AC216" s="188" t="s">
        <v>379</v>
      </c>
      <c r="AD216" s="188" t="s">
        <v>379</v>
      </c>
    </row>
    <row r="217" spans="1:30" s="167" customFormat="1" ht="178.5">
      <c r="A217" s="181">
        <v>217</v>
      </c>
      <c r="B217" s="169" t="s">
        <v>2708</v>
      </c>
      <c r="C217" s="113" t="s">
        <v>7007</v>
      </c>
      <c r="D217" s="165" t="s">
        <v>7008</v>
      </c>
      <c r="E217" s="165" t="s">
        <v>7009</v>
      </c>
      <c r="F217" s="84" t="s">
        <v>7010</v>
      </c>
      <c r="G217" s="125" t="str">
        <f>VLOOKUP($B217,'Product-Requirement'!$B:$M,8,FALSE)</f>
        <v>PROTECT</v>
      </c>
      <c r="H217" s="125" t="str">
        <f>VLOOKUP($B217,'Product-Requirement'!$B:$M,9,FALSE)</f>
        <v>Identity_Management_Authentication_and_Access_Control</v>
      </c>
      <c r="I217" s="125" t="str">
        <f>VLOOKUP($B217,'Product-Requirement'!$B:$M,10,FALSE)</f>
        <v>PR.AC-7: Users, devices, and other assets are authenticated (e.g., single-factor, multi-factor) commensurate with the risk of the transaction (e.g., individuals’ security and privacy risks and other organizational risks)</v>
      </c>
      <c r="J217" s="125" t="str">
        <f>VLOOKUP($B217,'Product-Requirement'!$B:$M,11,FALSE)</f>
        <v>Wireless</v>
      </c>
      <c r="K217" s="125" t="str">
        <f>VLOOKUP($B217,'Product-Requirement'!$B:$M,12,FALSE)</f>
        <v>Manufacturer</v>
      </c>
      <c r="L217" s="125" t="s">
        <v>5965</v>
      </c>
      <c r="M217" s="185"/>
      <c r="N217" s="185"/>
      <c r="O217" s="185"/>
      <c r="P217" s="185" t="s">
        <v>7011</v>
      </c>
      <c r="Q217" s="185"/>
      <c r="R217" s="185"/>
      <c r="S217" s="185"/>
      <c r="T217" s="185" t="s">
        <v>7012</v>
      </c>
      <c r="U217" s="187" t="s">
        <v>378</v>
      </c>
      <c r="V217" s="188" t="s">
        <v>379</v>
      </c>
      <c r="W217" s="188" t="s">
        <v>379</v>
      </c>
      <c r="X217" s="188" t="s">
        <v>379</v>
      </c>
      <c r="Y217" s="188" t="s">
        <v>379</v>
      </c>
      <c r="Z217" s="188" t="s">
        <v>379</v>
      </c>
      <c r="AA217" s="188" t="s">
        <v>379</v>
      </c>
      <c r="AB217" s="188" t="s">
        <v>379</v>
      </c>
      <c r="AC217" s="188" t="s">
        <v>379</v>
      </c>
      <c r="AD217" s="188" t="s">
        <v>379</v>
      </c>
    </row>
    <row r="218" spans="1:30" s="167" customFormat="1" ht="51">
      <c r="A218" s="182">
        <v>218</v>
      </c>
      <c r="B218" s="169" t="s">
        <v>751</v>
      </c>
      <c r="C218" s="113" t="s">
        <v>7013</v>
      </c>
      <c r="D218" s="165" t="s">
        <v>7014</v>
      </c>
      <c r="E218" s="165" t="s">
        <v>7015</v>
      </c>
      <c r="F218" s="84"/>
      <c r="G218" s="125" t="str">
        <f>VLOOKUP($B218,'Product-Requirement'!$B:$M,8,FALSE)</f>
        <v>PROTECT</v>
      </c>
      <c r="H218" s="125" t="str">
        <f>VLOOKUP($B218,'Product-Requirement'!$B:$M,9,FALSE)</f>
        <v>Data_Security</v>
      </c>
      <c r="I218" s="125" t="str">
        <f>VLOOKUP($B218,'Product-Requirement'!$B:$M,10,FALSE)</f>
        <v>PR.DS-6: Integrity checking mechanisms are used to verify software, firmware, and information integrity</v>
      </c>
      <c r="J218" s="125" t="str">
        <f>VLOOKUP($B218,'Product-Requirement'!$B:$M,11,FALSE)</f>
        <v>Wireless</v>
      </c>
      <c r="K218" s="125" t="str">
        <f>VLOOKUP($B218,'Product-Requirement'!$B:$M,12,FALSE)</f>
        <v>Manufacturer</v>
      </c>
      <c r="L218" s="125" t="s">
        <v>5965</v>
      </c>
      <c r="M218" s="185"/>
      <c r="N218" s="185"/>
      <c r="O218" s="185"/>
      <c r="P218" s="185" t="s">
        <v>7016</v>
      </c>
      <c r="Q218" s="185" t="s">
        <v>7017</v>
      </c>
      <c r="R218" s="185"/>
      <c r="S218" s="185"/>
      <c r="T218" s="185"/>
      <c r="U218" s="187" t="s">
        <v>378</v>
      </c>
      <c r="V218" s="187" t="s">
        <v>378</v>
      </c>
      <c r="W218" s="187" t="s">
        <v>378</v>
      </c>
      <c r="X218" s="187" t="s">
        <v>378</v>
      </c>
      <c r="Y218" s="187" t="s">
        <v>378</v>
      </c>
      <c r="Z218" s="187" t="s">
        <v>378</v>
      </c>
      <c r="AA218" s="187" t="s">
        <v>378</v>
      </c>
      <c r="AB218" s="187" t="s">
        <v>378</v>
      </c>
      <c r="AC218" s="187" t="s">
        <v>378</v>
      </c>
      <c r="AD218" s="187" t="s">
        <v>378</v>
      </c>
    </row>
    <row r="219" spans="1:30" s="167" customFormat="1" ht="76.5">
      <c r="A219" s="182">
        <v>220</v>
      </c>
      <c r="B219" s="169" t="s">
        <v>2728</v>
      </c>
      <c r="C219" s="113" t="s">
        <v>7018</v>
      </c>
      <c r="D219" s="165" t="s">
        <v>7019</v>
      </c>
      <c r="E219" s="165"/>
      <c r="F219" s="89"/>
      <c r="G219" s="125" t="str">
        <f>VLOOKUP($B219,'Product-Requirement'!$B:$M,8,FALSE)</f>
        <v>PROTECT</v>
      </c>
      <c r="H219" s="132" t="str">
        <f>VLOOKUP($B219,'Product-Requirement'!$B:$M,9,FALSE)</f>
        <v>Identity_Management_Authentication_and_Access_Control</v>
      </c>
      <c r="I219" s="125" t="str">
        <f>VLOOKUP($B219,'Product-Requirement'!$B:$M,10,FALSE)</f>
        <v>PR.AC-7: Users, devices, and other assets are authenticated (e.g., single-factor, multi-factor) commensurate with the risk of the transaction (e.g., individuals’ security and privacy risks and other organizational risks)</v>
      </c>
      <c r="J219" s="125" t="str">
        <f>VLOOKUP($B219,'Product-Requirement'!$B:$M,11,FALSE)</f>
        <v>Wireless</v>
      </c>
      <c r="K219" s="125" t="str">
        <f>VLOOKUP($B219,'Product-Requirement'!$B:$M,12,FALSE)</f>
        <v>Manufacturer</v>
      </c>
      <c r="L219" s="125" t="s">
        <v>5965</v>
      </c>
      <c r="M219" s="185"/>
      <c r="N219" s="185"/>
      <c r="O219" s="185"/>
      <c r="P219" s="185"/>
      <c r="Q219" s="185"/>
      <c r="R219" s="185"/>
      <c r="S219" s="185"/>
      <c r="T219" s="185" t="s">
        <v>6361</v>
      </c>
      <c r="U219" s="187" t="s">
        <v>378</v>
      </c>
      <c r="V219" s="188" t="s">
        <v>379</v>
      </c>
      <c r="W219" s="188" t="s">
        <v>379</v>
      </c>
      <c r="X219" s="188" t="s">
        <v>379</v>
      </c>
      <c r="Y219" s="188" t="s">
        <v>379</v>
      </c>
      <c r="Z219" s="188" t="s">
        <v>379</v>
      </c>
      <c r="AA219" s="188" t="s">
        <v>379</v>
      </c>
      <c r="AB219" s="188" t="s">
        <v>379</v>
      </c>
      <c r="AC219" s="188" t="s">
        <v>379</v>
      </c>
      <c r="AD219" s="188" t="s">
        <v>379</v>
      </c>
    </row>
    <row r="220" spans="1:30">
      <c r="H220" s="127"/>
    </row>
    <row r="221" spans="1:30">
      <c r="H221" s="127"/>
    </row>
    <row r="222" spans="1:30">
      <c r="H222" s="127"/>
    </row>
    <row r="223" spans="1:30">
      <c r="H223" s="127"/>
    </row>
    <row r="224" spans="1:30">
      <c r="H224" s="127"/>
    </row>
    <row r="225" spans="3:12">
      <c r="H225" s="127"/>
    </row>
    <row r="226" spans="3:12">
      <c r="C226" s="120"/>
      <c r="D226" s="120"/>
      <c r="E226" s="120"/>
      <c r="F226" s="134"/>
      <c r="H226" s="127"/>
      <c r="I226" s="120"/>
      <c r="J226" s="120"/>
      <c r="K226" s="120"/>
      <c r="L226" s="120"/>
    </row>
    <row r="227" spans="3:12">
      <c r="C227" s="120"/>
      <c r="D227" s="120"/>
      <c r="E227" s="120"/>
      <c r="F227" s="134"/>
      <c r="H227" s="127"/>
      <c r="I227" s="120"/>
      <c r="J227" s="120"/>
      <c r="K227" s="120"/>
      <c r="L227" s="120"/>
    </row>
    <row r="228" spans="3:12">
      <c r="C228" s="120"/>
      <c r="D228" s="120"/>
      <c r="E228" s="120"/>
      <c r="F228" s="134"/>
      <c r="H228" s="127"/>
      <c r="I228" s="120"/>
      <c r="J228" s="120"/>
      <c r="K228" s="120"/>
      <c r="L228" s="120"/>
    </row>
    <row r="229" spans="3:12">
      <c r="C229" s="120"/>
      <c r="D229" s="120"/>
      <c r="E229" s="120"/>
      <c r="F229" s="134"/>
      <c r="H229" s="127"/>
      <c r="I229" s="120"/>
      <c r="J229" s="120"/>
      <c r="K229" s="120"/>
      <c r="L229" s="120"/>
    </row>
    <row r="230" spans="3:12">
      <c r="C230" s="120"/>
      <c r="D230" s="120"/>
      <c r="E230" s="120"/>
      <c r="F230" s="134"/>
      <c r="H230" s="127"/>
      <c r="I230" s="120"/>
      <c r="J230" s="120"/>
      <c r="K230" s="120"/>
      <c r="L230" s="120"/>
    </row>
    <row r="231" spans="3:12">
      <c r="C231" s="120"/>
      <c r="D231" s="120"/>
      <c r="E231" s="120"/>
      <c r="F231" s="134"/>
      <c r="H231" s="127"/>
      <c r="I231" s="120"/>
      <c r="J231" s="120"/>
      <c r="K231" s="120"/>
      <c r="L231" s="120"/>
    </row>
    <row r="232" spans="3:12">
      <c r="C232" s="120"/>
      <c r="D232" s="120"/>
      <c r="E232" s="120"/>
      <c r="F232" s="134"/>
      <c r="H232" s="127"/>
      <c r="I232" s="120"/>
      <c r="J232" s="120"/>
      <c r="K232" s="120"/>
      <c r="L232" s="120"/>
    </row>
    <row r="233" spans="3:12">
      <c r="C233" s="120"/>
      <c r="D233" s="120"/>
      <c r="E233" s="120"/>
      <c r="F233" s="134"/>
      <c r="H233" s="127"/>
      <c r="I233" s="120"/>
      <c r="J233" s="120"/>
      <c r="K233" s="120"/>
      <c r="L233" s="120"/>
    </row>
    <row r="234" spans="3:12">
      <c r="C234" s="120"/>
      <c r="D234" s="120"/>
      <c r="E234" s="120"/>
      <c r="F234" s="134"/>
      <c r="H234" s="127"/>
      <c r="I234" s="120"/>
      <c r="J234" s="120"/>
      <c r="K234" s="120"/>
      <c r="L234" s="120"/>
    </row>
    <row r="235" spans="3:12">
      <c r="C235" s="120"/>
      <c r="D235" s="120"/>
      <c r="E235" s="120"/>
      <c r="F235" s="134"/>
      <c r="H235" s="127"/>
      <c r="I235" s="120"/>
      <c r="J235" s="120"/>
      <c r="K235" s="120"/>
      <c r="L235" s="120"/>
    </row>
    <row r="236" spans="3:12">
      <c r="C236" s="120"/>
      <c r="D236" s="120"/>
      <c r="E236" s="120"/>
      <c r="F236" s="134"/>
      <c r="H236" s="127"/>
      <c r="I236" s="120"/>
      <c r="J236" s="120"/>
      <c r="K236" s="120"/>
      <c r="L236" s="120"/>
    </row>
    <row r="237" spans="3:12">
      <c r="C237" s="120"/>
      <c r="D237" s="120"/>
      <c r="E237" s="120"/>
      <c r="F237" s="134"/>
      <c r="H237" s="127"/>
      <c r="I237" s="120"/>
      <c r="J237" s="120"/>
      <c r="K237" s="120"/>
      <c r="L237" s="120"/>
    </row>
    <row r="238" spans="3:12">
      <c r="C238" s="120"/>
      <c r="D238" s="120"/>
      <c r="E238" s="120"/>
      <c r="F238" s="134"/>
      <c r="H238" s="127"/>
      <c r="I238" s="120"/>
      <c r="J238" s="120"/>
      <c r="K238" s="120"/>
      <c r="L238" s="120"/>
    </row>
    <row r="239" spans="3:12">
      <c r="C239" s="120"/>
      <c r="D239" s="120"/>
      <c r="E239" s="120"/>
      <c r="F239" s="134"/>
      <c r="H239" s="127"/>
      <c r="I239" s="120"/>
      <c r="J239" s="120"/>
      <c r="K239" s="120"/>
      <c r="L239" s="120"/>
    </row>
    <row r="240" spans="3:12">
      <c r="C240" s="120"/>
      <c r="D240" s="120"/>
      <c r="E240" s="120"/>
      <c r="F240" s="134"/>
      <c r="H240" s="127"/>
      <c r="I240" s="120"/>
      <c r="J240" s="120"/>
      <c r="K240" s="120"/>
      <c r="L240" s="120"/>
    </row>
    <row r="241" spans="3:12">
      <c r="C241" s="120"/>
      <c r="D241" s="120"/>
      <c r="E241" s="120"/>
      <c r="F241" s="134"/>
      <c r="H241" s="127"/>
      <c r="I241" s="120"/>
      <c r="J241" s="120"/>
      <c r="K241" s="120"/>
      <c r="L241" s="120"/>
    </row>
    <row r="242" spans="3:12">
      <c r="C242" s="120"/>
      <c r="D242" s="120"/>
      <c r="E242" s="120"/>
      <c r="F242" s="134"/>
      <c r="H242" s="127"/>
      <c r="I242" s="120"/>
      <c r="J242" s="120"/>
      <c r="K242" s="120"/>
      <c r="L242" s="120"/>
    </row>
    <row r="243" spans="3:12">
      <c r="C243" s="120"/>
      <c r="D243" s="120"/>
      <c r="E243" s="120"/>
      <c r="F243" s="134"/>
      <c r="H243" s="127"/>
      <c r="I243" s="120"/>
      <c r="J243" s="120"/>
      <c r="K243" s="120"/>
      <c r="L243" s="120"/>
    </row>
    <row r="244" spans="3:12">
      <c r="C244" s="120"/>
      <c r="D244" s="120"/>
      <c r="E244" s="120"/>
      <c r="F244" s="134"/>
      <c r="H244" s="127"/>
      <c r="I244" s="120"/>
      <c r="J244" s="120"/>
      <c r="K244" s="120"/>
      <c r="L244" s="120"/>
    </row>
    <row r="245" spans="3:12">
      <c r="C245" s="120"/>
      <c r="D245" s="120"/>
      <c r="E245" s="120"/>
      <c r="F245" s="134"/>
      <c r="H245" s="127"/>
      <c r="I245" s="120"/>
      <c r="J245" s="120"/>
      <c r="K245" s="120"/>
      <c r="L245" s="120"/>
    </row>
    <row r="246" spans="3:12">
      <c r="C246" s="120"/>
      <c r="D246" s="120"/>
      <c r="E246" s="120"/>
      <c r="F246" s="134"/>
      <c r="H246" s="127"/>
      <c r="I246" s="120"/>
      <c r="J246" s="120"/>
      <c r="K246" s="120"/>
      <c r="L246" s="120"/>
    </row>
    <row r="247" spans="3:12">
      <c r="C247" s="120"/>
      <c r="D247" s="120"/>
      <c r="E247" s="120"/>
      <c r="F247" s="134"/>
      <c r="H247" s="127"/>
      <c r="I247" s="120"/>
      <c r="J247" s="120"/>
      <c r="K247" s="120"/>
      <c r="L247" s="120"/>
    </row>
    <row r="248" spans="3:12">
      <c r="C248" s="120"/>
      <c r="D248" s="120"/>
      <c r="E248" s="120"/>
      <c r="F248" s="134"/>
      <c r="H248" s="127"/>
      <c r="I248" s="120"/>
      <c r="J248" s="120"/>
      <c r="K248" s="120"/>
      <c r="L248" s="120"/>
    </row>
    <row r="249" spans="3:12">
      <c r="C249" s="120"/>
      <c r="D249" s="120"/>
      <c r="E249" s="120"/>
      <c r="F249" s="134"/>
      <c r="H249" s="127"/>
      <c r="I249" s="120"/>
      <c r="J249" s="120"/>
      <c r="K249" s="120"/>
      <c r="L249" s="120"/>
    </row>
    <row r="250" spans="3:12">
      <c r="C250" s="120"/>
      <c r="D250" s="120"/>
      <c r="E250" s="120"/>
      <c r="F250" s="134"/>
      <c r="H250" s="127"/>
      <c r="I250" s="120"/>
      <c r="J250" s="120"/>
      <c r="K250" s="120"/>
      <c r="L250" s="120"/>
    </row>
    <row r="251" spans="3:12">
      <c r="C251" s="120"/>
      <c r="D251" s="120"/>
      <c r="E251" s="120"/>
      <c r="F251" s="134"/>
      <c r="H251" s="127"/>
      <c r="I251" s="120"/>
      <c r="J251" s="120"/>
      <c r="K251" s="120"/>
      <c r="L251" s="120"/>
    </row>
    <row r="252" spans="3:12">
      <c r="C252" s="120"/>
      <c r="D252" s="120"/>
      <c r="E252" s="120"/>
      <c r="F252" s="134"/>
      <c r="H252" s="127"/>
      <c r="I252" s="120"/>
      <c r="J252" s="120"/>
      <c r="K252" s="120"/>
      <c r="L252" s="120"/>
    </row>
    <row r="253" spans="3:12">
      <c r="C253" s="120"/>
      <c r="D253" s="120"/>
      <c r="E253" s="120"/>
      <c r="F253" s="134"/>
      <c r="H253" s="127"/>
      <c r="I253" s="120"/>
      <c r="J253" s="120"/>
      <c r="K253" s="120"/>
      <c r="L253" s="120"/>
    </row>
    <row r="254" spans="3:12">
      <c r="C254" s="120"/>
      <c r="D254" s="120"/>
      <c r="E254" s="120"/>
      <c r="F254" s="134"/>
      <c r="H254" s="127"/>
      <c r="I254" s="120"/>
      <c r="J254" s="120"/>
      <c r="K254" s="120"/>
      <c r="L254" s="120"/>
    </row>
    <row r="255" spans="3:12">
      <c r="C255" s="120"/>
      <c r="D255" s="120"/>
      <c r="E255" s="120"/>
      <c r="F255" s="134"/>
      <c r="H255" s="127"/>
      <c r="I255" s="120"/>
      <c r="J255" s="120"/>
      <c r="K255" s="120"/>
      <c r="L255" s="120"/>
    </row>
    <row r="256" spans="3:12">
      <c r="C256" s="120"/>
      <c r="D256" s="120"/>
      <c r="E256" s="120"/>
      <c r="F256" s="134"/>
      <c r="H256" s="127"/>
      <c r="I256" s="120"/>
      <c r="J256" s="120"/>
      <c r="K256" s="120"/>
      <c r="L256" s="120"/>
    </row>
    <row r="257" spans="3:12">
      <c r="C257" s="120"/>
      <c r="D257" s="120"/>
      <c r="E257" s="120"/>
      <c r="F257" s="134"/>
      <c r="H257" s="127"/>
      <c r="I257" s="120"/>
      <c r="J257" s="120"/>
      <c r="K257" s="120"/>
      <c r="L257" s="120"/>
    </row>
    <row r="258" spans="3:12">
      <c r="C258" s="120"/>
      <c r="D258" s="120"/>
      <c r="E258" s="120"/>
      <c r="F258" s="134"/>
      <c r="H258" s="127"/>
      <c r="I258" s="120"/>
      <c r="J258" s="120"/>
      <c r="K258" s="120"/>
      <c r="L258" s="120"/>
    </row>
    <row r="259" spans="3:12">
      <c r="C259" s="120"/>
      <c r="D259" s="120"/>
      <c r="E259" s="120"/>
      <c r="F259" s="134"/>
      <c r="H259" s="127"/>
      <c r="I259" s="120"/>
      <c r="J259" s="120"/>
      <c r="K259" s="120"/>
      <c r="L259" s="120"/>
    </row>
    <row r="260" spans="3:12">
      <c r="C260" s="120"/>
      <c r="D260" s="120"/>
      <c r="E260" s="120"/>
      <c r="F260" s="134"/>
      <c r="H260" s="127"/>
      <c r="I260" s="120"/>
      <c r="J260" s="120"/>
      <c r="K260" s="120"/>
      <c r="L260" s="120"/>
    </row>
    <row r="261" spans="3:12">
      <c r="C261" s="120"/>
      <c r="D261" s="120"/>
      <c r="E261" s="120"/>
      <c r="F261" s="134"/>
      <c r="H261" s="127"/>
      <c r="I261" s="120"/>
      <c r="J261" s="120"/>
      <c r="K261" s="120"/>
      <c r="L261" s="120"/>
    </row>
    <row r="262" spans="3:12">
      <c r="C262" s="120"/>
      <c r="D262" s="120"/>
      <c r="E262" s="120"/>
      <c r="F262" s="134"/>
      <c r="H262" s="127"/>
      <c r="I262" s="120"/>
      <c r="J262" s="120"/>
      <c r="K262" s="120"/>
      <c r="L262" s="120"/>
    </row>
    <row r="263" spans="3:12">
      <c r="C263" s="120"/>
      <c r="D263" s="120"/>
      <c r="E263" s="120"/>
      <c r="F263" s="134"/>
      <c r="H263" s="127"/>
      <c r="I263" s="120"/>
      <c r="J263" s="120"/>
      <c r="K263" s="120"/>
      <c r="L263" s="120"/>
    </row>
    <row r="264" spans="3:12">
      <c r="C264" s="120"/>
      <c r="D264" s="120"/>
      <c r="E264" s="120"/>
      <c r="F264" s="134"/>
      <c r="H264" s="127"/>
      <c r="I264" s="120"/>
      <c r="J264" s="120"/>
      <c r="K264" s="120"/>
      <c r="L264" s="120"/>
    </row>
    <row r="265" spans="3:12">
      <c r="C265" s="120"/>
      <c r="D265" s="120"/>
      <c r="E265" s="120"/>
      <c r="F265" s="134"/>
      <c r="H265" s="127"/>
      <c r="I265" s="120"/>
      <c r="J265" s="120"/>
      <c r="K265" s="120"/>
      <c r="L265" s="120"/>
    </row>
    <row r="266" spans="3:12">
      <c r="C266" s="120"/>
      <c r="D266" s="120"/>
      <c r="E266" s="120"/>
      <c r="F266" s="134"/>
      <c r="H266" s="127"/>
      <c r="I266" s="120"/>
      <c r="J266" s="120"/>
      <c r="K266" s="120"/>
      <c r="L266" s="120"/>
    </row>
    <row r="267" spans="3:12">
      <c r="C267" s="120"/>
      <c r="D267" s="120"/>
      <c r="E267" s="120"/>
      <c r="F267" s="134"/>
      <c r="H267" s="127"/>
      <c r="I267" s="120"/>
      <c r="J267" s="120"/>
      <c r="K267" s="120"/>
      <c r="L267" s="120"/>
    </row>
    <row r="268" spans="3:12">
      <c r="C268" s="120"/>
      <c r="D268" s="120"/>
      <c r="E268" s="120"/>
      <c r="F268" s="134"/>
      <c r="H268" s="127"/>
      <c r="I268" s="120"/>
      <c r="J268" s="120"/>
      <c r="K268" s="120"/>
      <c r="L268" s="120"/>
    </row>
    <row r="269" spans="3:12">
      <c r="C269" s="120"/>
      <c r="D269" s="120"/>
      <c r="E269" s="120"/>
      <c r="F269" s="134"/>
      <c r="H269" s="127"/>
      <c r="I269" s="120"/>
      <c r="J269" s="120"/>
      <c r="K269" s="120"/>
      <c r="L269" s="120"/>
    </row>
    <row r="270" spans="3:12">
      <c r="C270" s="120"/>
      <c r="D270" s="120"/>
      <c r="E270" s="120"/>
      <c r="F270" s="134"/>
      <c r="H270" s="127"/>
      <c r="I270" s="120"/>
      <c r="J270" s="120"/>
      <c r="K270" s="120"/>
      <c r="L270" s="120"/>
    </row>
    <row r="271" spans="3:12">
      <c r="C271" s="120"/>
      <c r="D271" s="120"/>
      <c r="E271" s="120"/>
      <c r="F271" s="134"/>
      <c r="H271" s="127"/>
      <c r="I271" s="120"/>
      <c r="J271" s="120"/>
      <c r="K271" s="120"/>
      <c r="L271" s="120"/>
    </row>
    <row r="272" spans="3:12">
      <c r="C272" s="120"/>
      <c r="D272" s="120"/>
      <c r="E272" s="120"/>
      <c r="F272" s="134"/>
      <c r="H272" s="127"/>
      <c r="I272" s="120"/>
      <c r="J272" s="120"/>
      <c r="K272" s="120"/>
      <c r="L272" s="120"/>
    </row>
    <row r="273" spans="3:12">
      <c r="C273" s="120"/>
      <c r="D273" s="120"/>
      <c r="E273" s="120"/>
      <c r="F273" s="134"/>
      <c r="H273" s="127"/>
      <c r="I273" s="120"/>
      <c r="J273" s="120"/>
      <c r="K273" s="120"/>
      <c r="L273" s="120"/>
    </row>
    <row r="274" spans="3:12">
      <c r="C274" s="120"/>
      <c r="D274" s="120"/>
      <c r="E274" s="120"/>
      <c r="F274" s="134"/>
      <c r="H274" s="127"/>
      <c r="I274" s="120"/>
      <c r="J274" s="120"/>
      <c r="K274" s="120"/>
      <c r="L274" s="120"/>
    </row>
    <row r="275" spans="3:12">
      <c r="C275" s="120"/>
      <c r="D275" s="120"/>
      <c r="E275" s="120"/>
      <c r="F275" s="134"/>
      <c r="H275" s="127"/>
      <c r="I275" s="120"/>
      <c r="J275" s="120"/>
      <c r="K275" s="120"/>
      <c r="L275" s="120"/>
    </row>
    <row r="276" spans="3:12">
      <c r="C276" s="120"/>
      <c r="D276" s="120"/>
      <c r="E276" s="120"/>
      <c r="F276" s="134"/>
      <c r="H276" s="127"/>
      <c r="I276" s="120"/>
      <c r="J276" s="120"/>
      <c r="K276" s="120"/>
      <c r="L276" s="120"/>
    </row>
    <row r="277" spans="3:12">
      <c r="C277" s="120"/>
      <c r="D277" s="120"/>
      <c r="E277" s="120"/>
      <c r="F277" s="134"/>
      <c r="H277" s="127"/>
      <c r="I277" s="120"/>
      <c r="J277" s="120"/>
      <c r="K277" s="120"/>
      <c r="L277" s="120"/>
    </row>
    <row r="278" spans="3:12">
      <c r="C278" s="120"/>
      <c r="D278" s="120"/>
      <c r="E278" s="120"/>
      <c r="F278" s="134"/>
      <c r="H278" s="127"/>
      <c r="I278" s="120"/>
      <c r="J278" s="120"/>
      <c r="K278" s="120"/>
      <c r="L278" s="120"/>
    </row>
    <row r="279" spans="3:12">
      <c r="C279" s="120"/>
      <c r="D279" s="120"/>
      <c r="E279" s="120"/>
      <c r="F279" s="134"/>
      <c r="H279" s="127"/>
      <c r="I279" s="120"/>
      <c r="J279" s="120"/>
      <c r="K279" s="120"/>
      <c r="L279" s="120"/>
    </row>
    <row r="280" spans="3:12">
      <c r="C280" s="120"/>
      <c r="D280" s="120"/>
      <c r="E280" s="120"/>
      <c r="F280" s="134"/>
      <c r="H280" s="127"/>
      <c r="I280" s="120"/>
      <c r="J280" s="120"/>
      <c r="K280" s="120"/>
      <c r="L280" s="120"/>
    </row>
    <row r="281" spans="3:12">
      <c r="C281" s="120"/>
      <c r="D281" s="120"/>
      <c r="E281" s="120"/>
      <c r="F281" s="134"/>
      <c r="H281" s="127"/>
      <c r="I281" s="120"/>
      <c r="J281" s="120"/>
      <c r="K281" s="120"/>
      <c r="L281" s="120"/>
    </row>
    <row r="282" spans="3:12">
      <c r="C282" s="120"/>
      <c r="D282" s="120"/>
      <c r="E282" s="120"/>
      <c r="F282" s="134"/>
      <c r="H282" s="127"/>
      <c r="I282" s="120"/>
      <c r="J282" s="120"/>
      <c r="K282" s="120"/>
      <c r="L282" s="120"/>
    </row>
    <row r="283" spans="3:12">
      <c r="C283" s="120"/>
      <c r="D283" s="120"/>
      <c r="E283" s="120"/>
      <c r="F283" s="134"/>
      <c r="H283" s="127"/>
      <c r="I283" s="120"/>
      <c r="J283" s="120"/>
      <c r="K283" s="120"/>
      <c r="L283" s="120"/>
    </row>
    <row r="284" spans="3:12">
      <c r="C284" s="120"/>
      <c r="D284" s="120"/>
      <c r="E284" s="120"/>
      <c r="F284" s="134"/>
      <c r="H284" s="127"/>
      <c r="I284" s="120"/>
      <c r="J284" s="120"/>
      <c r="K284" s="120"/>
      <c r="L284" s="120"/>
    </row>
    <row r="285" spans="3:12">
      <c r="C285" s="120"/>
      <c r="D285" s="120"/>
      <c r="E285" s="120"/>
      <c r="F285" s="134"/>
      <c r="H285" s="127"/>
      <c r="I285" s="120"/>
      <c r="J285" s="120"/>
      <c r="K285" s="120"/>
      <c r="L285" s="120"/>
    </row>
    <row r="286" spans="3:12">
      <c r="C286" s="120"/>
      <c r="D286" s="120"/>
      <c r="E286" s="120"/>
      <c r="F286" s="134"/>
      <c r="H286" s="127"/>
      <c r="I286" s="120"/>
      <c r="J286" s="120"/>
      <c r="K286" s="120"/>
      <c r="L286" s="120"/>
    </row>
    <row r="287" spans="3:12">
      <c r="C287" s="120"/>
      <c r="D287" s="120"/>
      <c r="E287" s="120"/>
      <c r="F287" s="134"/>
      <c r="H287" s="127"/>
      <c r="I287" s="120"/>
      <c r="J287" s="120"/>
      <c r="K287" s="120"/>
      <c r="L287" s="120"/>
    </row>
    <row r="288" spans="3:12">
      <c r="C288" s="120"/>
      <c r="D288" s="120"/>
      <c r="E288" s="120"/>
      <c r="F288" s="134"/>
      <c r="H288" s="127"/>
      <c r="I288" s="120"/>
      <c r="J288" s="120"/>
      <c r="K288" s="120"/>
      <c r="L288" s="120"/>
    </row>
    <row r="289" spans="3:12">
      <c r="C289" s="120"/>
      <c r="D289" s="120"/>
      <c r="E289" s="120"/>
      <c r="F289" s="134"/>
      <c r="H289" s="127"/>
      <c r="I289" s="120"/>
      <c r="J289" s="120"/>
      <c r="K289" s="120"/>
      <c r="L289" s="120"/>
    </row>
    <row r="290" spans="3:12">
      <c r="C290" s="120"/>
      <c r="D290" s="120"/>
      <c r="E290" s="120"/>
      <c r="F290" s="134"/>
      <c r="H290" s="127"/>
      <c r="I290" s="120"/>
      <c r="J290" s="120"/>
      <c r="K290" s="120"/>
      <c r="L290" s="120"/>
    </row>
    <row r="291" spans="3:12">
      <c r="C291" s="120"/>
      <c r="D291" s="120"/>
      <c r="E291" s="120"/>
      <c r="F291" s="134"/>
      <c r="H291" s="127"/>
      <c r="I291" s="120"/>
      <c r="J291" s="120"/>
      <c r="K291" s="120"/>
      <c r="L291" s="120"/>
    </row>
    <row r="292" spans="3:12">
      <c r="C292" s="120"/>
      <c r="D292" s="120"/>
      <c r="E292" s="120"/>
      <c r="F292" s="134"/>
      <c r="H292" s="127"/>
      <c r="I292" s="120"/>
      <c r="J292" s="120"/>
      <c r="K292" s="120"/>
      <c r="L292" s="120"/>
    </row>
    <row r="293" spans="3:12">
      <c r="C293" s="120"/>
      <c r="D293" s="120"/>
      <c r="E293" s="120"/>
      <c r="F293" s="134"/>
      <c r="H293" s="127"/>
      <c r="I293" s="120"/>
      <c r="J293" s="120"/>
      <c r="K293" s="120"/>
      <c r="L293" s="120"/>
    </row>
    <row r="294" spans="3:12">
      <c r="C294" s="120"/>
      <c r="D294" s="120"/>
      <c r="E294" s="120"/>
      <c r="F294" s="134"/>
      <c r="H294" s="127"/>
      <c r="I294" s="120"/>
      <c r="J294" s="120"/>
      <c r="K294" s="120"/>
      <c r="L294" s="120"/>
    </row>
    <row r="295" spans="3:12">
      <c r="C295" s="120"/>
      <c r="D295" s="120"/>
      <c r="E295" s="120"/>
      <c r="F295" s="134"/>
      <c r="H295" s="127"/>
      <c r="I295" s="120"/>
      <c r="J295" s="120"/>
      <c r="K295" s="120"/>
      <c r="L295" s="120"/>
    </row>
    <row r="296" spans="3:12">
      <c r="C296" s="120"/>
      <c r="D296" s="120"/>
      <c r="E296" s="120"/>
      <c r="F296" s="134"/>
      <c r="H296" s="127"/>
      <c r="I296" s="120"/>
      <c r="J296" s="120"/>
      <c r="K296" s="120"/>
      <c r="L296" s="120"/>
    </row>
    <row r="297" spans="3:12">
      <c r="C297" s="120"/>
      <c r="D297" s="120"/>
      <c r="E297" s="120"/>
      <c r="F297" s="134"/>
      <c r="H297" s="127"/>
      <c r="I297" s="120"/>
      <c r="J297" s="120"/>
      <c r="K297" s="120"/>
      <c r="L297" s="120"/>
    </row>
    <row r="298" spans="3:12">
      <c r="C298" s="120"/>
      <c r="D298" s="120"/>
      <c r="E298" s="120"/>
      <c r="F298" s="134"/>
      <c r="H298" s="127"/>
      <c r="I298" s="120"/>
      <c r="J298" s="120"/>
      <c r="K298" s="120"/>
      <c r="L298" s="120"/>
    </row>
    <row r="299" spans="3:12">
      <c r="C299" s="120"/>
      <c r="D299" s="120"/>
      <c r="E299" s="120"/>
      <c r="F299" s="134"/>
      <c r="H299" s="127"/>
      <c r="I299" s="120"/>
      <c r="J299" s="120"/>
      <c r="K299" s="120"/>
      <c r="L299" s="120"/>
    </row>
    <row r="300" spans="3:12">
      <c r="C300" s="120"/>
      <c r="D300" s="120"/>
      <c r="E300" s="120"/>
      <c r="F300" s="134"/>
      <c r="H300" s="127"/>
      <c r="I300" s="120"/>
      <c r="J300" s="120"/>
      <c r="K300" s="120"/>
      <c r="L300" s="120"/>
    </row>
    <row r="301" spans="3:12">
      <c r="C301" s="120"/>
      <c r="D301" s="120"/>
      <c r="E301" s="120"/>
      <c r="F301" s="134"/>
      <c r="H301" s="127"/>
      <c r="I301" s="120"/>
      <c r="J301" s="120"/>
      <c r="K301" s="120"/>
      <c r="L301" s="120"/>
    </row>
    <row r="302" spans="3:12">
      <c r="C302" s="120"/>
      <c r="D302" s="120"/>
      <c r="E302" s="120"/>
      <c r="F302" s="134"/>
      <c r="H302" s="127"/>
      <c r="I302" s="120"/>
      <c r="J302" s="120"/>
      <c r="K302" s="120"/>
      <c r="L302" s="120"/>
    </row>
    <row r="303" spans="3:12">
      <c r="C303" s="120"/>
      <c r="D303" s="120"/>
      <c r="E303" s="120"/>
      <c r="F303" s="134"/>
      <c r="H303" s="127"/>
      <c r="I303" s="120"/>
      <c r="J303" s="120"/>
      <c r="K303" s="120"/>
      <c r="L303" s="120"/>
    </row>
    <row r="304" spans="3:12">
      <c r="C304" s="120"/>
      <c r="D304" s="120"/>
      <c r="E304" s="120"/>
      <c r="F304" s="134"/>
      <c r="H304" s="127"/>
      <c r="I304" s="120"/>
      <c r="J304" s="120"/>
      <c r="K304" s="120"/>
      <c r="L304" s="120"/>
    </row>
    <row r="305" spans="3:12">
      <c r="C305" s="120"/>
      <c r="D305" s="120"/>
      <c r="E305" s="120"/>
      <c r="F305" s="134"/>
      <c r="H305" s="127"/>
      <c r="I305" s="120"/>
      <c r="J305" s="120"/>
      <c r="K305" s="120"/>
      <c r="L305" s="120"/>
    </row>
    <row r="306" spans="3:12">
      <c r="C306" s="120"/>
      <c r="D306" s="120"/>
      <c r="E306" s="120"/>
      <c r="F306" s="134"/>
      <c r="H306" s="127"/>
      <c r="I306" s="120"/>
      <c r="J306" s="120"/>
      <c r="K306" s="120"/>
      <c r="L306" s="120"/>
    </row>
    <row r="307" spans="3:12">
      <c r="C307" s="120"/>
      <c r="D307" s="120"/>
      <c r="E307" s="120"/>
      <c r="F307" s="134"/>
      <c r="H307" s="127"/>
      <c r="I307" s="120"/>
      <c r="J307" s="120"/>
      <c r="K307" s="120"/>
      <c r="L307" s="120"/>
    </row>
    <row r="308" spans="3:12">
      <c r="C308" s="120"/>
      <c r="D308" s="120"/>
      <c r="E308" s="120"/>
      <c r="F308" s="134"/>
      <c r="H308" s="127"/>
      <c r="I308" s="120"/>
      <c r="J308" s="120"/>
      <c r="K308" s="120"/>
      <c r="L308" s="120"/>
    </row>
    <row r="309" spans="3:12">
      <c r="C309" s="120"/>
      <c r="D309" s="120"/>
      <c r="E309" s="120"/>
      <c r="F309" s="134"/>
      <c r="H309" s="127"/>
      <c r="I309" s="120"/>
      <c r="J309" s="120"/>
      <c r="K309" s="120"/>
      <c r="L309" s="120"/>
    </row>
    <row r="310" spans="3:12">
      <c r="C310" s="120"/>
      <c r="D310" s="120"/>
      <c r="E310" s="120"/>
      <c r="F310" s="134"/>
      <c r="H310" s="127"/>
      <c r="I310" s="120"/>
      <c r="J310" s="120"/>
      <c r="K310" s="120"/>
      <c r="L310" s="120"/>
    </row>
    <row r="311" spans="3:12">
      <c r="C311" s="120"/>
      <c r="D311" s="120"/>
      <c r="E311" s="120"/>
      <c r="F311" s="134"/>
      <c r="H311" s="127"/>
      <c r="I311" s="120"/>
      <c r="J311" s="120"/>
      <c r="K311" s="120"/>
      <c r="L311" s="120"/>
    </row>
    <row r="312" spans="3:12">
      <c r="C312" s="120"/>
      <c r="D312" s="120"/>
      <c r="E312" s="120"/>
      <c r="F312" s="134"/>
      <c r="H312" s="127"/>
      <c r="I312" s="120"/>
      <c r="J312" s="120"/>
      <c r="K312" s="120"/>
      <c r="L312" s="120"/>
    </row>
    <row r="313" spans="3:12">
      <c r="C313" s="120"/>
      <c r="D313" s="120"/>
      <c r="E313" s="120"/>
      <c r="F313" s="134"/>
      <c r="H313" s="127"/>
      <c r="I313" s="120"/>
      <c r="J313" s="120"/>
      <c r="K313" s="120"/>
      <c r="L313" s="120"/>
    </row>
    <row r="314" spans="3:12">
      <c r="C314" s="120"/>
      <c r="D314" s="120"/>
      <c r="E314" s="120"/>
      <c r="F314" s="134"/>
      <c r="H314" s="127"/>
      <c r="I314" s="120"/>
      <c r="J314" s="120"/>
      <c r="K314" s="120"/>
      <c r="L314" s="120"/>
    </row>
    <row r="315" spans="3:12">
      <c r="C315" s="120"/>
      <c r="D315" s="120"/>
      <c r="E315" s="120"/>
      <c r="F315" s="134"/>
      <c r="H315" s="127"/>
      <c r="I315" s="120"/>
      <c r="J315" s="120"/>
      <c r="K315" s="120"/>
      <c r="L315" s="120"/>
    </row>
    <row r="316" spans="3:12">
      <c r="C316" s="120"/>
      <c r="D316" s="120"/>
      <c r="E316" s="120"/>
      <c r="F316" s="134"/>
      <c r="H316" s="127"/>
      <c r="I316" s="120"/>
      <c r="J316" s="120"/>
      <c r="K316" s="120"/>
      <c r="L316" s="120"/>
    </row>
    <row r="317" spans="3:12">
      <c r="C317" s="120"/>
      <c r="D317" s="120"/>
      <c r="E317" s="120"/>
      <c r="F317" s="134"/>
      <c r="H317" s="127"/>
      <c r="I317" s="120"/>
      <c r="J317" s="120"/>
      <c r="K317" s="120"/>
      <c r="L317" s="120"/>
    </row>
    <row r="318" spans="3:12">
      <c r="C318" s="120"/>
      <c r="D318" s="120"/>
      <c r="E318" s="120"/>
      <c r="F318" s="134"/>
      <c r="H318" s="127"/>
      <c r="I318" s="120"/>
      <c r="J318" s="120"/>
      <c r="K318" s="120"/>
      <c r="L318" s="120"/>
    </row>
    <row r="319" spans="3:12">
      <c r="C319" s="120"/>
      <c r="D319" s="120"/>
      <c r="E319" s="120"/>
      <c r="F319" s="134"/>
      <c r="H319" s="127"/>
      <c r="I319" s="120"/>
      <c r="J319" s="120"/>
      <c r="K319" s="120"/>
      <c r="L319" s="120"/>
    </row>
    <row r="320" spans="3:12">
      <c r="C320" s="120"/>
      <c r="D320" s="120"/>
      <c r="E320" s="120"/>
      <c r="F320" s="134"/>
      <c r="H320" s="127"/>
      <c r="I320" s="120"/>
      <c r="J320" s="120"/>
      <c r="K320" s="120"/>
      <c r="L320" s="120"/>
    </row>
    <row r="321" spans="3:12">
      <c r="C321" s="120"/>
      <c r="D321" s="120"/>
      <c r="E321" s="120"/>
      <c r="F321" s="134"/>
      <c r="H321" s="127"/>
      <c r="I321" s="120"/>
      <c r="J321" s="120"/>
      <c r="K321" s="120"/>
      <c r="L321" s="120"/>
    </row>
    <row r="322" spans="3:12">
      <c r="C322" s="120"/>
      <c r="D322" s="120"/>
      <c r="E322" s="120"/>
      <c r="F322" s="134"/>
      <c r="H322" s="127"/>
      <c r="I322" s="120"/>
      <c r="J322" s="120"/>
      <c r="K322" s="120"/>
      <c r="L322" s="120"/>
    </row>
    <row r="323" spans="3:12">
      <c r="C323" s="120"/>
      <c r="D323" s="120"/>
      <c r="E323" s="120"/>
      <c r="F323" s="134"/>
      <c r="H323" s="127"/>
      <c r="I323" s="120"/>
      <c r="J323" s="120"/>
      <c r="K323" s="120"/>
      <c r="L323" s="120"/>
    </row>
    <row r="324" spans="3:12">
      <c r="C324" s="120"/>
      <c r="D324" s="120"/>
      <c r="E324" s="120"/>
      <c r="F324" s="134"/>
      <c r="H324" s="127"/>
      <c r="I324" s="120"/>
      <c r="J324" s="120"/>
      <c r="K324" s="120"/>
      <c r="L324" s="120"/>
    </row>
    <row r="325" spans="3:12">
      <c r="C325" s="120"/>
      <c r="D325" s="120"/>
      <c r="E325" s="120"/>
      <c r="F325" s="134"/>
      <c r="H325" s="127"/>
      <c r="I325" s="120"/>
      <c r="J325" s="120"/>
      <c r="K325" s="120"/>
      <c r="L325" s="120"/>
    </row>
    <row r="326" spans="3:12">
      <c r="C326" s="120"/>
      <c r="D326" s="120"/>
      <c r="E326" s="120"/>
      <c r="F326" s="134"/>
      <c r="H326" s="127"/>
      <c r="I326" s="120"/>
      <c r="J326" s="120"/>
      <c r="K326" s="120"/>
      <c r="L326" s="120"/>
    </row>
    <row r="327" spans="3:12">
      <c r="C327" s="120"/>
      <c r="D327" s="120"/>
      <c r="E327" s="120"/>
      <c r="F327" s="134"/>
      <c r="H327" s="127"/>
      <c r="I327" s="120"/>
      <c r="J327" s="120"/>
      <c r="K327" s="120"/>
      <c r="L327" s="120"/>
    </row>
    <row r="328" spans="3:12">
      <c r="C328" s="120"/>
      <c r="D328" s="120"/>
      <c r="E328" s="120"/>
      <c r="F328" s="134"/>
      <c r="H328" s="127"/>
      <c r="I328" s="120"/>
      <c r="J328" s="120"/>
      <c r="K328" s="120"/>
      <c r="L328" s="120"/>
    </row>
    <row r="329" spans="3:12">
      <c r="C329" s="120"/>
      <c r="D329" s="120"/>
      <c r="E329" s="120"/>
      <c r="F329" s="134"/>
      <c r="H329" s="127"/>
      <c r="I329" s="120"/>
      <c r="J329" s="120"/>
      <c r="K329" s="120"/>
      <c r="L329" s="120"/>
    </row>
    <row r="330" spans="3:12">
      <c r="C330" s="120"/>
      <c r="D330" s="120"/>
      <c r="E330" s="120"/>
      <c r="F330" s="134"/>
      <c r="H330" s="127"/>
      <c r="I330" s="120"/>
      <c r="J330" s="120"/>
      <c r="K330" s="120"/>
      <c r="L330" s="120"/>
    </row>
    <row r="331" spans="3:12">
      <c r="C331" s="120"/>
      <c r="D331" s="120"/>
      <c r="E331" s="120"/>
      <c r="F331" s="134"/>
      <c r="H331" s="127"/>
      <c r="I331" s="120"/>
      <c r="J331" s="120"/>
      <c r="K331" s="120"/>
      <c r="L331" s="120"/>
    </row>
    <row r="332" spans="3:12">
      <c r="C332" s="120"/>
      <c r="D332" s="120"/>
      <c r="E332" s="120"/>
      <c r="F332" s="134"/>
      <c r="H332" s="127"/>
      <c r="I332" s="120"/>
      <c r="J332" s="120"/>
      <c r="K332" s="120"/>
      <c r="L332" s="120"/>
    </row>
    <row r="333" spans="3:12">
      <c r="C333" s="120"/>
      <c r="D333" s="120"/>
      <c r="E333" s="120"/>
      <c r="F333" s="134"/>
      <c r="H333" s="127"/>
      <c r="I333" s="120"/>
      <c r="J333" s="120"/>
      <c r="K333" s="120"/>
      <c r="L333" s="120"/>
    </row>
    <row r="334" spans="3:12">
      <c r="C334" s="120"/>
      <c r="D334" s="120"/>
      <c r="E334" s="120"/>
      <c r="F334" s="134"/>
      <c r="H334" s="127"/>
      <c r="I334" s="120"/>
      <c r="J334" s="120"/>
      <c r="K334" s="120"/>
      <c r="L334" s="120"/>
    </row>
    <row r="335" spans="3:12">
      <c r="C335" s="120"/>
      <c r="D335" s="120"/>
      <c r="E335" s="120"/>
      <c r="F335" s="134"/>
      <c r="H335" s="127"/>
      <c r="I335" s="120"/>
      <c r="J335" s="120"/>
      <c r="K335" s="120"/>
      <c r="L335" s="120"/>
    </row>
    <row r="336" spans="3:12">
      <c r="C336" s="120"/>
      <c r="D336" s="120"/>
      <c r="E336" s="120"/>
      <c r="F336" s="134"/>
      <c r="H336" s="127"/>
      <c r="I336" s="120"/>
      <c r="J336" s="120"/>
      <c r="K336" s="120"/>
      <c r="L336" s="120"/>
    </row>
    <row r="337" spans="3:12">
      <c r="C337" s="120"/>
      <c r="D337" s="120"/>
      <c r="E337" s="120"/>
      <c r="F337" s="134"/>
      <c r="H337" s="127"/>
      <c r="I337" s="120"/>
      <c r="J337" s="120"/>
      <c r="K337" s="120"/>
      <c r="L337" s="120"/>
    </row>
    <row r="338" spans="3:12">
      <c r="C338" s="120"/>
      <c r="D338" s="120"/>
      <c r="E338" s="120"/>
      <c r="F338" s="134"/>
      <c r="H338" s="127"/>
      <c r="I338" s="120"/>
      <c r="J338" s="120"/>
      <c r="K338" s="120"/>
      <c r="L338" s="120"/>
    </row>
    <row r="339" spans="3:12">
      <c r="C339" s="120"/>
      <c r="D339" s="120"/>
      <c r="E339" s="120"/>
      <c r="F339" s="134"/>
      <c r="H339" s="127"/>
      <c r="I339" s="120"/>
      <c r="J339" s="120"/>
      <c r="K339" s="120"/>
      <c r="L339" s="120"/>
    </row>
    <row r="340" spans="3:12">
      <c r="C340" s="120"/>
      <c r="D340" s="120"/>
      <c r="E340" s="120"/>
      <c r="F340" s="134"/>
      <c r="H340" s="127"/>
      <c r="I340" s="120"/>
      <c r="J340" s="120"/>
      <c r="K340" s="120"/>
      <c r="L340" s="120"/>
    </row>
    <row r="341" spans="3:12">
      <c r="C341" s="120"/>
      <c r="D341" s="120"/>
      <c r="E341" s="120"/>
      <c r="F341" s="134"/>
      <c r="H341" s="127"/>
      <c r="I341" s="120"/>
      <c r="J341" s="120"/>
      <c r="K341" s="120"/>
      <c r="L341" s="120"/>
    </row>
    <row r="342" spans="3:12">
      <c r="C342" s="120"/>
      <c r="D342" s="120"/>
      <c r="E342" s="120"/>
      <c r="F342" s="134"/>
      <c r="H342" s="127"/>
      <c r="I342" s="120"/>
      <c r="J342" s="120"/>
      <c r="K342" s="120"/>
      <c r="L342" s="120"/>
    </row>
    <row r="343" spans="3:12">
      <c r="C343" s="120"/>
      <c r="D343" s="120"/>
      <c r="E343" s="120"/>
      <c r="F343" s="134"/>
      <c r="H343" s="127"/>
      <c r="I343" s="120"/>
      <c r="J343" s="120"/>
      <c r="K343" s="120"/>
      <c r="L343" s="120"/>
    </row>
    <row r="344" spans="3:12">
      <c r="C344" s="120"/>
      <c r="D344" s="120"/>
      <c r="E344" s="120"/>
      <c r="F344" s="134"/>
      <c r="H344" s="127"/>
      <c r="I344" s="120"/>
      <c r="J344" s="120"/>
      <c r="K344" s="120"/>
      <c r="L344" s="120"/>
    </row>
    <row r="345" spans="3:12">
      <c r="C345" s="120"/>
      <c r="D345" s="120"/>
      <c r="E345" s="120"/>
      <c r="F345" s="134"/>
      <c r="H345" s="127"/>
      <c r="I345" s="120"/>
      <c r="J345" s="120"/>
      <c r="K345" s="120"/>
      <c r="L345" s="120"/>
    </row>
    <row r="346" spans="3:12">
      <c r="C346" s="120"/>
      <c r="D346" s="120"/>
      <c r="E346" s="120"/>
      <c r="F346" s="134"/>
      <c r="H346" s="127"/>
      <c r="I346" s="120"/>
      <c r="J346" s="120"/>
      <c r="K346" s="120"/>
      <c r="L346" s="120"/>
    </row>
    <row r="347" spans="3:12">
      <c r="C347" s="120"/>
      <c r="D347" s="120"/>
      <c r="E347" s="120"/>
      <c r="F347" s="134"/>
      <c r="H347" s="127"/>
      <c r="I347" s="120"/>
      <c r="J347" s="120"/>
      <c r="K347" s="120"/>
      <c r="L347" s="120"/>
    </row>
    <row r="348" spans="3:12">
      <c r="C348" s="120"/>
      <c r="D348" s="120"/>
      <c r="E348" s="120"/>
      <c r="F348" s="134"/>
      <c r="H348" s="127"/>
      <c r="I348" s="120"/>
      <c r="J348" s="120"/>
      <c r="K348" s="120"/>
      <c r="L348" s="120"/>
    </row>
    <row r="349" spans="3:12">
      <c r="C349" s="120"/>
      <c r="D349" s="120"/>
      <c r="E349" s="120"/>
      <c r="F349" s="134"/>
      <c r="H349" s="127"/>
      <c r="I349" s="120"/>
      <c r="J349" s="120"/>
      <c r="K349" s="120"/>
      <c r="L349" s="120"/>
    </row>
    <row r="350" spans="3:12">
      <c r="C350" s="120"/>
      <c r="D350" s="120"/>
      <c r="E350" s="120"/>
      <c r="F350" s="134"/>
      <c r="H350" s="127"/>
      <c r="I350" s="120"/>
      <c r="J350" s="120"/>
      <c r="K350" s="120"/>
      <c r="L350" s="120"/>
    </row>
    <row r="351" spans="3:12">
      <c r="C351" s="120"/>
      <c r="D351" s="120"/>
      <c r="E351" s="120"/>
      <c r="F351" s="134"/>
      <c r="H351" s="127"/>
      <c r="I351" s="120"/>
      <c r="J351" s="120"/>
      <c r="K351" s="120"/>
      <c r="L351" s="120"/>
    </row>
    <row r="352" spans="3:12">
      <c r="C352" s="120"/>
      <c r="D352" s="120"/>
      <c r="E352" s="120"/>
      <c r="F352" s="134"/>
      <c r="H352" s="127"/>
      <c r="I352" s="120"/>
      <c r="J352" s="120"/>
      <c r="K352" s="120"/>
      <c r="L352" s="120"/>
    </row>
    <row r="353" spans="3:12">
      <c r="C353" s="120"/>
      <c r="D353" s="120"/>
      <c r="E353" s="120"/>
      <c r="F353" s="134"/>
      <c r="H353" s="127"/>
      <c r="I353" s="120"/>
      <c r="J353" s="120"/>
      <c r="K353" s="120"/>
      <c r="L353" s="120"/>
    </row>
    <row r="354" spans="3:12">
      <c r="C354" s="120"/>
      <c r="D354" s="120"/>
      <c r="E354" s="120"/>
      <c r="F354" s="134"/>
      <c r="H354" s="127"/>
      <c r="I354" s="120"/>
      <c r="J354" s="120"/>
      <c r="K354" s="120"/>
      <c r="L354" s="120"/>
    </row>
    <row r="355" spans="3:12">
      <c r="C355" s="120"/>
      <c r="D355" s="120"/>
      <c r="E355" s="120"/>
      <c r="F355" s="134"/>
      <c r="H355" s="127"/>
      <c r="I355" s="120"/>
      <c r="J355" s="120"/>
      <c r="K355" s="120"/>
      <c r="L355" s="120"/>
    </row>
    <row r="356" spans="3:12">
      <c r="C356" s="120"/>
      <c r="D356" s="120"/>
      <c r="E356" s="120"/>
      <c r="F356" s="134"/>
      <c r="H356" s="127"/>
      <c r="I356" s="120"/>
      <c r="J356" s="120"/>
      <c r="K356" s="120"/>
      <c r="L356" s="120"/>
    </row>
    <row r="357" spans="3:12">
      <c r="C357" s="120"/>
      <c r="D357" s="120"/>
      <c r="E357" s="120"/>
      <c r="F357" s="134"/>
      <c r="H357" s="127"/>
      <c r="I357" s="120"/>
      <c r="J357" s="120"/>
      <c r="K357" s="120"/>
      <c r="L357" s="120"/>
    </row>
    <row r="358" spans="3:12">
      <c r="C358" s="120"/>
      <c r="D358" s="120"/>
      <c r="E358" s="120"/>
      <c r="F358" s="134"/>
      <c r="H358" s="127"/>
      <c r="I358" s="120"/>
      <c r="J358" s="120"/>
      <c r="K358" s="120"/>
      <c r="L358" s="120"/>
    </row>
    <row r="359" spans="3:12">
      <c r="C359" s="120"/>
      <c r="D359" s="120"/>
      <c r="E359" s="120"/>
      <c r="F359" s="134"/>
      <c r="H359" s="127"/>
      <c r="I359" s="120"/>
      <c r="J359" s="120"/>
      <c r="K359" s="120"/>
      <c r="L359" s="120"/>
    </row>
    <row r="360" spans="3:12">
      <c r="C360" s="120"/>
      <c r="D360" s="120"/>
      <c r="E360" s="120"/>
      <c r="F360" s="134"/>
      <c r="H360" s="127"/>
      <c r="I360" s="120"/>
      <c r="J360" s="120"/>
      <c r="K360" s="120"/>
      <c r="L360" s="120"/>
    </row>
    <row r="361" spans="3:12">
      <c r="C361" s="120"/>
      <c r="D361" s="120"/>
      <c r="E361" s="120"/>
      <c r="F361" s="134"/>
      <c r="H361" s="127"/>
      <c r="I361" s="120"/>
      <c r="J361" s="120"/>
      <c r="K361" s="120"/>
      <c r="L361" s="120"/>
    </row>
    <row r="362" spans="3:12">
      <c r="C362" s="120"/>
      <c r="D362" s="120"/>
      <c r="E362" s="120"/>
      <c r="F362" s="134"/>
      <c r="H362" s="127"/>
      <c r="I362" s="120"/>
      <c r="J362" s="120"/>
      <c r="K362" s="120"/>
      <c r="L362" s="120"/>
    </row>
    <row r="363" spans="3:12">
      <c r="C363" s="120"/>
      <c r="D363" s="120"/>
      <c r="E363" s="120"/>
      <c r="F363" s="134"/>
      <c r="H363" s="127"/>
      <c r="I363" s="120"/>
      <c r="J363" s="120"/>
      <c r="K363" s="120"/>
      <c r="L363" s="120"/>
    </row>
    <row r="364" spans="3:12">
      <c r="C364" s="120"/>
      <c r="D364" s="120"/>
      <c r="E364" s="120"/>
      <c r="F364" s="134"/>
      <c r="H364" s="127"/>
      <c r="I364" s="120"/>
      <c r="J364" s="120"/>
      <c r="K364" s="120"/>
      <c r="L364" s="120"/>
    </row>
    <row r="365" spans="3:12">
      <c r="C365" s="120"/>
      <c r="D365" s="120"/>
      <c r="E365" s="120"/>
      <c r="F365" s="134"/>
      <c r="H365" s="127"/>
      <c r="I365" s="120"/>
      <c r="J365" s="120"/>
      <c r="K365" s="120"/>
      <c r="L365" s="120"/>
    </row>
    <row r="366" spans="3:12">
      <c r="C366" s="120"/>
      <c r="D366" s="120"/>
      <c r="E366" s="120"/>
      <c r="F366" s="134"/>
      <c r="H366" s="127"/>
      <c r="I366" s="120"/>
      <c r="J366" s="120"/>
      <c r="K366" s="120"/>
      <c r="L366" s="120"/>
    </row>
    <row r="367" spans="3:12">
      <c r="C367" s="120"/>
      <c r="D367" s="120"/>
      <c r="E367" s="120"/>
      <c r="F367" s="134"/>
      <c r="H367" s="127"/>
      <c r="I367" s="120"/>
      <c r="J367" s="120"/>
      <c r="K367" s="120"/>
      <c r="L367" s="120"/>
    </row>
    <row r="368" spans="3:12">
      <c r="C368" s="120"/>
      <c r="D368" s="120"/>
      <c r="E368" s="120"/>
      <c r="F368" s="134"/>
      <c r="H368" s="127"/>
      <c r="I368" s="120"/>
      <c r="J368" s="120"/>
      <c r="K368" s="120"/>
      <c r="L368" s="120"/>
    </row>
    <row r="369" spans="3:12">
      <c r="C369" s="120"/>
      <c r="D369" s="120"/>
      <c r="E369" s="120"/>
      <c r="F369" s="134"/>
      <c r="H369" s="127"/>
      <c r="I369" s="120"/>
      <c r="J369" s="120"/>
      <c r="K369" s="120"/>
      <c r="L369" s="120"/>
    </row>
    <row r="370" spans="3:12">
      <c r="C370" s="120"/>
      <c r="D370" s="120"/>
      <c r="E370" s="120"/>
      <c r="F370" s="134"/>
      <c r="H370" s="127"/>
      <c r="I370" s="120"/>
      <c r="J370" s="120"/>
      <c r="K370" s="120"/>
      <c r="L370" s="120"/>
    </row>
    <row r="371" spans="3:12">
      <c r="C371" s="120"/>
      <c r="D371" s="120"/>
      <c r="E371" s="120"/>
      <c r="F371" s="134"/>
      <c r="H371" s="127"/>
      <c r="I371" s="120"/>
      <c r="J371" s="120"/>
      <c r="K371" s="120"/>
      <c r="L371" s="120"/>
    </row>
    <row r="372" spans="3:12">
      <c r="C372" s="120"/>
      <c r="D372" s="120"/>
      <c r="E372" s="120"/>
      <c r="F372" s="134"/>
      <c r="H372" s="127"/>
      <c r="I372" s="120"/>
      <c r="J372" s="120"/>
      <c r="K372" s="120"/>
      <c r="L372" s="120"/>
    </row>
    <row r="373" spans="3:12">
      <c r="C373" s="120"/>
      <c r="D373" s="120"/>
      <c r="E373" s="120"/>
      <c r="F373" s="134"/>
      <c r="H373" s="127"/>
      <c r="I373" s="120"/>
      <c r="J373" s="120"/>
      <c r="K373" s="120"/>
      <c r="L373" s="120"/>
    </row>
    <row r="374" spans="3:12">
      <c r="C374" s="120"/>
      <c r="D374" s="120"/>
      <c r="E374" s="120"/>
      <c r="F374" s="134"/>
      <c r="H374" s="127"/>
      <c r="I374" s="120"/>
      <c r="J374" s="120"/>
      <c r="K374" s="120"/>
      <c r="L374" s="120"/>
    </row>
    <row r="375" spans="3:12">
      <c r="C375" s="120"/>
      <c r="D375" s="120"/>
      <c r="E375" s="120"/>
      <c r="F375" s="134"/>
      <c r="H375" s="127"/>
      <c r="I375" s="120"/>
      <c r="J375" s="120"/>
      <c r="K375" s="120"/>
      <c r="L375" s="120"/>
    </row>
    <row r="376" spans="3:12">
      <c r="C376" s="120"/>
      <c r="D376" s="120"/>
      <c r="E376" s="120"/>
      <c r="F376" s="134"/>
      <c r="H376" s="127"/>
      <c r="I376" s="120"/>
      <c r="J376" s="120"/>
      <c r="K376" s="120"/>
      <c r="L376" s="120"/>
    </row>
    <row r="377" spans="3:12">
      <c r="C377" s="120"/>
      <c r="D377" s="120"/>
      <c r="E377" s="120"/>
      <c r="F377" s="134"/>
      <c r="H377" s="127"/>
      <c r="I377" s="120"/>
      <c r="J377" s="120"/>
      <c r="K377" s="120"/>
      <c r="L377" s="120"/>
    </row>
    <row r="378" spans="3:12">
      <c r="C378" s="120"/>
      <c r="D378" s="120"/>
      <c r="E378" s="120"/>
      <c r="F378" s="134"/>
      <c r="H378" s="127"/>
      <c r="I378" s="120"/>
      <c r="J378" s="120"/>
      <c r="K378" s="120"/>
      <c r="L378" s="120"/>
    </row>
    <row r="379" spans="3:12">
      <c r="C379" s="120"/>
      <c r="D379" s="120"/>
      <c r="E379" s="120"/>
      <c r="F379" s="134"/>
      <c r="H379" s="127"/>
      <c r="I379" s="120"/>
      <c r="J379" s="120"/>
      <c r="K379" s="120"/>
      <c r="L379" s="120"/>
    </row>
    <row r="380" spans="3:12">
      <c r="C380" s="120"/>
      <c r="D380" s="120"/>
      <c r="E380" s="120"/>
      <c r="F380" s="134"/>
      <c r="H380" s="127"/>
      <c r="I380" s="120"/>
      <c r="J380" s="120"/>
      <c r="K380" s="120"/>
      <c r="L380" s="120"/>
    </row>
    <row r="381" spans="3:12">
      <c r="C381" s="120"/>
      <c r="D381" s="120"/>
      <c r="E381" s="120"/>
      <c r="F381" s="134"/>
      <c r="H381" s="127"/>
      <c r="I381" s="120"/>
      <c r="J381" s="120"/>
      <c r="K381" s="120"/>
      <c r="L381" s="120"/>
    </row>
    <row r="382" spans="3:12">
      <c r="C382" s="120"/>
      <c r="D382" s="120"/>
      <c r="E382" s="120"/>
      <c r="F382" s="134"/>
      <c r="H382" s="127"/>
      <c r="I382" s="120"/>
      <c r="J382" s="120"/>
      <c r="K382" s="120"/>
      <c r="L382" s="120"/>
    </row>
    <row r="383" spans="3:12">
      <c r="C383" s="120"/>
      <c r="D383" s="120"/>
      <c r="E383" s="120"/>
      <c r="F383" s="134"/>
      <c r="H383" s="127"/>
      <c r="I383" s="120"/>
      <c r="J383" s="120"/>
      <c r="K383" s="120"/>
      <c r="L383" s="120"/>
    </row>
    <row r="384" spans="3:12">
      <c r="C384" s="120"/>
      <c r="D384" s="120"/>
      <c r="E384" s="120"/>
      <c r="F384" s="134"/>
      <c r="H384" s="127"/>
      <c r="I384" s="120"/>
      <c r="J384" s="120"/>
      <c r="K384" s="120"/>
      <c r="L384" s="120"/>
    </row>
    <row r="385" spans="3:12">
      <c r="C385" s="120"/>
      <c r="D385" s="120"/>
      <c r="E385" s="120"/>
      <c r="F385" s="134"/>
      <c r="H385" s="127"/>
      <c r="I385" s="120"/>
      <c r="J385" s="120"/>
      <c r="K385" s="120"/>
      <c r="L385" s="120"/>
    </row>
    <row r="386" spans="3:12">
      <c r="C386" s="120"/>
      <c r="D386" s="120"/>
      <c r="E386" s="120"/>
      <c r="F386" s="134"/>
      <c r="H386" s="127"/>
      <c r="I386" s="120"/>
      <c r="J386" s="120"/>
      <c r="K386" s="120"/>
      <c r="L386" s="120"/>
    </row>
    <row r="387" spans="3:12">
      <c r="C387" s="120"/>
      <c r="D387" s="120"/>
      <c r="E387" s="120"/>
      <c r="F387" s="134"/>
      <c r="H387" s="127"/>
      <c r="I387" s="120"/>
      <c r="J387" s="120"/>
      <c r="K387" s="120"/>
      <c r="L387" s="120"/>
    </row>
    <row r="388" spans="3:12">
      <c r="C388" s="120"/>
      <c r="D388" s="120"/>
      <c r="E388" s="120"/>
      <c r="F388" s="134"/>
      <c r="H388" s="127"/>
      <c r="I388" s="120"/>
      <c r="J388" s="120"/>
      <c r="K388" s="120"/>
      <c r="L388" s="120"/>
    </row>
    <row r="389" spans="3:12">
      <c r="C389" s="120"/>
      <c r="D389" s="120"/>
      <c r="E389" s="120"/>
      <c r="F389" s="134"/>
      <c r="H389" s="127"/>
      <c r="I389" s="120"/>
      <c r="J389" s="120"/>
      <c r="K389" s="120"/>
      <c r="L389" s="120"/>
    </row>
    <row r="390" spans="3:12">
      <c r="C390" s="120"/>
      <c r="D390" s="120"/>
      <c r="E390" s="120"/>
      <c r="F390" s="134"/>
      <c r="H390" s="127"/>
      <c r="I390" s="120"/>
      <c r="J390" s="120"/>
      <c r="K390" s="120"/>
      <c r="L390" s="120"/>
    </row>
    <row r="391" spans="3:12">
      <c r="C391" s="120"/>
      <c r="D391" s="120"/>
      <c r="E391" s="120"/>
      <c r="F391" s="134"/>
      <c r="H391" s="127"/>
      <c r="I391" s="120"/>
      <c r="J391" s="120"/>
      <c r="K391" s="120"/>
      <c r="L391" s="120"/>
    </row>
    <row r="392" spans="3:12">
      <c r="C392" s="120"/>
      <c r="D392" s="120"/>
      <c r="E392" s="120"/>
      <c r="F392" s="134"/>
      <c r="H392" s="127"/>
      <c r="I392" s="120"/>
      <c r="J392" s="120"/>
      <c r="K392" s="120"/>
      <c r="L392" s="120"/>
    </row>
    <row r="393" spans="3:12">
      <c r="C393" s="120"/>
      <c r="D393" s="120"/>
      <c r="E393" s="120"/>
      <c r="F393" s="134"/>
      <c r="H393" s="127"/>
      <c r="I393" s="120"/>
      <c r="J393" s="120"/>
      <c r="K393" s="120"/>
      <c r="L393" s="120"/>
    </row>
    <row r="394" spans="3:12">
      <c r="C394" s="120"/>
      <c r="D394" s="120"/>
      <c r="E394" s="120"/>
      <c r="F394" s="134"/>
      <c r="H394" s="127"/>
      <c r="I394" s="120"/>
      <c r="J394" s="120"/>
      <c r="K394" s="120"/>
      <c r="L394" s="120"/>
    </row>
    <row r="395" spans="3:12">
      <c r="C395" s="120"/>
      <c r="D395" s="120"/>
      <c r="E395" s="120"/>
      <c r="F395" s="134"/>
      <c r="H395" s="127"/>
      <c r="I395" s="120"/>
      <c r="J395" s="120"/>
      <c r="K395" s="120"/>
      <c r="L395" s="120"/>
    </row>
    <row r="396" spans="3:12">
      <c r="C396" s="120"/>
      <c r="D396" s="120"/>
      <c r="E396" s="120"/>
      <c r="F396" s="134"/>
      <c r="H396" s="127"/>
      <c r="I396" s="120"/>
      <c r="J396" s="120"/>
      <c r="K396" s="120"/>
      <c r="L396" s="120"/>
    </row>
    <row r="397" spans="3:12">
      <c r="C397" s="120"/>
      <c r="D397" s="120"/>
      <c r="E397" s="120"/>
      <c r="F397" s="134"/>
      <c r="H397" s="127"/>
      <c r="I397" s="120"/>
      <c r="J397" s="120"/>
      <c r="K397" s="120"/>
      <c r="L397" s="120"/>
    </row>
    <row r="398" spans="3:12">
      <c r="C398" s="120"/>
      <c r="D398" s="120"/>
      <c r="E398" s="120"/>
      <c r="F398" s="134"/>
      <c r="H398" s="127"/>
      <c r="I398" s="120"/>
      <c r="J398" s="120"/>
      <c r="K398" s="120"/>
      <c r="L398" s="120"/>
    </row>
    <row r="399" spans="3:12">
      <c r="C399" s="120"/>
      <c r="D399" s="120"/>
      <c r="E399" s="120"/>
      <c r="F399" s="134"/>
      <c r="H399" s="127"/>
      <c r="I399" s="120"/>
      <c r="J399" s="120"/>
      <c r="K399" s="120"/>
      <c r="L399" s="120"/>
    </row>
    <row r="400" spans="3:12">
      <c r="C400" s="120"/>
      <c r="D400" s="120"/>
      <c r="E400" s="120"/>
      <c r="F400" s="134"/>
      <c r="H400" s="127"/>
      <c r="I400" s="120"/>
      <c r="J400" s="120"/>
      <c r="K400" s="120"/>
      <c r="L400" s="120"/>
    </row>
    <row r="401" spans="3:12">
      <c r="C401" s="120"/>
      <c r="D401" s="120"/>
      <c r="E401" s="120"/>
      <c r="F401" s="134"/>
      <c r="H401" s="127"/>
      <c r="I401" s="120"/>
      <c r="J401" s="120"/>
      <c r="K401" s="120"/>
      <c r="L401" s="120"/>
    </row>
    <row r="402" spans="3:12">
      <c r="C402" s="120"/>
      <c r="D402" s="120"/>
      <c r="E402" s="120"/>
      <c r="F402" s="134"/>
      <c r="H402" s="127"/>
      <c r="I402" s="120"/>
      <c r="J402" s="120"/>
      <c r="K402" s="120"/>
      <c r="L402" s="120"/>
    </row>
    <row r="403" spans="3:12">
      <c r="C403" s="120"/>
      <c r="D403" s="120"/>
      <c r="E403" s="120"/>
      <c r="F403" s="134"/>
      <c r="H403" s="127"/>
      <c r="I403" s="120"/>
      <c r="J403" s="120"/>
      <c r="K403" s="120"/>
      <c r="L403" s="120"/>
    </row>
    <row r="404" spans="3:12">
      <c r="C404" s="120"/>
      <c r="D404" s="120"/>
      <c r="E404" s="120"/>
      <c r="F404" s="134"/>
      <c r="H404" s="127"/>
      <c r="I404" s="120"/>
      <c r="J404" s="120"/>
      <c r="K404" s="120"/>
      <c r="L404" s="120"/>
    </row>
    <row r="405" spans="3:12">
      <c r="C405" s="120"/>
      <c r="D405" s="120"/>
      <c r="E405" s="120"/>
      <c r="F405" s="134"/>
      <c r="H405" s="127"/>
      <c r="I405" s="120"/>
      <c r="J405" s="120"/>
      <c r="K405" s="120"/>
      <c r="L405" s="120"/>
    </row>
    <row r="406" spans="3:12">
      <c r="C406" s="120"/>
      <c r="D406" s="120"/>
      <c r="E406" s="120"/>
      <c r="F406" s="134"/>
      <c r="H406" s="127"/>
      <c r="I406" s="120"/>
      <c r="J406" s="120"/>
      <c r="K406" s="120"/>
      <c r="L406" s="120"/>
    </row>
    <row r="407" spans="3:12">
      <c r="C407" s="120"/>
      <c r="D407" s="120"/>
      <c r="E407" s="120"/>
      <c r="F407" s="134"/>
      <c r="H407" s="127"/>
      <c r="I407" s="120"/>
      <c r="J407" s="120"/>
      <c r="K407" s="120"/>
      <c r="L407" s="120"/>
    </row>
    <row r="408" spans="3:12">
      <c r="C408" s="120"/>
      <c r="D408" s="120"/>
      <c r="E408" s="120"/>
      <c r="F408" s="134"/>
      <c r="H408" s="127"/>
      <c r="I408" s="120"/>
      <c r="J408" s="120"/>
      <c r="K408" s="120"/>
      <c r="L408" s="120"/>
    </row>
    <row r="409" spans="3:12">
      <c r="C409" s="120"/>
      <c r="D409" s="120"/>
      <c r="E409" s="120"/>
      <c r="F409" s="134"/>
      <c r="H409" s="127"/>
      <c r="I409" s="120"/>
      <c r="J409" s="120"/>
      <c r="K409" s="120"/>
      <c r="L409" s="120"/>
    </row>
    <row r="410" spans="3:12">
      <c r="C410" s="120"/>
      <c r="D410" s="120"/>
      <c r="E410" s="120"/>
      <c r="F410" s="134"/>
      <c r="H410" s="127"/>
      <c r="I410" s="120"/>
      <c r="J410" s="120"/>
      <c r="K410" s="120"/>
      <c r="L410" s="120"/>
    </row>
    <row r="411" spans="3:12">
      <c r="C411" s="120"/>
      <c r="D411" s="120"/>
      <c r="E411" s="120"/>
      <c r="F411" s="134"/>
      <c r="H411" s="127"/>
      <c r="I411" s="120"/>
      <c r="J411" s="120"/>
      <c r="K411" s="120"/>
      <c r="L411" s="120"/>
    </row>
    <row r="412" spans="3:12">
      <c r="C412" s="120"/>
      <c r="D412" s="120"/>
      <c r="E412" s="120"/>
      <c r="F412" s="134"/>
      <c r="H412" s="127"/>
      <c r="I412" s="120"/>
      <c r="J412" s="120"/>
      <c r="K412" s="120"/>
      <c r="L412" s="120"/>
    </row>
    <row r="413" spans="3:12">
      <c r="C413" s="120"/>
      <c r="D413" s="120"/>
      <c r="E413" s="120"/>
      <c r="F413" s="134"/>
      <c r="H413" s="127"/>
      <c r="I413" s="120"/>
      <c r="J413" s="120"/>
      <c r="K413" s="120"/>
      <c r="L413" s="120"/>
    </row>
    <row r="414" spans="3:12">
      <c r="C414" s="120"/>
      <c r="D414" s="120"/>
      <c r="E414" s="120"/>
      <c r="F414" s="134"/>
      <c r="H414" s="127"/>
      <c r="I414" s="120"/>
      <c r="J414" s="120"/>
      <c r="K414" s="120"/>
      <c r="L414" s="120"/>
    </row>
    <row r="415" spans="3:12">
      <c r="C415" s="120"/>
      <c r="D415" s="120"/>
      <c r="E415" s="120"/>
      <c r="F415" s="134"/>
      <c r="H415" s="127"/>
      <c r="I415" s="120"/>
      <c r="J415" s="120"/>
      <c r="K415" s="120"/>
      <c r="L415" s="120"/>
    </row>
    <row r="416" spans="3:12">
      <c r="C416" s="120"/>
      <c r="D416" s="120"/>
      <c r="E416" s="120"/>
      <c r="F416" s="134"/>
      <c r="H416" s="127"/>
      <c r="I416" s="120"/>
      <c r="J416" s="120"/>
      <c r="K416" s="120"/>
      <c r="L416" s="120"/>
    </row>
    <row r="417" spans="3:12">
      <c r="C417" s="120"/>
      <c r="D417" s="120"/>
      <c r="E417" s="120"/>
      <c r="F417" s="134"/>
      <c r="H417" s="127"/>
      <c r="I417" s="120"/>
      <c r="J417" s="120"/>
      <c r="K417" s="120"/>
      <c r="L417" s="120"/>
    </row>
    <row r="418" spans="3:12">
      <c r="C418" s="120"/>
      <c r="D418" s="120"/>
      <c r="E418" s="120"/>
      <c r="F418" s="134"/>
      <c r="H418" s="127"/>
      <c r="I418" s="120"/>
      <c r="J418" s="120"/>
      <c r="K418" s="120"/>
      <c r="L418" s="120"/>
    </row>
    <row r="419" spans="3:12">
      <c r="C419" s="120"/>
      <c r="D419" s="120"/>
      <c r="E419" s="120"/>
      <c r="F419" s="134"/>
      <c r="H419" s="127"/>
      <c r="I419" s="120"/>
      <c r="J419" s="120"/>
      <c r="K419" s="120"/>
      <c r="L419" s="120"/>
    </row>
    <row r="420" spans="3:12">
      <c r="C420" s="120"/>
      <c r="D420" s="120"/>
      <c r="E420" s="120"/>
      <c r="F420" s="134"/>
      <c r="H420" s="127"/>
      <c r="I420" s="120"/>
      <c r="J420" s="120"/>
      <c r="K420" s="120"/>
      <c r="L420" s="120"/>
    </row>
    <row r="421" spans="3:12">
      <c r="C421" s="120"/>
      <c r="D421" s="120"/>
      <c r="E421" s="120"/>
      <c r="F421" s="134"/>
      <c r="H421" s="127"/>
      <c r="I421" s="120"/>
      <c r="J421" s="120"/>
      <c r="K421" s="120"/>
      <c r="L421" s="120"/>
    </row>
    <row r="422" spans="3:12">
      <c r="C422" s="120"/>
      <c r="D422" s="120"/>
      <c r="E422" s="120"/>
      <c r="F422" s="134"/>
      <c r="H422" s="127"/>
      <c r="I422" s="120"/>
      <c r="J422" s="120"/>
      <c r="K422" s="120"/>
      <c r="L422" s="120"/>
    </row>
    <row r="423" spans="3:12">
      <c r="C423" s="120"/>
      <c r="D423" s="120"/>
      <c r="E423" s="120"/>
      <c r="F423" s="134"/>
      <c r="H423" s="127"/>
      <c r="I423" s="120"/>
      <c r="J423" s="120"/>
      <c r="K423" s="120"/>
      <c r="L423" s="120"/>
    </row>
    <row r="424" spans="3:12">
      <c r="C424" s="120"/>
      <c r="D424" s="120"/>
      <c r="E424" s="120"/>
      <c r="F424" s="134"/>
      <c r="H424" s="127"/>
      <c r="I424" s="120"/>
      <c r="J424" s="120"/>
      <c r="K424" s="120"/>
      <c r="L424" s="120"/>
    </row>
    <row r="425" spans="3:12">
      <c r="C425" s="120"/>
      <c r="D425" s="120"/>
      <c r="E425" s="120"/>
      <c r="F425" s="134"/>
      <c r="H425" s="127"/>
      <c r="I425" s="120"/>
      <c r="J425" s="120"/>
      <c r="K425" s="120"/>
      <c r="L425" s="120"/>
    </row>
    <row r="426" spans="3:12">
      <c r="C426" s="120"/>
      <c r="D426" s="120"/>
      <c r="E426" s="120"/>
      <c r="F426" s="134"/>
      <c r="H426" s="127"/>
      <c r="I426" s="120"/>
      <c r="J426" s="120"/>
      <c r="K426" s="120"/>
      <c r="L426" s="120"/>
    </row>
    <row r="427" spans="3:12">
      <c r="C427" s="120"/>
      <c r="D427" s="120"/>
      <c r="E427" s="120"/>
      <c r="F427" s="134"/>
      <c r="H427" s="127"/>
      <c r="I427" s="120"/>
      <c r="J427" s="120"/>
      <c r="K427" s="120"/>
      <c r="L427" s="120"/>
    </row>
    <row r="428" spans="3:12">
      <c r="C428" s="120"/>
      <c r="D428" s="120"/>
      <c r="E428" s="120"/>
      <c r="F428" s="134"/>
      <c r="H428" s="127"/>
      <c r="I428" s="120"/>
      <c r="J428" s="120"/>
      <c r="K428" s="120"/>
      <c r="L428" s="120"/>
    </row>
    <row r="429" spans="3:12">
      <c r="C429" s="120"/>
      <c r="D429" s="120"/>
      <c r="E429" s="120"/>
      <c r="F429" s="134"/>
      <c r="H429" s="127"/>
      <c r="I429" s="120"/>
      <c r="J429" s="120"/>
      <c r="K429" s="120"/>
      <c r="L429" s="120"/>
    </row>
    <row r="430" spans="3:12">
      <c r="C430" s="120"/>
      <c r="D430" s="120"/>
      <c r="E430" s="120"/>
      <c r="F430" s="134"/>
      <c r="H430" s="127"/>
      <c r="I430" s="120"/>
      <c r="J430" s="120"/>
      <c r="K430" s="120"/>
      <c r="L430" s="120"/>
    </row>
    <row r="431" spans="3:12">
      <c r="C431" s="120"/>
      <c r="D431" s="120"/>
      <c r="E431" s="120"/>
      <c r="F431" s="134"/>
      <c r="H431" s="127"/>
      <c r="I431" s="120"/>
      <c r="J431" s="120"/>
      <c r="K431" s="120"/>
      <c r="L431" s="120"/>
    </row>
    <row r="432" spans="3:12">
      <c r="C432" s="120"/>
      <c r="D432" s="120"/>
      <c r="E432" s="120"/>
      <c r="F432" s="134"/>
      <c r="H432" s="127"/>
      <c r="I432" s="120"/>
      <c r="J432" s="120"/>
      <c r="K432" s="120"/>
      <c r="L432" s="120"/>
    </row>
    <row r="433" spans="3:12">
      <c r="C433" s="120"/>
      <c r="D433" s="120"/>
      <c r="E433" s="120"/>
      <c r="F433" s="134"/>
      <c r="H433" s="127"/>
      <c r="I433" s="120"/>
      <c r="J433" s="120"/>
      <c r="K433" s="120"/>
      <c r="L433" s="120"/>
    </row>
    <row r="434" spans="3:12">
      <c r="C434" s="120"/>
      <c r="D434" s="120"/>
      <c r="E434" s="120"/>
      <c r="F434" s="134"/>
      <c r="H434" s="127"/>
      <c r="I434" s="120"/>
      <c r="J434" s="120"/>
      <c r="K434" s="120"/>
      <c r="L434" s="120"/>
    </row>
    <row r="435" spans="3:12">
      <c r="C435" s="120"/>
      <c r="D435" s="120"/>
      <c r="E435" s="120"/>
      <c r="F435" s="134"/>
      <c r="H435" s="127"/>
      <c r="I435" s="120"/>
      <c r="J435" s="120"/>
      <c r="K435" s="120"/>
      <c r="L435" s="120"/>
    </row>
    <row r="436" spans="3:12">
      <c r="C436" s="120"/>
      <c r="D436" s="120"/>
      <c r="E436" s="120"/>
      <c r="F436" s="134"/>
      <c r="H436" s="127"/>
      <c r="I436" s="120"/>
      <c r="J436" s="120"/>
      <c r="K436" s="120"/>
      <c r="L436" s="120"/>
    </row>
    <row r="437" spans="3:12">
      <c r="C437" s="120"/>
      <c r="D437" s="120"/>
      <c r="E437" s="120"/>
      <c r="F437" s="134"/>
      <c r="H437" s="127"/>
      <c r="I437" s="120"/>
      <c r="J437" s="120"/>
      <c r="K437" s="120"/>
      <c r="L437" s="120"/>
    </row>
    <row r="438" spans="3:12">
      <c r="C438" s="120"/>
      <c r="D438" s="120"/>
      <c r="E438" s="120"/>
      <c r="F438" s="134"/>
      <c r="H438" s="127"/>
      <c r="I438" s="120"/>
      <c r="J438" s="120"/>
      <c r="K438" s="120"/>
      <c r="L438" s="120"/>
    </row>
    <row r="439" spans="3:12">
      <c r="C439" s="120"/>
      <c r="D439" s="120"/>
      <c r="E439" s="120"/>
      <c r="F439" s="134"/>
      <c r="H439" s="127"/>
      <c r="I439" s="120"/>
      <c r="J439" s="120"/>
      <c r="K439" s="120"/>
      <c r="L439" s="120"/>
    </row>
    <row r="440" spans="3:12">
      <c r="C440" s="120"/>
      <c r="D440" s="120"/>
      <c r="E440" s="120"/>
      <c r="F440" s="134"/>
      <c r="H440" s="127"/>
      <c r="I440" s="120"/>
      <c r="J440" s="120"/>
      <c r="K440" s="120"/>
      <c r="L440" s="120"/>
    </row>
    <row r="441" spans="3:12">
      <c r="C441" s="120"/>
      <c r="D441" s="120"/>
      <c r="E441" s="120"/>
      <c r="F441" s="134"/>
      <c r="H441" s="127"/>
      <c r="I441" s="120"/>
      <c r="J441" s="120"/>
      <c r="K441" s="120"/>
      <c r="L441" s="120"/>
    </row>
    <row r="442" spans="3:12">
      <c r="C442" s="120"/>
      <c r="D442" s="120"/>
      <c r="E442" s="120"/>
      <c r="F442" s="134"/>
      <c r="H442" s="127"/>
      <c r="I442" s="120"/>
      <c r="J442" s="120"/>
      <c r="K442" s="120"/>
      <c r="L442" s="120"/>
    </row>
    <row r="443" spans="3:12">
      <c r="C443" s="120"/>
      <c r="D443" s="120"/>
      <c r="E443" s="120"/>
      <c r="F443" s="134"/>
      <c r="H443" s="127"/>
      <c r="I443" s="120"/>
      <c r="J443" s="120"/>
      <c r="K443" s="120"/>
      <c r="L443" s="120"/>
    </row>
    <row r="444" spans="3:12">
      <c r="C444" s="120"/>
      <c r="D444" s="120"/>
      <c r="E444" s="120"/>
      <c r="F444" s="134"/>
      <c r="H444" s="127"/>
      <c r="I444" s="120"/>
      <c r="J444" s="120"/>
      <c r="K444" s="120"/>
      <c r="L444" s="120"/>
    </row>
    <row r="445" spans="3:12">
      <c r="C445" s="120"/>
      <c r="D445" s="120"/>
      <c r="E445" s="120"/>
      <c r="F445" s="134"/>
      <c r="H445" s="127"/>
      <c r="I445" s="120"/>
      <c r="J445" s="120"/>
      <c r="K445" s="120"/>
      <c r="L445" s="120"/>
    </row>
    <row r="446" spans="3:12">
      <c r="C446" s="120"/>
      <c r="D446" s="120"/>
      <c r="E446" s="120"/>
      <c r="F446" s="134"/>
      <c r="H446" s="127"/>
      <c r="I446" s="120"/>
      <c r="J446" s="120"/>
      <c r="K446" s="120"/>
      <c r="L446" s="120"/>
    </row>
    <row r="447" spans="3:12">
      <c r="C447" s="120"/>
      <c r="D447" s="120"/>
      <c r="E447" s="120"/>
      <c r="F447" s="134"/>
      <c r="H447" s="127"/>
      <c r="I447" s="120"/>
      <c r="J447" s="120"/>
      <c r="K447" s="120"/>
      <c r="L447" s="120"/>
    </row>
    <row r="448" spans="3:12">
      <c r="C448" s="120"/>
      <c r="D448" s="120"/>
      <c r="E448" s="120"/>
      <c r="F448" s="134"/>
      <c r="H448" s="127"/>
      <c r="I448" s="120"/>
      <c r="J448" s="120"/>
      <c r="K448" s="120"/>
      <c r="L448" s="120"/>
    </row>
    <row r="449" spans="3:12">
      <c r="C449" s="120"/>
      <c r="D449" s="120"/>
      <c r="E449" s="120"/>
      <c r="F449" s="134"/>
      <c r="H449" s="127"/>
      <c r="I449" s="120"/>
      <c r="J449" s="120"/>
      <c r="K449" s="120"/>
      <c r="L449" s="120"/>
    </row>
    <row r="450" spans="3:12">
      <c r="C450" s="120"/>
      <c r="D450" s="120"/>
      <c r="E450" s="120"/>
      <c r="F450" s="134"/>
      <c r="H450" s="127"/>
      <c r="I450" s="120"/>
      <c r="J450" s="120"/>
      <c r="K450" s="120"/>
      <c r="L450" s="120"/>
    </row>
    <row r="451" spans="3:12">
      <c r="C451" s="120"/>
      <c r="D451" s="120"/>
      <c r="E451" s="120"/>
      <c r="F451" s="134"/>
      <c r="H451" s="127"/>
      <c r="I451" s="120"/>
      <c r="J451" s="120"/>
      <c r="K451" s="120"/>
      <c r="L451" s="120"/>
    </row>
    <row r="452" spans="3:12">
      <c r="C452" s="120"/>
      <c r="D452" s="120"/>
      <c r="E452" s="120"/>
      <c r="F452" s="134"/>
      <c r="H452" s="127"/>
      <c r="I452" s="120"/>
      <c r="J452" s="120"/>
      <c r="K452" s="120"/>
      <c r="L452" s="120"/>
    </row>
    <row r="453" spans="3:12">
      <c r="C453" s="120"/>
      <c r="D453" s="120"/>
      <c r="E453" s="120"/>
      <c r="F453" s="134"/>
      <c r="H453" s="127"/>
      <c r="I453" s="120"/>
      <c r="J453" s="120"/>
      <c r="K453" s="120"/>
      <c r="L453" s="120"/>
    </row>
    <row r="454" spans="3:12">
      <c r="C454" s="120"/>
      <c r="D454" s="120"/>
      <c r="E454" s="120"/>
      <c r="F454" s="134"/>
      <c r="H454" s="127"/>
      <c r="I454" s="120"/>
      <c r="J454" s="120"/>
      <c r="K454" s="120"/>
      <c r="L454" s="120"/>
    </row>
    <row r="455" spans="3:12">
      <c r="C455" s="120"/>
      <c r="D455" s="120"/>
      <c r="E455" s="120"/>
      <c r="F455" s="134"/>
      <c r="H455" s="127"/>
      <c r="I455" s="120"/>
      <c r="J455" s="120"/>
      <c r="K455" s="120"/>
      <c r="L455" s="120"/>
    </row>
    <row r="456" spans="3:12">
      <c r="C456" s="120"/>
      <c r="D456" s="120"/>
      <c r="E456" s="120"/>
      <c r="F456" s="134"/>
      <c r="H456" s="127"/>
      <c r="I456" s="120"/>
      <c r="J456" s="120"/>
      <c r="K456" s="120"/>
      <c r="L456" s="120"/>
    </row>
    <row r="457" spans="3:12">
      <c r="C457" s="120"/>
      <c r="D457" s="120"/>
      <c r="E457" s="120"/>
      <c r="F457" s="134"/>
      <c r="H457" s="127"/>
      <c r="I457" s="120"/>
      <c r="J457" s="120"/>
      <c r="K457" s="120"/>
      <c r="L457" s="120"/>
    </row>
    <row r="458" spans="3:12">
      <c r="C458" s="120"/>
      <c r="D458" s="120"/>
      <c r="E458" s="120"/>
      <c r="F458" s="134"/>
      <c r="H458" s="127"/>
      <c r="I458" s="120"/>
      <c r="J458" s="120"/>
      <c r="K458" s="120"/>
      <c r="L458" s="120"/>
    </row>
    <row r="459" spans="3:12">
      <c r="C459" s="120"/>
      <c r="D459" s="120"/>
      <c r="E459" s="120"/>
      <c r="F459" s="134"/>
      <c r="H459" s="127"/>
      <c r="I459" s="120"/>
      <c r="J459" s="120"/>
      <c r="K459" s="120"/>
      <c r="L459" s="120"/>
    </row>
    <row r="460" spans="3:12">
      <c r="C460" s="120"/>
      <c r="D460" s="120"/>
      <c r="E460" s="120"/>
      <c r="F460" s="134"/>
      <c r="H460" s="127"/>
      <c r="I460" s="120"/>
      <c r="J460" s="120"/>
      <c r="K460" s="120"/>
      <c r="L460" s="120"/>
    </row>
    <row r="461" spans="3:12">
      <c r="C461" s="120"/>
      <c r="D461" s="120"/>
      <c r="E461" s="120"/>
      <c r="F461" s="134"/>
      <c r="H461" s="127"/>
      <c r="I461" s="120"/>
      <c r="J461" s="120"/>
      <c r="K461" s="120"/>
      <c r="L461" s="120"/>
    </row>
    <row r="462" spans="3:12">
      <c r="C462" s="120"/>
      <c r="D462" s="120"/>
      <c r="E462" s="120"/>
      <c r="F462" s="134"/>
      <c r="H462" s="127"/>
      <c r="I462" s="120"/>
      <c r="J462" s="120"/>
      <c r="K462" s="120"/>
      <c r="L462" s="120"/>
    </row>
    <row r="463" spans="3:12">
      <c r="C463" s="120"/>
      <c r="D463" s="120"/>
      <c r="E463" s="120"/>
      <c r="F463" s="134"/>
      <c r="H463" s="127"/>
      <c r="I463" s="120"/>
      <c r="J463" s="120"/>
      <c r="K463" s="120"/>
      <c r="L463" s="120"/>
    </row>
    <row r="464" spans="3:12">
      <c r="C464" s="120"/>
      <c r="D464" s="120"/>
      <c r="E464" s="120"/>
      <c r="F464" s="134"/>
      <c r="H464" s="127"/>
      <c r="I464" s="120"/>
      <c r="J464" s="120"/>
      <c r="K464" s="120"/>
      <c r="L464" s="120"/>
    </row>
    <row r="465" spans="3:12">
      <c r="C465" s="120"/>
      <c r="D465" s="120"/>
      <c r="E465" s="120"/>
      <c r="F465" s="134"/>
      <c r="H465" s="127"/>
      <c r="I465" s="120"/>
      <c r="J465" s="120"/>
      <c r="K465" s="120"/>
      <c r="L465" s="120"/>
    </row>
    <row r="466" spans="3:12">
      <c r="C466" s="120"/>
      <c r="D466" s="120"/>
      <c r="E466" s="120"/>
      <c r="F466" s="134"/>
      <c r="H466" s="127"/>
      <c r="I466" s="120"/>
      <c r="J466" s="120"/>
      <c r="K466" s="120"/>
      <c r="L466" s="120"/>
    </row>
    <row r="467" spans="3:12">
      <c r="C467" s="120"/>
      <c r="D467" s="120"/>
      <c r="E467" s="120"/>
      <c r="F467" s="134"/>
      <c r="H467" s="127"/>
      <c r="I467" s="120"/>
      <c r="J467" s="120"/>
      <c r="K467" s="120"/>
      <c r="L467" s="120"/>
    </row>
    <row r="468" spans="3:12">
      <c r="C468" s="120"/>
      <c r="D468" s="120"/>
      <c r="E468" s="120"/>
      <c r="F468" s="134"/>
      <c r="H468" s="127"/>
      <c r="I468" s="120"/>
      <c r="J468" s="120"/>
      <c r="K468" s="120"/>
      <c r="L468" s="120"/>
    </row>
    <row r="469" spans="3:12">
      <c r="C469" s="120"/>
      <c r="D469" s="120"/>
      <c r="E469" s="120"/>
      <c r="F469" s="134"/>
      <c r="H469" s="127"/>
      <c r="I469" s="120"/>
      <c r="J469" s="120"/>
      <c r="K469" s="120"/>
      <c r="L469" s="120"/>
    </row>
    <row r="470" spans="3:12">
      <c r="C470" s="120"/>
      <c r="D470" s="120"/>
      <c r="E470" s="120"/>
      <c r="F470" s="134"/>
      <c r="H470" s="127"/>
      <c r="I470" s="120"/>
      <c r="J470" s="120"/>
      <c r="K470" s="120"/>
      <c r="L470" s="120"/>
    </row>
    <row r="471" spans="3:12">
      <c r="C471" s="120"/>
      <c r="D471" s="120"/>
      <c r="E471" s="120"/>
      <c r="F471" s="134"/>
      <c r="H471" s="127"/>
      <c r="I471" s="120"/>
      <c r="J471" s="120"/>
      <c r="K471" s="120"/>
      <c r="L471" s="120"/>
    </row>
    <row r="472" spans="3:12">
      <c r="C472" s="120"/>
      <c r="D472" s="120"/>
      <c r="E472" s="120"/>
      <c r="F472" s="134"/>
      <c r="H472" s="127"/>
      <c r="I472" s="120"/>
      <c r="J472" s="120"/>
      <c r="K472" s="120"/>
      <c r="L472" s="120"/>
    </row>
    <row r="473" spans="3:12">
      <c r="C473" s="120"/>
      <c r="D473" s="120"/>
      <c r="E473" s="120"/>
      <c r="F473" s="134"/>
      <c r="H473" s="127"/>
      <c r="I473" s="120"/>
      <c r="J473" s="120"/>
      <c r="K473" s="120"/>
      <c r="L473" s="120"/>
    </row>
    <row r="474" spans="3:12">
      <c r="C474" s="120"/>
      <c r="D474" s="120"/>
      <c r="E474" s="120"/>
      <c r="F474" s="134"/>
      <c r="H474" s="127"/>
      <c r="I474" s="120"/>
      <c r="J474" s="120"/>
      <c r="K474" s="120"/>
      <c r="L474" s="120"/>
    </row>
    <row r="475" spans="3:12">
      <c r="C475" s="120"/>
      <c r="D475" s="120"/>
      <c r="E475" s="120"/>
      <c r="F475" s="134"/>
      <c r="H475" s="127"/>
      <c r="I475" s="120"/>
      <c r="J475" s="120"/>
      <c r="K475" s="120"/>
      <c r="L475" s="120"/>
    </row>
    <row r="476" spans="3:12">
      <c r="C476" s="120"/>
      <c r="D476" s="120"/>
      <c r="E476" s="120"/>
      <c r="F476" s="134"/>
      <c r="H476" s="127"/>
      <c r="I476" s="120"/>
      <c r="J476" s="120"/>
      <c r="K476" s="120"/>
      <c r="L476" s="120"/>
    </row>
    <row r="477" spans="3:12">
      <c r="C477" s="120"/>
      <c r="D477" s="120"/>
      <c r="E477" s="120"/>
      <c r="F477" s="134"/>
      <c r="H477" s="127"/>
      <c r="I477" s="120"/>
      <c r="J477" s="120"/>
      <c r="K477" s="120"/>
      <c r="L477" s="120"/>
    </row>
    <row r="478" spans="3:12">
      <c r="C478" s="120"/>
      <c r="D478" s="120"/>
      <c r="E478" s="120"/>
      <c r="F478" s="134"/>
      <c r="H478" s="127"/>
      <c r="I478" s="120"/>
      <c r="J478" s="120"/>
      <c r="K478" s="120"/>
      <c r="L478" s="120"/>
    </row>
    <row r="479" spans="3:12">
      <c r="C479" s="120"/>
      <c r="D479" s="120"/>
      <c r="E479" s="120"/>
      <c r="F479" s="134"/>
      <c r="H479" s="127"/>
      <c r="I479" s="120"/>
      <c r="J479" s="120"/>
      <c r="K479" s="120"/>
      <c r="L479" s="120"/>
    </row>
    <row r="480" spans="3:12">
      <c r="C480" s="120"/>
      <c r="D480" s="120"/>
      <c r="E480" s="120"/>
      <c r="F480" s="134"/>
      <c r="H480" s="127"/>
      <c r="I480" s="120"/>
      <c r="J480" s="120"/>
      <c r="K480" s="120"/>
      <c r="L480" s="120"/>
    </row>
    <row r="481" spans="3:12">
      <c r="C481" s="120"/>
      <c r="D481" s="120"/>
      <c r="E481" s="120"/>
      <c r="F481" s="134"/>
      <c r="H481" s="127"/>
      <c r="I481" s="120"/>
      <c r="J481" s="120"/>
      <c r="K481" s="120"/>
      <c r="L481" s="120"/>
    </row>
    <row r="482" spans="3:12">
      <c r="C482" s="120"/>
      <c r="D482" s="120"/>
      <c r="E482" s="120"/>
      <c r="F482" s="134"/>
      <c r="H482" s="127"/>
      <c r="I482" s="120"/>
      <c r="J482" s="120"/>
      <c r="K482" s="120"/>
      <c r="L482" s="120"/>
    </row>
    <row r="483" spans="3:12">
      <c r="C483" s="120"/>
      <c r="D483" s="120"/>
      <c r="E483" s="120"/>
      <c r="F483" s="134"/>
      <c r="H483" s="127"/>
      <c r="I483" s="120"/>
      <c r="J483" s="120"/>
      <c r="K483" s="120"/>
      <c r="L483" s="120"/>
    </row>
    <row r="484" spans="3:12">
      <c r="C484" s="120"/>
      <c r="D484" s="120"/>
      <c r="E484" s="120"/>
      <c r="F484" s="134"/>
      <c r="H484" s="127"/>
      <c r="I484" s="120"/>
      <c r="J484" s="120"/>
      <c r="K484" s="120"/>
      <c r="L484" s="120"/>
    </row>
    <row r="485" spans="3:12">
      <c r="C485" s="120"/>
      <c r="D485" s="120"/>
      <c r="E485" s="120"/>
      <c r="F485" s="134"/>
      <c r="H485" s="127"/>
      <c r="I485" s="120"/>
      <c r="J485" s="120"/>
      <c r="K485" s="120"/>
      <c r="L485" s="120"/>
    </row>
    <row r="486" spans="3:12">
      <c r="C486" s="120"/>
      <c r="D486" s="120"/>
      <c r="E486" s="120"/>
      <c r="F486" s="134"/>
      <c r="H486" s="127"/>
      <c r="I486" s="120"/>
      <c r="J486" s="120"/>
      <c r="K486" s="120"/>
      <c r="L486" s="120"/>
    </row>
    <row r="487" spans="3:12">
      <c r="C487" s="120"/>
      <c r="D487" s="120"/>
      <c r="E487" s="120"/>
      <c r="F487" s="134"/>
      <c r="H487" s="127"/>
      <c r="I487" s="120"/>
      <c r="J487" s="120"/>
      <c r="K487" s="120"/>
      <c r="L487" s="120"/>
    </row>
    <row r="488" spans="3:12">
      <c r="C488" s="120"/>
      <c r="D488" s="120"/>
      <c r="E488" s="120"/>
      <c r="F488" s="134"/>
      <c r="H488" s="127"/>
      <c r="I488" s="120"/>
      <c r="J488" s="120"/>
      <c r="K488" s="120"/>
      <c r="L488" s="120"/>
    </row>
    <row r="489" spans="3:12">
      <c r="C489" s="120"/>
      <c r="D489" s="120"/>
      <c r="E489" s="120"/>
      <c r="F489" s="134"/>
      <c r="H489" s="127"/>
      <c r="I489" s="120"/>
      <c r="J489" s="120"/>
      <c r="K489" s="120"/>
      <c r="L489" s="120"/>
    </row>
    <row r="490" spans="3:12">
      <c r="C490" s="120"/>
      <c r="D490" s="120"/>
      <c r="E490" s="120"/>
      <c r="F490" s="134"/>
      <c r="H490" s="127"/>
      <c r="I490" s="120"/>
      <c r="J490" s="120"/>
      <c r="K490" s="120"/>
      <c r="L490" s="120"/>
    </row>
    <row r="491" spans="3:12">
      <c r="C491" s="120"/>
      <c r="D491" s="120"/>
      <c r="E491" s="120"/>
      <c r="F491" s="134"/>
      <c r="H491" s="127"/>
      <c r="I491" s="120"/>
      <c r="J491" s="120"/>
      <c r="K491" s="120"/>
      <c r="L491" s="120"/>
    </row>
    <row r="492" spans="3:12">
      <c r="C492" s="120"/>
      <c r="D492" s="120"/>
      <c r="E492" s="120"/>
      <c r="F492" s="134"/>
      <c r="H492" s="127"/>
      <c r="I492" s="120"/>
      <c r="J492" s="120"/>
      <c r="K492" s="120"/>
      <c r="L492" s="120"/>
    </row>
    <row r="493" spans="3:12">
      <c r="C493" s="120"/>
      <c r="D493" s="120"/>
      <c r="E493" s="120"/>
      <c r="F493" s="134"/>
      <c r="H493" s="127"/>
      <c r="I493" s="120"/>
      <c r="J493" s="120"/>
      <c r="K493" s="120"/>
      <c r="L493" s="120"/>
    </row>
    <row r="494" spans="3:12">
      <c r="C494" s="120"/>
      <c r="D494" s="120"/>
      <c r="E494" s="120"/>
      <c r="F494" s="134"/>
      <c r="H494" s="127"/>
      <c r="I494" s="120"/>
      <c r="J494" s="120"/>
      <c r="K494" s="120"/>
      <c r="L494" s="120"/>
    </row>
    <row r="495" spans="3:12">
      <c r="C495" s="120"/>
      <c r="D495" s="120"/>
      <c r="E495" s="120"/>
      <c r="F495" s="134"/>
      <c r="H495" s="127"/>
      <c r="I495" s="120"/>
      <c r="J495" s="120"/>
      <c r="K495" s="120"/>
      <c r="L495" s="120"/>
    </row>
    <row r="496" spans="3:12">
      <c r="C496" s="120"/>
      <c r="D496" s="120"/>
      <c r="E496" s="120"/>
      <c r="F496" s="134"/>
      <c r="H496" s="127"/>
      <c r="I496" s="120"/>
      <c r="J496" s="120"/>
      <c r="K496" s="120"/>
      <c r="L496" s="120"/>
    </row>
    <row r="497" spans="3:12">
      <c r="C497" s="120"/>
      <c r="D497" s="120"/>
      <c r="E497" s="120"/>
      <c r="F497" s="134"/>
      <c r="H497" s="127"/>
      <c r="I497" s="120"/>
      <c r="J497" s="120"/>
      <c r="K497" s="120"/>
      <c r="L497" s="120"/>
    </row>
    <row r="498" spans="3:12">
      <c r="C498" s="120"/>
      <c r="D498" s="120"/>
      <c r="E498" s="120"/>
      <c r="F498" s="134"/>
      <c r="H498" s="127"/>
      <c r="I498" s="120"/>
      <c r="J498" s="120"/>
      <c r="K498" s="120"/>
      <c r="L498" s="120"/>
    </row>
    <row r="499" spans="3:12">
      <c r="C499" s="120"/>
      <c r="D499" s="120"/>
      <c r="E499" s="120"/>
      <c r="F499" s="134"/>
      <c r="H499" s="127"/>
      <c r="I499" s="120"/>
      <c r="J499" s="120"/>
      <c r="K499" s="120"/>
      <c r="L499" s="120"/>
    </row>
    <row r="500" spans="3:12">
      <c r="C500" s="120"/>
      <c r="D500" s="120"/>
      <c r="E500" s="120"/>
      <c r="F500" s="134"/>
      <c r="H500" s="127"/>
      <c r="I500" s="120"/>
      <c r="J500" s="120"/>
      <c r="K500" s="120"/>
      <c r="L500" s="120"/>
    </row>
    <row r="501" spans="3:12">
      <c r="C501" s="120"/>
      <c r="D501" s="120"/>
      <c r="E501" s="120"/>
      <c r="F501" s="134"/>
      <c r="H501" s="127"/>
      <c r="I501" s="120"/>
      <c r="J501" s="120"/>
      <c r="K501" s="120"/>
      <c r="L501" s="120"/>
    </row>
    <row r="502" spans="3:12">
      <c r="C502" s="120"/>
      <c r="D502" s="120"/>
      <c r="E502" s="120"/>
      <c r="F502" s="134"/>
      <c r="H502" s="127"/>
      <c r="I502" s="120"/>
      <c r="J502" s="120"/>
      <c r="K502" s="120"/>
      <c r="L502" s="120"/>
    </row>
    <row r="503" spans="3:12">
      <c r="C503" s="120"/>
      <c r="D503" s="120"/>
      <c r="E503" s="120"/>
      <c r="F503" s="134"/>
      <c r="H503" s="127"/>
      <c r="I503" s="120"/>
      <c r="J503" s="120"/>
      <c r="K503" s="120"/>
      <c r="L503" s="120"/>
    </row>
    <row r="504" spans="3:12">
      <c r="C504" s="120"/>
      <c r="D504" s="120"/>
      <c r="E504" s="120"/>
      <c r="F504" s="134"/>
      <c r="H504" s="127"/>
      <c r="I504" s="120"/>
      <c r="J504" s="120"/>
      <c r="K504" s="120"/>
      <c r="L504" s="120"/>
    </row>
    <row r="505" spans="3:12">
      <c r="C505" s="120"/>
      <c r="D505" s="120"/>
      <c r="E505" s="120"/>
      <c r="F505" s="134"/>
      <c r="H505" s="127"/>
      <c r="I505" s="120"/>
      <c r="J505" s="120"/>
      <c r="K505" s="120"/>
      <c r="L505" s="120"/>
    </row>
    <row r="506" spans="3:12">
      <c r="C506" s="120"/>
      <c r="D506" s="120"/>
      <c r="E506" s="120"/>
      <c r="F506" s="134"/>
      <c r="H506" s="127"/>
      <c r="I506" s="120"/>
      <c r="J506" s="120"/>
      <c r="K506" s="120"/>
      <c r="L506" s="120"/>
    </row>
    <row r="507" spans="3:12">
      <c r="C507" s="120"/>
      <c r="D507" s="120"/>
      <c r="E507" s="120"/>
      <c r="F507" s="134"/>
      <c r="H507" s="127"/>
      <c r="I507" s="120"/>
      <c r="J507" s="120"/>
      <c r="K507" s="120"/>
      <c r="L507" s="120"/>
    </row>
    <row r="508" spans="3:12">
      <c r="C508" s="120"/>
      <c r="D508" s="120"/>
      <c r="E508" s="120"/>
      <c r="F508" s="134"/>
      <c r="H508" s="127"/>
      <c r="I508" s="120"/>
      <c r="J508" s="120"/>
      <c r="K508" s="120"/>
      <c r="L508" s="120"/>
    </row>
    <row r="509" spans="3:12">
      <c r="C509" s="120"/>
      <c r="D509" s="120"/>
      <c r="E509" s="120"/>
      <c r="F509" s="134"/>
      <c r="H509" s="127"/>
      <c r="I509" s="120"/>
      <c r="J509" s="120"/>
      <c r="K509" s="120"/>
      <c r="L509" s="120"/>
    </row>
    <row r="510" spans="3:12">
      <c r="C510" s="120"/>
      <c r="D510" s="120"/>
      <c r="E510" s="120"/>
      <c r="F510" s="134"/>
      <c r="H510" s="127"/>
      <c r="I510" s="120"/>
      <c r="J510" s="120"/>
      <c r="K510" s="120"/>
      <c r="L510" s="120"/>
    </row>
    <row r="511" spans="3:12">
      <c r="C511" s="120"/>
      <c r="D511" s="120"/>
      <c r="E511" s="120"/>
      <c r="F511" s="134"/>
      <c r="H511" s="127"/>
      <c r="I511" s="120"/>
      <c r="J511" s="120"/>
      <c r="K511" s="120"/>
      <c r="L511" s="120"/>
    </row>
    <row r="512" spans="3:12">
      <c r="C512" s="120"/>
      <c r="D512" s="120"/>
      <c r="E512" s="120"/>
      <c r="F512" s="134"/>
      <c r="H512" s="127"/>
      <c r="I512" s="120"/>
      <c r="J512" s="120"/>
      <c r="K512" s="120"/>
      <c r="L512" s="120"/>
    </row>
    <row r="513" spans="3:12">
      <c r="C513" s="120"/>
      <c r="D513" s="120"/>
      <c r="E513" s="120"/>
      <c r="F513" s="134"/>
      <c r="H513" s="127"/>
      <c r="I513" s="120"/>
      <c r="J513" s="120"/>
      <c r="K513" s="120"/>
      <c r="L513" s="120"/>
    </row>
    <row r="514" spans="3:12">
      <c r="C514" s="120"/>
      <c r="D514" s="120"/>
      <c r="E514" s="120"/>
      <c r="F514" s="134"/>
      <c r="H514" s="127"/>
      <c r="I514" s="120"/>
      <c r="J514" s="120"/>
      <c r="K514" s="120"/>
      <c r="L514" s="120"/>
    </row>
    <row r="515" spans="3:12">
      <c r="C515" s="120"/>
      <c r="D515" s="120"/>
      <c r="E515" s="120"/>
      <c r="F515" s="134"/>
      <c r="H515" s="127"/>
      <c r="I515" s="120"/>
      <c r="J515" s="120"/>
      <c r="K515" s="120"/>
      <c r="L515" s="120"/>
    </row>
    <row r="516" spans="3:12">
      <c r="C516" s="120"/>
      <c r="D516" s="120"/>
      <c r="E516" s="120"/>
      <c r="F516" s="134"/>
      <c r="H516" s="127"/>
      <c r="I516" s="120"/>
      <c r="J516" s="120"/>
      <c r="K516" s="120"/>
      <c r="L516" s="120"/>
    </row>
    <row r="517" spans="3:12">
      <c r="C517" s="120"/>
      <c r="D517" s="120"/>
      <c r="E517" s="120"/>
      <c r="F517" s="134"/>
      <c r="H517" s="127"/>
      <c r="I517" s="120"/>
      <c r="J517" s="120"/>
      <c r="K517" s="120"/>
      <c r="L517" s="120"/>
    </row>
    <row r="518" spans="3:12">
      <c r="C518" s="120"/>
      <c r="D518" s="120"/>
      <c r="E518" s="120"/>
      <c r="F518" s="134"/>
      <c r="H518" s="127"/>
      <c r="I518" s="120"/>
      <c r="J518" s="120"/>
      <c r="K518" s="120"/>
      <c r="L518" s="120"/>
    </row>
    <row r="519" spans="3:12">
      <c r="C519" s="120"/>
      <c r="D519" s="120"/>
      <c r="E519" s="120"/>
      <c r="F519" s="134"/>
      <c r="H519" s="127"/>
      <c r="I519" s="120"/>
      <c r="J519" s="120"/>
      <c r="K519" s="120"/>
      <c r="L519" s="120"/>
    </row>
    <row r="520" spans="3:12">
      <c r="C520" s="120"/>
      <c r="D520" s="120"/>
      <c r="E520" s="120"/>
      <c r="F520" s="134"/>
      <c r="H520" s="127"/>
      <c r="I520" s="120"/>
      <c r="J520" s="120"/>
      <c r="K520" s="120"/>
      <c r="L520" s="120"/>
    </row>
    <row r="521" spans="3:12">
      <c r="C521" s="120"/>
      <c r="D521" s="120"/>
      <c r="E521" s="120"/>
      <c r="F521" s="134"/>
      <c r="H521" s="127"/>
      <c r="I521" s="120"/>
      <c r="J521" s="120"/>
      <c r="K521" s="120"/>
      <c r="L521" s="120"/>
    </row>
    <row r="522" spans="3:12">
      <c r="C522" s="120"/>
      <c r="D522" s="120"/>
      <c r="E522" s="120"/>
      <c r="F522" s="134"/>
      <c r="H522" s="127"/>
      <c r="I522" s="120"/>
      <c r="J522" s="120"/>
      <c r="K522" s="120"/>
      <c r="L522" s="120"/>
    </row>
    <row r="523" spans="3:12">
      <c r="C523" s="120"/>
      <c r="D523" s="120"/>
      <c r="E523" s="120"/>
      <c r="F523" s="134"/>
      <c r="H523" s="127"/>
      <c r="I523" s="120"/>
      <c r="J523" s="120"/>
      <c r="K523" s="120"/>
      <c r="L523" s="120"/>
    </row>
    <row r="524" spans="3:12">
      <c r="C524" s="120"/>
      <c r="D524" s="120"/>
      <c r="E524" s="120"/>
      <c r="F524" s="134"/>
      <c r="H524" s="127"/>
      <c r="I524" s="120"/>
      <c r="J524" s="120"/>
      <c r="K524" s="120"/>
      <c r="L524" s="120"/>
    </row>
    <row r="525" spans="3:12">
      <c r="C525" s="120"/>
      <c r="D525" s="120"/>
      <c r="E525" s="120"/>
      <c r="F525" s="134"/>
      <c r="H525" s="127"/>
      <c r="I525" s="120"/>
      <c r="J525" s="120"/>
      <c r="K525" s="120"/>
      <c r="L525" s="120"/>
    </row>
    <row r="526" spans="3:12">
      <c r="C526" s="120"/>
      <c r="D526" s="120"/>
      <c r="E526" s="120"/>
      <c r="F526" s="134"/>
      <c r="H526" s="127"/>
      <c r="I526" s="120"/>
      <c r="J526" s="120"/>
      <c r="K526" s="120"/>
      <c r="L526" s="120"/>
    </row>
    <row r="527" spans="3:12">
      <c r="C527" s="120"/>
      <c r="D527" s="120"/>
      <c r="E527" s="120"/>
      <c r="F527" s="134"/>
      <c r="H527" s="127"/>
      <c r="I527" s="120"/>
      <c r="J527" s="120"/>
      <c r="K527" s="120"/>
      <c r="L527" s="120"/>
    </row>
    <row r="528" spans="3:12">
      <c r="C528" s="120"/>
      <c r="D528" s="120"/>
      <c r="E528" s="120"/>
      <c r="F528" s="134"/>
      <c r="H528" s="127"/>
      <c r="I528" s="120"/>
      <c r="J528" s="120"/>
      <c r="K528" s="120"/>
      <c r="L528" s="120"/>
    </row>
    <row r="529" spans="3:12">
      <c r="C529" s="120"/>
      <c r="D529" s="120"/>
      <c r="E529" s="120"/>
      <c r="F529" s="134"/>
      <c r="H529" s="127"/>
      <c r="I529" s="120"/>
      <c r="J529" s="120"/>
      <c r="K529" s="120"/>
      <c r="L529" s="120"/>
    </row>
    <row r="530" spans="3:12">
      <c r="C530" s="120"/>
      <c r="D530" s="120"/>
      <c r="E530" s="120"/>
      <c r="F530" s="134"/>
      <c r="H530" s="127"/>
      <c r="I530" s="120"/>
      <c r="J530" s="120"/>
      <c r="K530" s="120"/>
      <c r="L530" s="120"/>
    </row>
    <row r="531" spans="3:12">
      <c r="C531" s="120"/>
      <c r="D531" s="120"/>
      <c r="E531" s="120"/>
      <c r="F531" s="134"/>
      <c r="H531" s="127"/>
      <c r="I531" s="120"/>
      <c r="J531" s="120"/>
      <c r="K531" s="120"/>
      <c r="L531" s="120"/>
    </row>
    <row r="532" spans="3:12">
      <c r="C532" s="120"/>
      <c r="D532" s="120"/>
      <c r="E532" s="120"/>
      <c r="F532" s="134"/>
      <c r="H532" s="127"/>
      <c r="I532" s="120"/>
      <c r="J532" s="120"/>
      <c r="K532" s="120"/>
      <c r="L532" s="120"/>
    </row>
    <row r="533" spans="3:12">
      <c r="C533" s="120"/>
      <c r="D533" s="120"/>
      <c r="E533" s="120"/>
      <c r="F533" s="134"/>
      <c r="H533" s="127"/>
      <c r="I533" s="120"/>
      <c r="J533" s="120"/>
      <c r="K533" s="120"/>
      <c r="L533" s="120"/>
    </row>
    <row r="534" spans="3:12">
      <c r="C534" s="120"/>
      <c r="D534" s="120"/>
      <c r="E534" s="120"/>
      <c r="F534" s="134"/>
      <c r="H534" s="127"/>
      <c r="I534" s="120"/>
      <c r="J534" s="120"/>
      <c r="K534" s="120"/>
      <c r="L534" s="120"/>
    </row>
    <row r="535" spans="3:12">
      <c r="C535" s="120"/>
      <c r="D535" s="120"/>
      <c r="E535" s="120"/>
      <c r="F535" s="134"/>
      <c r="H535" s="127"/>
      <c r="I535" s="120"/>
      <c r="J535" s="120"/>
      <c r="K535" s="120"/>
      <c r="L535" s="120"/>
    </row>
    <row r="536" spans="3:12">
      <c r="C536" s="120"/>
      <c r="D536" s="120"/>
      <c r="E536" s="120"/>
      <c r="F536" s="134"/>
      <c r="H536" s="127"/>
      <c r="I536" s="120"/>
      <c r="J536" s="120"/>
      <c r="K536" s="120"/>
      <c r="L536" s="120"/>
    </row>
    <row r="537" spans="3:12">
      <c r="C537" s="120"/>
      <c r="D537" s="120"/>
      <c r="E537" s="120"/>
      <c r="F537" s="134"/>
      <c r="H537" s="127"/>
      <c r="I537" s="120"/>
      <c r="J537" s="120"/>
      <c r="K537" s="120"/>
      <c r="L537" s="120"/>
    </row>
    <row r="538" spans="3:12">
      <c r="C538" s="120"/>
      <c r="D538" s="120"/>
      <c r="E538" s="120"/>
      <c r="F538" s="134"/>
      <c r="H538" s="127"/>
      <c r="I538" s="120"/>
      <c r="J538" s="120"/>
      <c r="K538" s="120"/>
      <c r="L538" s="120"/>
    </row>
    <row r="539" spans="3:12">
      <c r="C539" s="120"/>
      <c r="D539" s="120"/>
      <c r="E539" s="120"/>
      <c r="F539" s="134"/>
      <c r="H539" s="127"/>
      <c r="I539" s="120"/>
      <c r="J539" s="120"/>
      <c r="K539" s="120"/>
      <c r="L539" s="120"/>
    </row>
    <row r="540" spans="3:12">
      <c r="C540" s="120"/>
      <c r="D540" s="120"/>
      <c r="E540" s="120"/>
      <c r="F540" s="134"/>
      <c r="H540" s="127"/>
      <c r="I540" s="120"/>
      <c r="J540" s="120"/>
      <c r="K540" s="120"/>
      <c r="L540" s="120"/>
    </row>
    <row r="541" spans="3:12">
      <c r="C541" s="120"/>
      <c r="D541" s="120"/>
      <c r="E541" s="120"/>
      <c r="F541" s="134"/>
      <c r="H541" s="127"/>
      <c r="I541" s="120"/>
      <c r="J541" s="120"/>
      <c r="K541" s="120"/>
      <c r="L541" s="120"/>
    </row>
    <row r="542" spans="3:12">
      <c r="C542" s="120"/>
      <c r="D542" s="120"/>
      <c r="E542" s="120"/>
      <c r="F542" s="134"/>
      <c r="H542" s="127"/>
      <c r="I542" s="120"/>
      <c r="J542" s="120"/>
      <c r="K542" s="120"/>
      <c r="L542" s="120"/>
    </row>
    <row r="543" spans="3:12">
      <c r="C543" s="120"/>
      <c r="D543" s="120"/>
      <c r="E543" s="120"/>
      <c r="F543" s="134"/>
      <c r="H543" s="127"/>
      <c r="I543" s="120"/>
      <c r="J543" s="120"/>
      <c r="K543" s="120"/>
      <c r="L543" s="120"/>
    </row>
    <row r="544" spans="3:12">
      <c r="C544" s="120"/>
      <c r="D544" s="120"/>
      <c r="E544" s="120"/>
      <c r="F544" s="134"/>
      <c r="H544" s="127"/>
      <c r="I544" s="120"/>
      <c r="J544" s="120"/>
      <c r="K544" s="120"/>
      <c r="L544" s="120"/>
    </row>
    <row r="545" spans="3:12">
      <c r="C545" s="120"/>
      <c r="D545" s="120"/>
      <c r="E545" s="120"/>
      <c r="F545" s="134"/>
      <c r="H545" s="127"/>
      <c r="I545" s="120"/>
      <c r="J545" s="120"/>
      <c r="K545" s="120"/>
      <c r="L545" s="120"/>
    </row>
    <row r="546" spans="3:12">
      <c r="C546" s="120"/>
      <c r="D546" s="120"/>
      <c r="E546" s="120"/>
      <c r="F546" s="134"/>
      <c r="H546" s="127"/>
      <c r="I546" s="120"/>
      <c r="J546" s="120"/>
      <c r="K546" s="120"/>
      <c r="L546" s="120"/>
    </row>
    <row r="547" spans="3:12">
      <c r="C547" s="120"/>
      <c r="D547" s="120"/>
      <c r="E547" s="120"/>
      <c r="F547" s="134"/>
      <c r="H547" s="127"/>
      <c r="I547" s="120"/>
      <c r="J547" s="120"/>
      <c r="K547" s="120"/>
      <c r="L547" s="120"/>
    </row>
    <row r="548" spans="3:12">
      <c r="C548" s="120"/>
      <c r="D548" s="120"/>
      <c r="E548" s="120"/>
      <c r="F548" s="134"/>
      <c r="H548" s="127"/>
      <c r="I548" s="120"/>
      <c r="J548" s="120"/>
      <c r="K548" s="120"/>
      <c r="L548" s="120"/>
    </row>
    <row r="549" spans="3:12">
      <c r="C549" s="120"/>
      <c r="D549" s="120"/>
      <c r="E549" s="120"/>
      <c r="F549" s="134"/>
      <c r="H549" s="127"/>
      <c r="I549" s="120"/>
      <c r="J549" s="120"/>
      <c r="K549" s="120"/>
      <c r="L549" s="120"/>
    </row>
    <row r="550" spans="3:12">
      <c r="C550" s="120"/>
      <c r="D550" s="120"/>
      <c r="E550" s="120"/>
      <c r="F550" s="134"/>
      <c r="H550" s="127"/>
      <c r="I550" s="120"/>
      <c r="J550" s="120"/>
      <c r="K550" s="120"/>
      <c r="L550" s="120"/>
    </row>
    <row r="551" spans="3:12">
      <c r="C551" s="120"/>
      <c r="D551" s="120"/>
      <c r="E551" s="120"/>
      <c r="F551" s="134"/>
      <c r="H551" s="127"/>
      <c r="I551" s="120"/>
      <c r="J551" s="120"/>
      <c r="K551" s="120"/>
      <c r="L551" s="120"/>
    </row>
    <row r="552" spans="3:12">
      <c r="C552" s="120"/>
      <c r="D552" s="120"/>
      <c r="E552" s="120"/>
      <c r="F552" s="134"/>
      <c r="H552" s="127"/>
      <c r="I552" s="120"/>
      <c r="J552" s="120"/>
      <c r="K552" s="120"/>
      <c r="L552" s="120"/>
    </row>
    <row r="553" spans="3:12">
      <c r="C553" s="120"/>
      <c r="D553" s="120"/>
      <c r="E553" s="120"/>
      <c r="F553" s="134"/>
      <c r="H553" s="127"/>
      <c r="I553" s="120"/>
      <c r="J553" s="120"/>
      <c r="K553" s="120"/>
      <c r="L553" s="120"/>
    </row>
    <row r="554" spans="3:12">
      <c r="C554" s="120"/>
      <c r="D554" s="120"/>
      <c r="E554" s="120"/>
      <c r="F554" s="134"/>
      <c r="H554" s="127"/>
      <c r="I554" s="120"/>
      <c r="J554" s="120"/>
      <c r="K554" s="120"/>
      <c r="L554" s="120"/>
    </row>
    <row r="555" spans="3:12">
      <c r="C555" s="120"/>
      <c r="D555" s="120"/>
      <c r="E555" s="120"/>
      <c r="F555" s="134"/>
      <c r="H555" s="127"/>
      <c r="I555" s="120"/>
      <c r="J555" s="120"/>
      <c r="K555" s="120"/>
      <c r="L555" s="120"/>
    </row>
    <row r="556" spans="3:12">
      <c r="C556" s="120"/>
      <c r="D556" s="120"/>
      <c r="E556" s="120"/>
      <c r="F556" s="134"/>
      <c r="H556" s="127"/>
      <c r="I556" s="120"/>
      <c r="J556" s="120"/>
      <c r="K556" s="120"/>
      <c r="L556" s="120"/>
    </row>
    <row r="557" spans="3:12">
      <c r="C557" s="120"/>
      <c r="D557" s="120"/>
      <c r="E557" s="120"/>
      <c r="F557" s="134"/>
      <c r="H557" s="127"/>
      <c r="I557" s="120"/>
      <c r="J557" s="120"/>
      <c r="K557" s="120"/>
      <c r="L557" s="120"/>
    </row>
    <row r="558" spans="3:12">
      <c r="C558" s="120"/>
      <c r="D558" s="120"/>
      <c r="E558" s="120"/>
      <c r="F558" s="134"/>
      <c r="H558" s="127"/>
      <c r="I558" s="120"/>
      <c r="J558" s="120"/>
      <c r="K558" s="120"/>
      <c r="L558" s="120"/>
    </row>
    <row r="559" spans="3:12">
      <c r="C559" s="120"/>
      <c r="D559" s="120"/>
      <c r="E559" s="120"/>
      <c r="F559" s="134"/>
      <c r="H559" s="127"/>
      <c r="I559" s="120"/>
      <c r="J559" s="120"/>
      <c r="K559" s="120"/>
      <c r="L559" s="120"/>
    </row>
    <row r="560" spans="3:12">
      <c r="C560" s="120"/>
      <c r="D560" s="120"/>
      <c r="E560" s="120"/>
      <c r="F560" s="134"/>
      <c r="H560" s="127"/>
      <c r="I560" s="120"/>
      <c r="J560" s="120"/>
      <c r="K560" s="120"/>
      <c r="L560" s="120"/>
    </row>
    <row r="561" spans="3:12">
      <c r="C561" s="120"/>
      <c r="D561" s="120"/>
      <c r="E561" s="120"/>
      <c r="F561" s="134"/>
      <c r="H561" s="127"/>
      <c r="I561" s="120"/>
      <c r="J561" s="120"/>
      <c r="K561" s="120"/>
      <c r="L561" s="120"/>
    </row>
    <row r="562" spans="3:12">
      <c r="C562" s="120"/>
      <c r="D562" s="120"/>
      <c r="E562" s="120"/>
      <c r="F562" s="134"/>
      <c r="H562" s="127"/>
      <c r="I562" s="120"/>
      <c r="J562" s="120"/>
      <c r="K562" s="120"/>
      <c r="L562" s="120"/>
    </row>
    <row r="563" spans="3:12">
      <c r="C563" s="120"/>
      <c r="D563" s="120"/>
      <c r="E563" s="120"/>
      <c r="F563" s="134"/>
      <c r="H563" s="127"/>
      <c r="I563" s="120"/>
      <c r="J563" s="120"/>
      <c r="K563" s="120"/>
      <c r="L563" s="120"/>
    </row>
    <row r="564" spans="3:12">
      <c r="C564" s="120"/>
      <c r="D564" s="120"/>
      <c r="E564" s="120"/>
      <c r="F564" s="134"/>
      <c r="H564" s="127"/>
      <c r="I564" s="120"/>
      <c r="J564" s="120"/>
      <c r="K564" s="120"/>
      <c r="L564" s="120"/>
    </row>
    <row r="565" spans="3:12">
      <c r="C565" s="120"/>
      <c r="D565" s="120"/>
      <c r="E565" s="120"/>
      <c r="F565" s="134"/>
      <c r="H565" s="127"/>
      <c r="I565" s="120"/>
      <c r="J565" s="120"/>
      <c r="K565" s="120"/>
      <c r="L565" s="120"/>
    </row>
    <row r="566" spans="3:12">
      <c r="C566" s="120"/>
      <c r="D566" s="120"/>
      <c r="E566" s="120"/>
      <c r="F566" s="134"/>
      <c r="H566" s="127"/>
      <c r="I566" s="120"/>
      <c r="J566" s="120"/>
      <c r="K566" s="120"/>
      <c r="L566" s="120"/>
    </row>
    <row r="567" spans="3:12">
      <c r="C567" s="120"/>
      <c r="D567" s="120"/>
      <c r="E567" s="120"/>
      <c r="F567" s="134"/>
      <c r="H567" s="127"/>
      <c r="I567" s="120"/>
      <c r="J567" s="120"/>
      <c r="K567" s="120"/>
      <c r="L567" s="120"/>
    </row>
    <row r="568" spans="3:12">
      <c r="C568" s="120"/>
      <c r="D568" s="120"/>
      <c r="E568" s="120"/>
      <c r="F568" s="134"/>
      <c r="H568" s="127"/>
      <c r="I568" s="120"/>
      <c r="J568" s="120"/>
      <c r="K568" s="120"/>
      <c r="L568" s="120"/>
    </row>
    <row r="569" spans="3:12">
      <c r="C569" s="120"/>
      <c r="D569" s="120"/>
      <c r="E569" s="120"/>
      <c r="F569" s="134"/>
      <c r="H569" s="127"/>
      <c r="I569" s="120"/>
      <c r="J569" s="120"/>
      <c r="K569" s="120"/>
      <c r="L569" s="120"/>
    </row>
    <row r="570" spans="3:12">
      <c r="C570" s="120"/>
      <c r="D570" s="120"/>
      <c r="E570" s="120"/>
      <c r="F570" s="134"/>
      <c r="H570" s="127"/>
      <c r="I570" s="120"/>
      <c r="J570" s="120"/>
      <c r="K570" s="120"/>
      <c r="L570" s="120"/>
    </row>
    <row r="571" spans="3:12">
      <c r="C571" s="120"/>
      <c r="D571" s="120"/>
      <c r="E571" s="120"/>
      <c r="F571" s="134"/>
      <c r="H571" s="127"/>
      <c r="I571" s="120"/>
      <c r="J571" s="120"/>
      <c r="K571" s="120"/>
      <c r="L571" s="120"/>
    </row>
    <row r="572" spans="3:12">
      <c r="C572" s="120"/>
      <c r="D572" s="120"/>
      <c r="E572" s="120"/>
      <c r="F572" s="134"/>
      <c r="H572" s="127"/>
      <c r="I572" s="120"/>
      <c r="J572" s="120"/>
      <c r="K572" s="120"/>
      <c r="L572" s="120"/>
    </row>
    <row r="573" spans="3:12">
      <c r="C573" s="120"/>
      <c r="D573" s="120"/>
      <c r="E573" s="120"/>
      <c r="F573" s="134"/>
      <c r="H573" s="127"/>
      <c r="I573" s="120"/>
      <c r="J573" s="120"/>
      <c r="K573" s="120"/>
      <c r="L573" s="120"/>
    </row>
    <row r="574" spans="3:12">
      <c r="C574" s="120"/>
      <c r="D574" s="120"/>
      <c r="E574" s="120"/>
      <c r="F574" s="134"/>
      <c r="H574" s="127"/>
      <c r="I574" s="120"/>
      <c r="J574" s="120"/>
      <c r="K574" s="120"/>
      <c r="L574" s="120"/>
    </row>
    <row r="575" spans="3:12">
      <c r="C575" s="120"/>
      <c r="D575" s="120"/>
      <c r="E575" s="120"/>
      <c r="F575" s="134"/>
      <c r="H575" s="127"/>
      <c r="I575" s="120"/>
      <c r="J575" s="120"/>
      <c r="K575" s="120"/>
      <c r="L575" s="120"/>
    </row>
    <row r="576" spans="3:12">
      <c r="C576" s="120"/>
      <c r="D576" s="120"/>
      <c r="E576" s="120"/>
      <c r="F576" s="134"/>
      <c r="H576" s="127"/>
      <c r="I576" s="120"/>
      <c r="J576" s="120"/>
      <c r="K576" s="120"/>
      <c r="L576" s="120"/>
    </row>
    <row r="577" spans="3:12">
      <c r="C577" s="120"/>
      <c r="D577" s="120"/>
      <c r="E577" s="120"/>
      <c r="F577" s="134"/>
      <c r="H577" s="127"/>
      <c r="I577" s="120"/>
      <c r="J577" s="120"/>
      <c r="K577" s="120"/>
      <c r="L577" s="120"/>
    </row>
    <row r="578" spans="3:12">
      <c r="C578" s="120"/>
      <c r="D578" s="120"/>
      <c r="E578" s="120"/>
      <c r="F578" s="134"/>
      <c r="H578" s="127"/>
      <c r="I578" s="120"/>
      <c r="J578" s="120"/>
      <c r="K578" s="120"/>
      <c r="L578" s="120"/>
    </row>
    <row r="579" spans="3:12">
      <c r="C579" s="120"/>
      <c r="D579" s="120"/>
      <c r="E579" s="120"/>
      <c r="F579" s="134"/>
      <c r="H579" s="127"/>
      <c r="I579" s="120"/>
      <c r="J579" s="120"/>
      <c r="K579" s="120"/>
      <c r="L579" s="120"/>
    </row>
    <row r="580" spans="3:12">
      <c r="C580" s="120"/>
      <c r="D580" s="120"/>
      <c r="E580" s="120"/>
      <c r="F580" s="134"/>
      <c r="H580" s="127"/>
      <c r="I580" s="120"/>
      <c r="J580" s="120"/>
      <c r="K580" s="120"/>
      <c r="L580" s="120"/>
    </row>
    <row r="581" spans="3:12">
      <c r="C581" s="120"/>
      <c r="D581" s="120"/>
      <c r="E581" s="120"/>
      <c r="F581" s="134"/>
      <c r="H581" s="127"/>
      <c r="I581" s="120"/>
      <c r="J581" s="120"/>
      <c r="K581" s="120"/>
      <c r="L581" s="120"/>
    </row>
    <row r="582" spans="3:12">
      <c r="C582" s="120"/>
      <c r="D582" s="120"/>
      <c r="E582" s="120"/>
      <c r="F582" s="134"/>
      <c r="H582" s="127"/>
      <c r="I582" s="120"/>
      <c r="J582" s="120"/>
      <c r="K582" s="120"/>
      <c r="L582" s="120"/>
    </row>
    <row r="583" spans="3:12">
      <c r="C583" s="120"/>
      <c r="D583" s="120"/>
      <c r="E583" s="120"/>
      <c r="F583" s="134"/>
      <c r="H583" s="127"/>
      <c r="I583" s="120"/>
      <c r="J583" s="120"/>
      <c r="K583" s="120"/>
      <c r="L583" s="120"/>
    </row>
    <row r="584" spans="3:12">
      <c r="C584" s="120"/>
      <c r="D584" s="120"/>
      <c r="E584" s="120"/>
      <c r="F584" s="134"/>
      <c r="H584" s="127"/>
      <c r="I584" s="120"/>
      <c r="J584" s="120"/>
      <c r="K584" s="120"/>
      <c r="L584" s="120"/>
    </row>
    <row r="585" spans="3:12">
      <c r="C585" s="120"/>
      <c r="D585" s="120"/>
      <c r="E585" s="120"/>
      <c r="F585" s="134"/>
      <c r="H585" s="127"/>
      <c r="I585" s="120"/>
      <c r="J585" s="120"/>
      <c r="K585" s="120"/>
      <c r="L585" s="120"/>
    </row>
    <row r="586" spans="3:12">
      <c r="C586" s="120"/>
      <c r="D586" s="120"/>
      <c r="E586" s="120"/>
      <c r="F586" s="134"/>
      <c r="H586" s="127"/>
      <c r="I586" s="120"/>
      <c r="J586" s="120"/>
      <c r="K586" s="120"/>
      <c r="L586" s="120"/>
    </row>
    <row r="587" spans="3:12">
      <c r="C587" s="120"/>
      <c r="D587" s="120"/>
      <c r="E587" s="120"/>
      <c r="F587" s="134"/>
      <c r="H587" s="127"/>
      <c r="I587" s="120"/>
      <c r="J587" s="120"/>
      <c r="K587" s="120"/>
      <c r="L587" s="120"/>
    </row>
    <row r="588" spans="3:12">
      <c r="C588" s="120"/>
      <c r="D588" s="120"/>
      <c r="E588" s="120"/>
      <c r="F588" s="134"/>
      <c r="H588" s="127"/>
      <c r="I588" s="120"/>
      <c r="J588" s="120"/>
      <c r="K588" s="120"/>
      <c r="L588" s="120"/>
    </row>
    <row r="589" spans="3:12">
      <c r="C589" s="120"/>
      <c r="D589" s="120"/>
      <c r="E589" s="120"/>
      <c r="F589" s="134"/>
      <c r="H589" s="127"/>
      <c r="I589" s="120"/>
      <c r="J589" s="120"/>
      <c r="K589" s="120"/>
      <c r="L589" s="120"/>
    </row>
    <row r="590" spans="3:12">
      <c r="C590" s="120"/>
      <c r="D590" s="120"/>
      <c r="E590" s="120"/>
      <c r="F590" s="134"/>
      <c r="H590" s="127"/>
      <c r="I590" s="120"/>
      <c r="J590" s="120"/>
      <c r="K590" s="120"/>
      <c r="L590" s="120"/>
    </row>
    <row r="591" spans="3:12">
      <c r="C591" s="120"/>
      <c r="D591" s="120"/>
      <c r="E591" s="120"/>
      <c r="F591" s="134"/>
      <c r="H591" s="127"/>
      <c r="I591" s="120"/>
      <c r="J591" s="120"/>
      <c r="K591" s="120"/>
      <c r="L591" s="120"/>
    </row>
    <row r="592" spans="3:12">
      <c r="C592" s="120"/>
      <c r="D592" s="120"/>
      <c r="E592" s="120"/>
      <c r="F592" s="134"/>
      <c r="H592" s="127"/>
      <c r="I592" s="120"/>
      <c r="J592" s="120"/>
      <c r="K592" s="120"/>
      <c r="L592" s="120"/>
    </row>
    <row r="593" spans="3:12">
      <c r="C593" s="120"/>
      <c r="D593" s="120"/>
      <c r="E593" s="120"/>
      <c r="F593" s="134"/>
      <c r="H593" s="127"/>
      <c r="I593" s="120"/>
      <c r="J593" s="120"/>
      <c r="K593" s="120"/>
      <c r="L593" s="120"/>
    </row>
    <row r="594" spans="3:12">
      <c r="C594" s="120"/>
      <c r="D594" s="120"/>
      <c r="E594" s="120"/>
      <c r="F594" s="134"/>
      <c r="H594" s="127"/>
      <c r="I594" s="120"/>
      <c r="J594" s="120"/>
      <c r="K594" s="120"/>
      <c r="L594" s="120"/>
    </row>
    <row r="595" spans="3:12">
      <c r="C595" s="120"/>
      <c r="D595" s="120"/>
      <c r="E595" s="120"/>
      <c r="F595" s="134"/>
      <c r="H595" s="127"/>
      <c r="I595" s="120"/>
      <c r="J595" s="120"/>
      <c r="K595" s="120"/>
      <c r="L595" s="120"/>
    </row>
    <row r="596" spans="3:12">
      <c r="C596" s="120"/>
      <c r="D596" s="120"/>
      <c r="E596" s="120"/>
      <c r="F596" s="134"/>
      <c r="H596" s="127"/>
      <c r="I596" s="120"/>
      <c r="J596" s="120"/>
      <c r="K596" s="120"/>
      <c r="L596" s="120"/>
    </row>
    <row r="597" spans="3:12">
      <c r="C597" s="120"/>
      <c r="D597" s="120"/>
      <c r="E597" s="120"/>
      <c r="F597" s="134"/>
      <c r="H597" s="127"/>
      <c r="I597" s="120"/>
      <c r="J597" s="120"/>
      <c r="K597" s="120"/>
      <c r="L597" s="120"/>
    </row>
    <row r="598" spans="3:12">
      <c r="C598" s="120"/>
      <c r="D598" s="120"/>
      <c r="E598" s="120"/>
      <c r="F598" s="134"/>
      <c r="H598" s="127"/>
      <c r="I598" s="120"/>
      <c r="J598" s="120"/>
      <c r="K598" s="120"/>
      <c r="L598" s="120"/>
    </row>
    <row r="599" spans="3:12">
      <c r="C599" s="120"/>
      <c r="D599" s="120"/>
      <c r="E599" s="120"/>
      <c r="F599" s="134"/>
      <c r="H599" s="127"/>
      <c r="I599" s="120"/>
      <c r="J599" s="120"/>
      <c r="K599" s="120"/>
      <c r="L599" s="120"/>
    </row>
    <row r="600" spans="3:12">
      <c r="C600" s="120"/>
      <c r="D600" s="120"/>
      <c r="E600" s="120"/>
      <c r="F600" s="134"/>
      <c r="H600" s="127"/>
      <c r="I600" s="120"/>
      <c r="J600" s="120"/>
      <c r="K600" s="120"/>
      <c r="L600" s="120"/>
    </row>
    <row r="601" spans="3:12">
      <c r="C601" s="120"/>
      <c r="D601" s="120"/>
      <c r="E601" s="120"/>
      <c r="F601" s="134"/>
      <c r="H601" s="127"/>
      <c r="I601" s="120"/>
      <c r="J601" s="120"/>
      <c r="K601" s="120"/>
      <c r="L601" s="120"/>
    </row>
    <row r="602" spans="3:12">
      <c r="C602" s="120"/>
      <c r="D602" s="120"/>
      <c r="E602" s="120"/>
      <c r="F602" s="134"/>
      <c r="H602" s="127"/>
      <c r="I602" s="120"/>
      <c r="J602" s="120"/>
      <c r="K602" s="120"/>
      <c r="L602" s="120"/>
    </row>
    <row r="603" spans="3:12">
      <c r="C603" s="120"/>
      <c r="D603" s="120"/>
      <c r="E603" s="120"/>
      <c r="F603" s="134"/>
      <c r="H603" s="127"/>
      <c r="I603" s="120"/>
      <c r="J603" s="120"/>
      <c r="K603" s="120"/>
      <c r="L603" s="120"/>
    </row>
    <row r="604" spans="3:12">
      <c r="C604" s="120"/>
      <c r="D604" s="120"/>
      <c r="E604" s="120"/>
      <c r="F604" s="134"/>
      <c r="H604" s="127"/>
      <c r="I604" s="120"/>
      <c r="J604" s="120"/>
      <c r="K604" s="120"/>
      <c r="L604" s="120"/>
    </row>
    <row r="605" spans="3:12">
      <c r="C605" s="120"/>
      <c r="D605" s="120"/>
      <c r="E605" s="120"/>
      <c r="F605" s="134"/>
      <c r="H605" s="127"/>
      <c r="I605" s="120"/>
      <c r="J605" s="120"/>
      <c r="K605" s="120"/>
      <c r="L605" s="120"/>
    </row>
    <row r="606" spans="3:12">
      <c r="C606" s="120"/>
      <c r="D606" s="120"/>
      <c r="E606" s="120"/>
      <c r="F606" s="134"/>
      <c r="H606" s="127"/>
      <c r="I606" s="120"/>
      <c r="J606" s="120"/>
      <c r="K606" s="120"/>
      <c r="L606" s="120"/>
    </row>
    <row r="607" spans="3:12">
      <c r="C607" s="120"/>
      <c r="D607" s="120"/>
      <c r="E607" s="120"/>
      <c r="F607" s="134"/>
      <c r="H607" s="127"/>
      <c r="I607" s="120"/>
      <c r="J607" s="120"/>
      <c r="K607" s="120"/>
      <c r="L607" s="120"/>
    </row>
    <row r="608" spans="3:12">
      <c r="C608" s="120"/>
      <c r="D608" s="120"/>
      <c r="E608" s="120"/>
      <c r="F608" s="134"/>
      <c r="H608" s="127"/>
      <c r="I608" s="120"/>
      <c r="J608" s="120"/>
      <c r="K608" s="120"/>
      <c r="L608" s="120"/>
    </row>
    <row r="609" spans="3:12">
      <c r="C609" s="120"/>
      <c r="D609" s="120"/>
      <c r="E609" s="120"/>
      <c r="F609" s="134"/>
      <c r="H609" s="127"/>
      <c r="I609" s="120"/>
      <c r="J609" s="120"/>
      <c r="K609" s="120"/>
      <c r="L609" s="120"/>
    </row>
    <row r="610" spans="3:12">
      <c r="C610" s="120"/>
      <c r="D610" s="120"/>
      <c r="E610" s="120"/>
      <c r="F610" s="134"/>
      <c r="H610" s="127"/>
      <c r="I610" s="120"/>
      <c r="J610" s="120"/>
      <c r="K610" s="120"/>
      <c r="L610" s="120"/>
    </row>
    <row r="611" spans="3:12">
      <c r="C611" s="120"/>
      <c r="D611" s="120"/>
      <c r="E611" s="120"/>
      <c r="F611" s="134"/>
      <c r="H611" s="127"/>
      <c r="I611" s="120"/>
      <c r="J611" s="120"/>
      <c r="K611" s="120"/>
      <c r="L611" s="120"/>
    </row>
    <row r="612" spans="3:12">
      <c r="C612" s="120"/>
      <c r="D612" s="120"/>
      <c r="E612" s="120"/>
      <c r="F612" s="134"/>
      <c r="H612" s="127"/>
      <c r="I612" s="120"/>
      <c r="J612" s="120"/>
      <c r="K612" s="120"/>
      <c r="L612" s="120"/>
    </row>
    <row r="613" spans="3:12">
      <c r="C613" s="120"/>
      <c r="D613" s="120"/>
      <c r="E613" s="120"/>
      <c r="F613" s="134"/>
      <c r="H613" s="127"/>
      <c r="I613" s="120"/>
      <c r="J613" s="120"/>
      <c r="K613" s="120"/>
      <c r="L613" s="120"/>
    </row>
    <row r="614" spans="3:12">
      <c r="C614" s="120"/>
      <c r="D614" s="120"/>
      <c r="E614" s="120"/>
      <c r="F614" s="134"/>
      <c r="H614" s="127"/>
      <c r="I614" s="120"/>
      <c r="J614" s="120"/>
      <c r="K614" s="120"/>
      <c r="L614" s="120"/>
    </row>
    <row r="615" spans="3:12">
      <c r="C615" s="120"/>
      <c r="D615" s="120"/>
      <c r="E615" s="120"/>
      <c r="F615" s="134"/>
      <c r="H615" s="127"/>
      <c r="I615" s="120"/>
      <c r="J615" s="120"/>
      <c r="K615" s="120"/>
      <c r="L615" s="120"/>
    </row>
    <row r="616" spans="3:12">
      <c r="C616" s="120"/>
      <c r="D616" s="120"/>
      <c r="E616" s="120"/>
      <c r="F616" s="134"/>
      <c r="H616" s="127"/>
      <c r="I616" s="120"/>
      <c r="J616" s="120"/>
      <c r="K616" s="120"/>
      <c r="L616" s="120"/>
    </row>
    <row r="617" spans="3:12">
      <c r="C617" s="120"/>
      <c r="D617" s="120"/>
      <c r="E617" s="120"/>
      <c r="F617" s="134"/>
      <c r="H617" s="127"/>
      <c r="I617" s="120"/>
      <c r="J617" s="120"/>
      <c r="K617" s="120"/>
      <c r="L617" s="120"/>
    </row>
    <row r="618" spans="3:12">
      <c r="C618" s="120"/>
      <c r="D618" s="120"/>
      <c r="E618" s="120"/>
      <c r="F618" s="134"/>
      <c r="H618" s="127"/>
      <c r="I618" s="120"/>
      <c r="J618" s="120"/>
      <c r="K618" s="120"/>
      <c r="L618" s="120"/>
    </row>
    <row r="619" spans="3:12">
      <c r="C619" s="120"/>
      <c r="D619" s="120"/>
      <c r="E619" s="120"/>
      <c r="F619" s="134"/>
      <c r="H619" s="127"/>
      <c r="I619" s="120"/>
      <c r="J619" s="120"/>
      <c r="K619" s="120"/>
      <c r="L619" s="120"/>
    </row>
    <row r="620" spans="3:12">
      <c r="C620" s="120"/>
      <c r="D620" s="120"/>
      <c r="E620" s="120"/>
      <c r="F620" s="134"/>
      <c r="H620" s="127"/>
      <c r="I620" s="120"/>
      <c r="J620" s="120"/>
      <c r="K620" s="120"/>
      <c r="L620" s="120"/>
    </row>
    <row r="621" spans="3:12">
      <c r="C621" s="120"/>
      <c r="D621" s="120"/>
      <c r="E621" s="120"/>
      <c r="F621" s="134"/>
      <c r="H621" s="127"/>
      <c r="I621" s="120"/>
      <c r="J621" s="120"/>
      <c r="K621" s="120"/>
      <c r="L621" s="120"/>
    </row>
    <row r="622" spans="3:12">
      <c r="C622" s="120"/>
      <c r="D622" s="120"/>
      <c r="E622" s="120"/>
      <c r="F622" s="134"/>
      <c r="H622" s="127"/>
      <c r="I622" s="120"/>
      <c r="J622" s="120"/>
      <c r="K622" s="120"/>
      <c r="L622" s="120"/>
    </row>
    <row r="623" spans="3:12">
      <c r="C623" s="120"/>
      <c r="D623" s="120"/>
      <c r="E623" s="120"/>
      <c r="F623" s="134"/>
      <c r="H623" s="127"/>
      <c r="I623" s="120"/>
      <c r="J623" s="120"/>
      <c r="K623" s="120"/>
      <c r="L623" s="120"/>
    </row>
    <row r="624" spans="3:12">
      <c r="C624" s="120"/>
      <c r="D624" s="120"/>
      <c r="E624" s="120"/>
      <c r="F624" s="134"/>
      <c r="H624" s="127"/>
      <c r="I624" s="120"/>
      <c r="J624" s="120"/>
      <c r="K624" s="120"/>
      <c r="L624" s="120"/>
    </row>
    <row r="625" spans="3:12">
      <c r="C625" s="120"/>
      <c r="D625" s="120"/>
      <c r="E625" s="120"/>
      <c r="F625" s="134"/>
      <c r="H625" s="127"/>
      <c r="I625" s="120"/>
      <c r="J625" s="120"/>
      <c r="K625" s="120"/>
      <c r="L625" s="120"/>
    </row>
    <row r="626" spans="3:12">
      <c r="C626" s="120"/>
      <c r="D626" s="120"/>
      <c r="E626" s="120"/>
      <c r="F626" s="134"/>
      <c r="H626" s="127"/>
      <c r="I626" s="120"/>
      <c r="J626" s="120"/>
      <c r="K626" s="120"/>
      <c r="L626" s="120"/>
    </row>
    <row r="627" spans="3:12">
      <c r="C627" s="120"/>
      <c r="D627" s="120"/>
      <c r="E627" s="120"/>
      <c r="F627" s="134"/>
      <c r="H627" s="127"/>
      <c r="I627" s="120"/>
      <c r="J627" s="120"/>
      <c r="K627" s="120"/>
      <c r="L627" s="120"/>
    </row>
    <row r="628" spans="3:12">
      <c r="C628" s="120"/>
      <c r="D628" s="120"/>
      <c r="E628" s="120"/>
      <c r="F628" s="134"/>
      <c r="H628" s="127"/>
      <c r="I628" s="120"/>
      <c r="J628" s="120"/>
      <c r="K628" s="120"/>
      <c r="L628" s="120"/>
    </row>
    <row r="629" spans="3:12">
      <c r="C629" s="120"/>
      <c r="D629" s="120"/>
      <c r="E629" s="120"/>
      <c r="F629" s="134"/>
      <c r="H629" s="127"/>
      <c r="I629" s="120"/>
      <c r="J629" s="120"/>
      <c r="K629" s="120"/>
      <c r="L629" s="120"/>
    </row>
    <row r="630" spans="3:12">
      <c r="C630" s="120"/>
      <c r="D630" s="120"/>
      <c r="E630" s="120"/>
      <c r="F630" s="134"/>
      <c r="H630" s="127"/>
      <c r="I630" s="120"/>
      <c r="J630" s="120"/>
      <c r="K630" s="120"/>
      <c r="L630" s="120"/>
    </row>
    <row r="631" spans="3:12">
      <c r="C631" s="120"/>
      <c r="D631" s="120"/>
      <c r="E631" s="120"/>
      <c r="F631" s="134"/>
      <c r="H631" s="127"/>
      <c r="I631" s="120"/>
      <c r="J631" s="120"/>
      <c r="K631" s="120"/>
      <c r="L631" s="120"/>
    </row>
    <row r="632" spans="3:12">
      <c r="C632" s="120"/>
      <c r="D632" s="120"/>
      <c r="E632" s="120"/>
      <c r="F632" s="134"/>
      <c r="H632" s="127"/>
      <c r="I632" s="120"/>
      <c r="J632" s="120"/>
      <c r="K632" s="120"/>
      <c r="L632" s="120"/>
    </row>
    <row r="633" spans="3:12">
      <c r="C633" s="120"/>
      <c r="D633" s="120"/>
      <c r="E633" s="120"/>
      <c r="F633" s="134"/>
      <c r="H633" s="127"/>
      <c r="I633" s="120"/>
      <c r="J633" s="120"/>
      <c r="K633" s="120"/>
      <c r="L633" s="120"/>
    </row>
    <row r="634" spans="3:12">
      <c r="C634" s="120"/>
      <c r="D634" s="120"/>
      <c r="E634" s="120"/>
      <c r="F634" s="134"/>
      <c r="H634" s="127"/>
      <c r="I634" s="120"/>
      <c r="J634" s="120"/>
      <c r="K634" s="120"/>
      <c r="L634" s="120"/>
    </row>
    <row r="635" spans="3:12">
      <c r="C635" s="120"/>
      <c r="D635" s="120"/>
      <c r="E635" s="120"/>
      <c r="F635" s="134"/>
      <c r="H635" s="127"/>
      <c r="I635" s="120"/>
      <c r="J635" s="120"/>
      <c r="K635" s="120"/>
      <c r="L635" s="120"/>
    </row>
    <row r="636" spans="3:12">
      <c r="C636" s="120"/>
      <c r="D636" s="120"/>
      <c r="E636" s="120"/>
      <c r="F636" s="134"/>
      <c r="H636" s="127"/>
      <c r="I636" s="120"/>
      <c r="J636" s="120"/>
      <c r="K636" s="120"/>
      <c r="L636" s="120"/>
    </row>
    <row r="637" spans="3:12">
      <c r="C637" s="120"/>
      <c r="D637" s="120"/>
      <c r="E637" s="120"/>
      <c r="F637" s="134"/>
      <c r="H637" s="127"/>
      <c r="I637" s="120"/>
      <c r="J637" s="120"/>
      <c r="K637" s="120"/>
      <c r="L637" s="120"/>
    </row>
    <row r="638" spans="3:12">
      <c r="C638" s="120"/>
      <c r="D638" s="120"/>
      <c r="E638" s="120"/>
      <c r="F638" s="134"/>
      <c r="H638" s="127"/>
      <c r="I638" s="120"/>
      <c r="J638" s="120"/>
      <c r="K638" s="120"/>
      <c r="L638" s="120"/>
    </row>
    <row r="639" spans="3:12">
      <c r="C639" s="120"/>
      <c r="D639" s="120"/>
      <c r="E639" s="120"/>
      <c r="F639" s="134"/>
      <c r="H639" s="127"/>
      <c r="I639" s="120"/>
      <c r="J639" s="120"/>
      <c r="K639" s="120"/>
      <c r="L639" s="120"/>
    </row>
    <row r="640" spans="3:12">
      <c r="C640" s="120"/>
      <c r="D640" s="120"/>
      <c r="E640" s="120"/>
      <c r="F640" s="134"/>
      <c r="H640" s="127"/>
      <c r="I640" s="120"/>
      <c r="J640" s="120"/>
      <c r="K640" s="120"/>
      <c r="L640" s="120"/>
    </row>
    <row r="641" spans="3:12">
      <c r="C641" s="120"/>
      <c r="D641" s="120"/>
      <c r="E641" s="120"/>
      <c r="F641" s="134"/>
      <c r="H641" s="127"/>
      <c r="I641" s="120"/>
      <c r="J641" s="120"/>
      <c r="K641" s="120"/>
      <c r="L641" s="120"/>
    </row>
    <row r="642" spans="3:12">
      <c r="C642" s="120"/>
      <c r="D642" s="120"/>
      <c r="E642" s="120"/>
      <c r="F642" s="134"/>
      <c r="H642" s="127"/>
      <c r="I642" s="120"/>
      <c r="J642" s="120"/>
      <c r="K642" s="120"/>
      <c r="L642" s="120"/>
    </row>
    <row r="643" spans="3:12">
      <c r="C643" s="120"/>
      <c r="D643" s="120"/>
      <c r="E643" s="120"/>
      <c r="F643" s="134"/>
      <c r="H643" s="127"/>
      <c r="I643" s="120"/>
      <c r="J643" s="120"/>
      <c r="K643" s="120"/>
      <c r="L643" s="120"/>
    </row>
    <row r="644" spans="3:12">
      <c r="C644" s="120"/>
      <c r="D644" s="120"/>
      <c r="E644" s="120"/>
      <c r="F644" s="134"/>
      <c r="H644" s="127"/>
      <c r="I644" s="120"/>
      <c r="J644" s="120"/>
      <c r="K644" s="120"/>
      <c r="L644" s="120"/>
    </row>
    <row r="645" spans="3:12">
      <c r="C645" s="120"/>
      <c r="D645" s="120"/>
      <c r="E645" s="120"/>
      <c r="F645" s="134"/>
      <c r="H645" s="127"/>
      <c r="I645" s="120"/>
      <c r="J645" s="120"/>
      <c r="K645" s="120"/>
      <c r="L645" s="120"/>
    </row>
    <row r="646" spans="3:12">
      <c r="C646" s="120"/>
      <c r="D646" s="120"/>
      <c r="E646" s="120"/>
      <c r="F646" s="134"/>
      <c r="H646" s="127"/>
      <c r="I646" s="120"/>
      <c r="J646" s="120"/>
      <c r="K646" s="120"/>
      <c r="L646" s="120"/>
    </row>
    <row r="647" spans="3:12">
      <c r="C647" s="120"/>
      <c r="D647" s="120"/>
      <c r="E647" s="120"/>
      <c r="F647" s="134"/>
      <c r="H647" s="127"/>
      <c r="I647" s="120"/>
      <c r="J647" s="120"/>
      <c r="K647" s="120"/>
      <c r="L647" s="120"/>
    </row>
    <row r="648" spans="3:12">
      <c r="C648" s="120"/>
      <c r="D648" s="120"/>
      <c r="E648" s="120"/>
      <c r="F648" s="134"/>
      <c r="H648" s="127"/>
      <c r="I648" s="120"/>
      <c r="J648" s="120"/>
      <c r="K648" s="120"/>
      <c r="L648" s="120"/>
    </row>
    <row r="649" spans="3:12">
      <c r="C649" s="120"/>
      <c r="D649" s="120"/>
      <c r="E649" s="120"/>
      <c r="F649" s="134"/>
      <c r="H649" s="127"/>
      <c r="I649" s="120"/>
      <c r="J649" s="120"/>
      <c r="K649" s="120"/>
      <c r="L649" s="120"/>
    </row>
    <row r="650" spans="3:12">
      <c r="C650" s="120"/>
      <c r="D650" s="120"/>
      <c r="E650" s="120"/>
      <c r="F650" s="134"/>
      <c r="H650" s="127"/>
      <c r="I650" s="120"/>
      <c r="J650" s="120"/>
      <c r="K650" s="120"/>
      <c r="L650" s="120"/>
    </row>
    <row r="651" spans="3:12">
      <c r="C651" s="120"/>
      <c r="D651" s="120"/>
      <c r="E651" s="120"/>
      <c r="F651" s="134"/>
      <c r="H651" s="127"/>
      <c r="I651" s="120"/>
      <c r="J651" s="120"/>
      <c r="K651" s="120"/>
      <c r="L651" s="120"/>
    </row>
    <row r="652" spans="3:12">
      <c r="C652" s="120"/>
      <c r="D652" s="120"/>
      <c r="E652" s="120"/>
      <c r="F652" s="134"/>
      <c r="H652" s="127"/>
      <c r="I652" s="120"/>
      <c r="J652" s="120"/>
      <c r="K652" s="120"/>
      <c r="L652" s="120"/>
    </row>
    <row r="653" spans="3:12">
      <c r="C653" s="120"/>
      <c r="D653" s="120"/>
      <c r="E653" s="120"/>
      <c r="F653" s="134"/>
      <c r="H653" s="127"/>
      <c r="I653" s="120"/>
      <c r="J653" s="120"/>
      <c r="K653" s="120"/>
      <c r="L653" s="120"/>
    </row>
    <row r="654" spans="3:12">
      <c r="C654" s="120"/>
      <c r="D654" s="120"/>
      <c r="E654" s="120"/>
      <c r="F654" s="134"/>
      <c r="H654" s="127"/>
      <c r="I654" s="120"/>
      <c r="J654" s="120"/>
      <c r="K654" s="120"/>
      <c r="L654" s="120"/>
    </row>
    <row r="655" spans="3:12">
      <c r="C655" s="120"/>
      <c r="D655" s="120"/>
      <c r="E655" s="120"/>
      <c r="F655" s="134"/>
      <c r="H655" s="127"/>
      <c r="I655" s="120"/>
      <c r="J655" s="120"/>
      <c r="K655" s="120"/>
      <c r="L655" s="120"/>
    </row>
    <row r="656" spans="3:12">
      <c r="C656" s="120"/>
      <c r="D656" s="120"/>
      <c r="E656" s="120"/>
      <c r="F656" s="134"/>
      <c r="H656" s="127"/>
      <c r="I656" s="120"/>
      <c r="J656" s="120"/>
      <c r="K656" s="120"/>
      <c r="L656" s="120"/>
    </row>
    <row r="657" spans="3:12">
      <c r="C657" s="120"/>
      <c r="D657" s="120"/>
      <c r="E657" s="120"/>
      <c r="F657" s="134"/>
      <c r="H657" s="127"/>
      <c r="I657" s="120"/>
      <c r="J657" s="120"/>
      <c r="K657" s="120"/>
      <c r="L657" s="120"/>
    </row>
    <row r="658" spans="3:12">
      <c r="C658" s="120"/>
      <c r="D658" s="120"/>
      <c r="E658" s="120"/>
      <c r="F658" s="134"/>
      <c r="H658" s="127"/>
      <c r="I658" s="120"/>
      <c r="J658" s="120"/>
      <c r="K658" s="120"/>
      <c r="L658" s="120"/>
    </row>
    <row r="659" spans="3:12">
      <c r="C659" s="120"/>
      <c r="D659" s="120"/>
      <c r="E659" s="120"/>
      <c r="F659" s="134"/>
      <c r="H659" s="127"/>
      <c r="I659" s="120"/>
      <c r="J659" s="120"/>
      <c r="K659" s="120"/>
      <c r="L659" s="120"/>
    </row>
    <row r="660" spans="3:12">
      <c r="C660" s="120"/>
      <c r="D660" s="120"/>
      <c r="E660" s="120"/>
      <c r="F660" s="134"/>
      <c r="H660" s="127"/>
      <c r="I660" s="120"/>
      <c r="J660" s="120"/>
      <c r="K660" s="120"/>
      <c r="L660" s="120"/>
    </row>
    <row r="661" spans="3:12">
      <c r="C661" s="120"/>
      <c r="D661" s="120"/>
      <c r="E661" s="120"/>
      <c r="F661" s="134"/>
      <c r="H661" s="127"/>
      <c r="I661" s="120"/>
      <c r="J661" s="120"/>
      <c r="K661" s="120"/>
      <c r="L661" s="120"/>
    </row>
    <row r="662" spans="3:12">
      <c r="C662" s="120"/>
      <c r="D662" s="120"/>
      <c r="E662" s="120"/>
      <c r="F662" s="134"/>
      <c r="H662" s="127"/>
      <c r="I662" s="120"/>
      <c r="J662" s="120"/>
      <c r="K662" s="120"/>
      <c r="L662" s="120"/>
    </row>
    <row r="663" spans="3:12">
      <c r="C663" s="120"/>
      <c r="D663" s="120"/>
      <c r="E663" s="120"/>
      <c r="F663" s="134"/>
      <c r="H663" s="127"/>
      <c r="I663" s="120"/>
      <c r="J663" s="120"/>
      <c r="K663" s="120"/>
      <c r="L663" s="120"/>
    </row>
    <row r="664" spans="3:12">
      <c r="C664" s="120"/>
      <c r="D664" s="120"/>
      <c r="E664" s="120"/>
      <c r="F664" s="134"/>
      <c r="H664" s="127"/>
      <c r="I664" s="120"/>
      <c r="J664" s="120"/>
      <c r="K664" s="120"/>
      <c r="L664" s="120"/>
    </row>
    <row r="665" spans="3:12">
      <c r="C665" s="120"/>
      <c r="D665" s="120"/>
      <c r="E665" s="120"/>
      <c r="F665" s="134"/>
      <c r="H665" s="127"/>
      <c r="I665" s="120"/>
      <c r="J665" s="120"/>
      <c r="K665" s="120"/>
      <c r="L665" s="120"/>
    </row>
    <row r="666" spans="3:12">
      <c r="C666" s="120"/>
      <c r="D666" s="120"/>
      <c r="E666" s="120"/>
      <c r="F666" s="134"/>
      <c r="H666" s="127"/>
      <c r="I666" s="120"/>
      <c r="J666" s="120"/>
      <c r="K666" s="120"/>
      <c r="L666" s="120"/>
    </row>
    <row r="667" spans="3:12">
      <c r="C667" s="120"/>
      <c r="D667" s="120"/>
      <c r="E667" s="120"/>
      <c r="F667" s="134"/>
      <c r="H667" s="127"/>
      <c r="I667" s="120"/>
      <c r="J667" s="120"/>
      <c r="K667" s="120"/>
      <c r="L667" s="120"/>
    </row>
    <row r="668" spans="3:12">
      <c r="C668" s="120"/>
      <c r="D668" s="120"/>
      <c r="E668" s="120"/>
      <c r="F668" s="134"/>
      <c r="H668" s="127"/>
      <c r="I668" s="120"/>
      <c r="J668" s="120"/>
      <c r="K668" s="120"/>
      <c r="L668" s="120"/>
    </row>
    <row r="669" spans="3:12">
      <c r="C669" s="120"/>
      <c r="D669" s="120"/>
      <c r="E669" s="120"/>
      <c r="F669" s="134"/>
      <c r="H669" s="127"/>
      <c r="I669" s="120"/>
      <c r="J669" s="120"/>
      <c r="K669" s="120"/>
      <c r="L669" s="120"/>
    </row>
    <row r="670" spans="3:12">
      <c r="C670" s="120"/>
      <c r="D670" s="120"/>
      <c r="E670" s="120"/>
      <c r="F670" s="134"/>
      <c r="H670" s="127"/>
      <c r="I670" s="120"/>
      <c r="J670" s="120"/>
      <c r="K670" s="120"/>
      <c r="L670" s="120"/>
    </row>
    <row r="671" spans="3:12">
      <c r="C671" s="120"/>
      <c r="D671" s="120"/>
      <c r="E671" s="120"/>
      <c r="F671" s="134"/>
      <c r="H671" s="127"/>
      <c r="I671" s="120"/>
      <c r="J671" s="120"/>
      <c r="K671" s="120"/>
      <c r="L671" s="120"/>
    </row>
    <row r="672" spans="3:12">
      <c r="C672" s="120"/>
      <c r="D672" s="120"/>
      <c r="E672" s="120"/>
      <c r="F672" s="134"/>
      <c r="H672" s="127"/>
      <c r="I672" s="120"/>
      <c r="J672" s="120"/>
      <c r="K672" s="120"/>
      <c r="L672" s="120"/>
    </row>
    <row r="673" spans="3:12">
      <c r="C673" s="120"/>
      <c r="D673" s="120"/>
      <c r="E673" s="120"/>
      <c r="F673" s="134"/>
      <c r="H673" s="127"/>
      <c r="I673" s="120"/>
      <c r="J673" s="120"/>
      <c r="K673" s="120"/>
      <c r="L673" s="120"/>
    </row>
    <row r="674" spans="3:12">
      <c r="C674" s="120"/>
      <c r="D674" s="120"/>
      <c r="E674" s="120"/>
      <c r="F674" s="134"/>
      <c r="H674" s="127"/>
      <c r="I674" s="120"/>
      <c r="J674" s="120"/>
      <c r="K674" s="120"/>
      <c r="L674" s="120"/>
    </row>
    <row r="675" spans="3:12">
      <c r="C675" s="120"/>
      <c r="D675" s="120"/>
      <c r="E675" s="120"/>
      <c r="F675" s="134"/>
      <c r="H675" s="127"/>
      <c r="I675" s="120"/>
      <c r="J675" s="120"/>
      <c r="K675" s="120"/>
      <c r="L675" s="120"/>
    </row>
    <row r="676" spans="3:12">
      <c r="C676" s="120"/>
      <c r="D676" s="120"/>
      <c r="E676" s="120"/>
      <c r="F676" s="134"/>
      <c r="H676" s="127"/>
      <c r="I676" s="120"/>
      <c r="J676" s="120"/>
      <c r="K676" s="120"/>
      <c r="L676" s="120"/>
    </row>
    <row r="677" spans="3:12">
      <c r="C677" s="120"/>
      <c r="D677" s="120"/>
      <c r="E677" s="120"/>
      <c r="F677" s="134"/>
      <c r="H677" s="127"/>
      <c r="I677" s="120"/>
      <c r="J677" s="120"/>
      <c r="K677" s="120"/>
      <c r="L677" s="120"/>
    </row>
    <row r="678" spans="3:12">
      <c r="C678" s="120"/>
      <c r="D678" s="120"/>
      <c r="E678" s="120"/>
      <c r="F678" s="134"/>
      <c r="H678" s="127"/>
      <c r="I678" s="120"/>
      <c r="J678" s="120"/>
      <c r="K678" s="120"/>
      <c r="L678" s="120"/>
    </row>
    <row r="679" spans="3:12">
      <c r="C679" s="120"/>
      <c r="D679" s="120"/>
      <c r="E679" s="120"/>
      <c r="F679" s="134"/>
      <c r="H679" s="127"/>
      <c r="I679" s="120"/>
      <c r="J679" s="120"/>
      <c r="K679" s="120"/>
      <c r="L679" s="120"/>
    </row>
    <row r="680" spans="3:12">
      <c r="C680" s="120"/>
      <c r="D680" s="120"/>
      <c r="E680" s="120"/>
      <c r="F680" s="134"/>
      <c r="H680" s="127"/>
      <c r="I680" s="120"/>
      <c r="J680" s="120"/>
      <c r="K680" s="120"/>
      <c r="L680" s="120"/>
    </row>
    <row r="681" spans="3:12">
      <c r="C681" s="120"/>
      <c r="D681" s="120"/>
      <c r="E681" s="120"/>
      <c r="F681" s="134"/>
      <c r="H681" s="127"/>
      <c r="I681" s="120"/>
      <c r="J681" s="120"/>
      <c r="K681" s="120"/>
      <c r="L681" s="120"/>
    </row>
    <row r="682" spans="3:12">
      <c r="C682" s="120"/>
      <c r="D682" s="120"/>
      <c r="E682" s="120"/>
      <c r="F682" s="134"/>
      <c r="H682" s="127"/>
      <c r="I682" s="120"/>
      <c r="J682" s="120"/>
      <c r="K682" s="120"/>
      <c r="L682" s="120"/>
    </row>
    <row r="683" spans="3:12">
      <c r="C683" s="120"/>
      <c r="D683" s="120"/>
      <c r="E683" s="120"/>
      <c r="F683" s="134"/>
      <c r="H683" s="127"/>
      <c r="I683" s="120"/>
      <c r="J683" s="120"/>
      <c r="K683" s="120"/>
      <c r="L683" s="120"/>
    </row>
    <row r="684" spans="3:12">
      <c r="C684" s="120"/>
      <c r="D684" s="120"/>
      <c r="E684" s="120"/>
      <c r="F684" s="134"/>
      <c r="H684" s="127"/>
      <c r="I684" s="120"/>
      <c r="J684" s="120"/>
      <c r="K684" s="120"/>
      <c r="L684" s="120"/>
    </row>
    <row r="685" spans="3:12">
      <c r="C685" s="120"/>
      <c r="D685" s="120"/>
      <c r="E685" s="120"/>
      <c r="F685" s="134"/>
      <c r="H685" s="127"/>
      <c r="I685" s="120"/>
      <c r="J685" s="120"/>
      <c r="K685" s="120"/>
      <c r="L685" s="120"/>
    </row>
    <row r="686" spans="3:12">
      <c r="C686" s="120"/>
      <c r="D686" s="120"/>
      <c r="E686" s="120"/>
      <c r="F686" s="134"/>
      <c r="H686" s="127"/>
      <c r="I686" s="120"/>
      <c r="J686" s="120"/>
      <c r="K686" s="120"/>
      <c r="L686" s="120"/>
    </row>
    <row r="687" spans="3:12">
      <c r="C687" s="120"/>
      <c r="D687" s="120"/>
      <c r="E687" s="120"/>
      <c r="F687" s="134"/>
      <c r="H687" s="127"/>
      <c r="I687" s="120"/>
      <c r="J687" s="120"/>
      <c r="K687" s="120"/>
      <c r="L687" s="120"/>
    </row>
    <row r="688" spans="3:12">
      <c r="C688" s="120"/>
      <c r="D688" s="120"/>
      <c r="E688" s="120"/>
      <c r="F688" s="134"/>
      <c r="H688" s="127"/>
      <c r="I688" s="120"/>
      <c r="J688" s="120"/>
      <c r="K688" s="120"/>
      <c r="L688" s="120"/>
    </row>
    <row r="689" spans="3:12">
      <c r="C689" s="120"/>
      <c r="D689" s="120"/>
      <c r="E689" s="120"/>
      <c r="F689" s="134"/>
      <c r="H689" s="127"/>
      <c r="I689" s="120"/>
      <c r="J689" s="120"/>
      <c r="K689" s="120"/>
      <c r="L689" s="120"/>
    </row>
    <row r="690" spans="3:12">
      <c r="C690" s="120"/>
      <c r="D690" s="120"/>
      <c r="E690" s="120"/>
      <c r="F690" s="134"/>
      <c r="H690" s="127"/>
      <c r="I690" s="120"/>
      <c r="J690" s="120"/>
      <c r="K690" s="120"/>
      <c r="L690" s="120"/>
    </row>
    <row r="691" spans="3:12">
      <c r="C691" s="120"/>
      <c r="D691" s="120"/>
      <c r="E691" s="120"/>
      <c r="F691" s="134"/>
      <c r="H691" s="127"/>
      <c r="I691" s="120"/>
      <c r="J691" s="120"/>
      <c r="K691" s="120"/>
      <c r="L691" s="120"/>
    </row>
    <row r="692" spans="3:12">
      <c r="C692" s="120"/>
      <c r="D692" s="120"/>
      <c r="E692" s="120"/>
      <c r="F692" s="134"/>
      <c r="H692" s="127"/>
      <c r="I692" s="120"/>
      <c r="J692" s="120"/>
      <c r="K692" s="120"/>
      <c r="L692" s="120"/>
    </row>
    <row r="693" spans="3:12">
      <c r="C693" s="120"/>
      <c r="D693" s="120"/>
      <c r="E693" s="120"/>
      <c r="F693" s="134"/>
      <c r="H693" s="127"/>
      <c r="I693" s="120"/>
      <c r="J693" s="120"/>
      <c r="K693" s="120"/>
      <c r="L693" s="120"/>
    </row>
    <row r="694" spans="3:12">
      <c r="C694" s="120"/>
      <c r="D694" s="120"/>
      <c r="E694" s="120"/>
      <c r="F694" s="134"/>
      <c r="H694" s="127"/>
      <c r="I694" s="120"/>
      <c r="J694" s="120"/>
      <c r="K694" s="120"/>
      <c r="L694" s="120"/>
    </row>
    <row r="695" spans="3:12">
      <c r="C695" s="120"/>
      <c r="D695" s="120"/>
      <c r="E695" s="120"/>
      <c r="F695" s="134"/>
      <c r="H695" s="127"/>
      <c r="I695" s="120"/>
      <c r="J695" s="120"/>
      <c r="K695" s="120"/>
      <c r="L695" s="120"/>
    </row>
    <row r="696" spans="3:12">
      <c r="C696" s="120"/>
      <c r="D696" s="120"/>
      <c r="E696" s="120"/>
      <c r="F696" s="134"/>
      <c r="H696" s="127"/>
      <c r="I696" s="120"/>
      <c r="J696" s="120"/>
      <c r="K696" s="120"/>
      <c r="L696" s="120"/>
    </row>
    <row r="697" spans="3:12">
      <c r="C697" s="120"/>
      <c r="D697" s="120"/>
      <c r="E697" s="120"/>
      <c r="F697" s="134"/>
      <c r="H697" s="127"/>
      <c r="I697" s="120"/>
      <c r="J697" s="120"/>
      <c r="K697" s="120"/>
      <c r="L697" s="120"/>
    </row>
    <row r="698" spans="3:12">
      <c r="C698" s="120"/>
      <c r="D698" s="120"/>
      <c r="E698" s="120"/>
      <c r="F698" s="134"/>
      <c r="H698" s="127"/>
      <c r="I698" s="120"/>
      <c r="J698" s="120"/>
      <c r="K698" s="120"/>
      <c r="L698" s="120"/>
    </row>
    <row r="699" spans="3:12">
      <c r="C699" s="120"/>
      <c r="D699" s="120"/>
      <c r="E699" s="120"/>
      <c r="F699" s="134"/>
      <c r="H699" s="127"/>
      <c r="I699" s="120"/>
      <c r="J699" s="120"/>
      <c r="K699" s="120"/>
      <c r="L699" s="120"/>
    </row>
    <row r="700" spans="3:12">
      <c r="C700" s="120"/>
      <c r="D700" s="120"/>
      <c r="E700" s="120"/>
      <c r="F700" s="134"/>
      <c r="H700" s="127"/>
      <c r="I700" s="120"/>
      <c r="J700" s="120"/>
      <c r="K700" s="120"/>
      <c r="L700" s="120"/>
    </row>
    <row r="701" spans="3:12">
      <c r="C701" s="120"/>
      <c r="D701" s="120"/>
      <c r="E701" s="120"/>
      <c r="F701" s="134"/>
      <c r="H701" s="127"/>
      <c r="I701" s="120"/>
      <c r="J701" s="120"/>
      <c r="K701" s="120"/>
      <c r="L701" s="120"/>
    </row>
    <row r="702" spans="3:12">
      <c r="C702" s="120"/>
      <c r="D702" s="120"/>
      <c r="E702" s="120"/>
      <c r="F702" s="134"/>
      <c r="H702" s="127"/>
      <c r="I702" s="120"/>
      <c r="J702" s="120"/>
      <c r="K702" s="120"/>
      <c r="L702" s="120"/>
    </row>
    <row r="703" spans="3:12">
      <c r="C703" s="120"/>
      <c r="D703" s="120"/>
      <c r="E703" s="120"/>
      <c r="F703" s="134"/>
      <c r="H703" s="127"/>
      <c r="I703" s="120"/>
      <c r="J703" s="120"/>
      <c r="K703" s="120"/>
      <c r="L703" s="120"/>
    </row>
    <row r="704" spans="3:12">
      <c r="C704" s="120"/>
      <c r="D704" s="120"/>
      <c r="E704" s="120"/>
      <c r="F704" s="134"/>
      <c r="H704" s="127"/>
      <c r="I704" s="120"/>
      <c r="J704" s="120"/>
      <c r="K704" s="120"/>
      <c r="L704" s="120"/>
    </row>
    <row r="705" spans="3:12">
      <c r="C705" s="120"/>
      <c r="D705" s="120"/>
      <c r="E705" s="120"/>
      <c r="F705" s="134"/>
      <c r="H705" s="127"/>
      <c r="I705" s="120"/>
      <c r="J705" s="120"/>
      <c r="K705" s="120"/>
      <c r="L705" s="120"/>
    </row>
    <row r="706" spans="3:12">
      <c r="C706" s="120"/>
      <c r="D706" s="120"/>
      <c r="E706" s="120"/>
      <c r="F706" s="134"/>
      <c r="H706" s="127"/>
      <c r="I706" s="120"/>
      <c r="J706" s="120"/>
      <c r="K706" s="120"/>
      <c r="L706" s="120"/>
    </row>
    <row r="707" spans="3:12">
      <c r="C707" s="120"/>
      <c r="D707" s="120"/>
      <c r="E707" s="120"/>
      <c r="F707" s="134"/>
      <c r="H707" s="127"/>
      <c r="I707" s="120"/>
      <c r="J707" s="120"/>
      <c r="K707" s="120"/>
      <c r="L707" s="120"/>
    </row>
    <row r="708" spans="3:12">
      <c r="C708" s="120"/>
      <c r="D708" s="120"/>
      <c r="E708" s="120"/>
      <c r="F708" s="134"/>
      <c r="H708" s="127"/>
      <c r="I708" s="120"/>
      <c r="J708" s="120"/>
      <c r="K708" s="120"/>
      <c r="L708" s="120"/>
    </row>
    <row r="709" spans="3:12">
      <c r="C709" s="120"/>
      <c r="D709" s="120"/>
      <c r="E709" s="120"/>
      <c r="F709" s="134"/>
      <c r="H709" s="127"/>
      <c r="I709" s="120"/>
      <c r="J709" s="120"/>
      <c r="K709" s="120"/>
      <c r="L709" s="120"/>
    </row>
    <row r="710" spans="3:12">
      <c r="C710" s="120"/>
      <c r="D710" s="120"/>
      <c r="E710" s="120"/>
      <c r="F710" s="134"/>
      <c r="H710" s="127"/>
      <c r="I710" s="120"/>
      <c r="J710" s="120"/>
      <c r="K710" s="120"/>
      <c r="L710" s="120"/>
    </row>
    <row r="711" spans="3:12">
      <c r="C711" s="120"/>
      <c r="D711" s="120"/>
      <c r="E711" s="120"/>
      <c r="F711" s="134"/>
      <c r="H711" s="127"/>
      <c r="I711" s="120"/>
      <c r="J711" s="120"/>
      <c r="K711" s="120"/>
      <c r="L711" s="120"/>
    </row>
    <row r="712" spans="3:12">
      <c r="C712" s="120"/>
      <c r="D712" s="120"/>
      <c r="E712" s="120"/>
      <c r="F712" s="134"/>
      <c r="H712" s="127"/>
      <c r="I712" s="120"/>
      <c r="J712" s="120"/>
      <c r="K712" s="120"/>
      <c r="L712" s="120"/>
    </row>
    <row r="713" spans="3:12">
      <c r="C713" s="120"/>
      <c r="D713" s="120"/>
      <c r="E713" s="120"/>
      <c r="F713" s="134"/>
      <c r="H713" s="127"/>
      <c r="I713" s="120"/>
      <c r="J713" s="120"/>
      <c r="K713" s="120"/>
      <c r="L713" s="120"/>
    </row>
    <row r="714" spans="3:12">
      <c r="C714" s="120"/>
      <c r="D714" s="120"/>
      <c r="E714" s="120"/>
      <c r="F714" s="134"/>
      <c r="H714" s="127"/>
      <c r="I714" s="120"/>
      <c r="J714" s="120"/>
      <c r="K714" s="120"/>
      <c r="L714" s="120"/>
    </row>
    <row r="715" spans="3:12">
      <c r="C715" s="120"/>
      <c r="D715" s="120"/>
      <c r="E715" s="120"/>
      <c r="F715" s="134"/>
      <c r="H715" s="127"/>
      <c r="I715" s="120"/>
      <c r="J715" s="120"/>
      <c r="K715" s="120"/>
      <c r="L715" s="120"/>
    </row>
    <row r="716" spans="3:12">
      <c r="C716" s="120"/>
      <c r="D716" s="120"/>
      <c r="E716" s="120"/>
      <c r="F716" s="134"/>
      <c r="H716" s="127"/>
      <c r="I716" s="120"/>
      <c r="J716" s="120"/>
      <c r="K716" s="120"/>
      <c r="L716" s="120"/>
    </row>
    <row r="717" spans="3:12">
      <c r="C717" s="120"/>
      <c r="D717" s="120"/>
      <c r="E717" s="120"/>
      <c r="F717" s="134"/>
      <c r="H717" s="127"/>
      <c r="I717" s="120"/>
      <c r="J717" s="120"/>
      <c r="K717" s="120"/>
      <c r="L717" s="120"/>
    </row>
    <row r="718" spans="3:12">
      <c r="C718" s="120"/>
      <c r="D718" s="120"/>
      <c r="E718" s="120"/>
      <c r="F718" s="134"/>
      <c r="H718" s="127"/>
      <c r="I718" s="120"/>
      <c r="J718" s="120"/>
      <c r="K718" s="120"/>
      <c r="L718" s="120"/>
    </row>
    <row r="719" spans="3:12">
      <c r="C719" s="120"/>
      <c r="D719" s="120"/>
      <c r="E719" s="120"/>
      <c r="F719" s="134"/>
      <c r="H719" s="127"/>
      <c r="I719" s="120"/>
      <c r="J719" s="120"/>
      <c r="K719" s="120"/>
      <c r="L719" s="120"/>
    </row>
    <row r="720" spans="3:12">
      <c r="C720" s="120"/>
      <c r="D720" s="120"/>
      <c r="E720" s="120"/>
      <c r="F720" s="134"/>
      <c r="H720" s="127"/>
      <c r="I720" s="120"/>
      <c r="J720" s="120"/>
      <c r="K720" s="120"/>
      <c r="L720" s="120"/>
    </row>
    <row r="721" spans="3:12">
      <c r="C721" s="120"/>
      <c r="D721" s="120"/>
      <c r="E721" s="120"/>
      <c r="F721" s="134"/>
      <c r="H721" s="127"/>
      <c r="I721" s="120"/>
      <c r="J721" s="120"/>
      <c r="K721" s="120"/>
      <c r="L721" s="120"/>
    </row>
    <row r="722" spans="3:12">
      <c r="C722" s="120"/>
      <c r="D722" s="120"/>
      <c r="E722" s="120"/>
      <c r="F722" s="134"/>
      <c r="H722" s="127"/>
      <c r="I722" s="120"/>
      <c r="J722" s="120"/>
      <c r="K722" s="120"/>
      <c r="L722" s="120"/>
    </row>
    <row r="723" spans="3:12">
      <c r="C723" s="120"/>
      <c r="D723" s="120"/>
      <c r="E723" s="120"/>
      <c r="F723" s="134"/>
      <c r="H723" s="127"/>
      <c r="I723" s="120"/>
      <c r="J723" s="120"/>
      <c r="K723" s="120"/>
      <c r="L723" s="120"/>
    </row>
    <row r="724" spans="3:12">
      <c r="C724" s="120"/>
      <c r="D724" s="120"/>
      <c r="E724" s="120"/>
      <c r="F724" s="134"/>
      <c r="H724" s="127"/>
      <c r="I724" s="120"/>
      <c r="J724" s="120"/>
      <c r="K724" s="120"/>
      <c r="L724" s="120"/>
    </row>
    <row r="725" spans="3:12">
      <c r="C725" s="120"/>
      <c r="D725" s="120"/>
      <c r="E725" s="120"/>
      <c r="F725" s="134"/>
      <c r="H725" s="127"/>
      <c r="I725" s="120"/>
      <c r="J725" s="120"/>
      <c r="K725" s="120"/>
      <c r="L725" s="120"/>
    </row>
    <row r="726" spans="3:12">
      <c r="C726" s="120"/>
      <c r="D726" s="120"/>
      <c r="E726" s="120"/>
      <c r="F726" s="134"/>
      <c r="H726" s="127"/>
      <c r="I726" s="120"/>
      <c r="J726" s="120"/>
      <c r="K726" s="120"/>
      <c r="L726" s="120"/>
    </row>
    <row r="727" spans="3:12">
      <c r="C727" s="120"/>
      <c r="D727" s="120"/>
      <c r="E727" s="120"/>
      <c r="F727" s="134"/>
      <c r="H727" s="127"/>
      <c r="I727" s="120"/>
      <c r="J727" s="120"/>
      <c r="K727" s="120"/>
      <c r="L727" s="120"/>
    </row>
    <row r="728" spans="3:12">
      <c r="C728" s="120"/>
      <c r="D728" s="120"/>
      <c r="E728" s="120"/>
      <c r="F728" s="134"/>
      <c r="H728" s="127"/>
      <c r="I728" s="120"/>
      <c r="J728" s="120"/>
      <c r="K728" s="120"/>
      <c r="L728" s="120"/>
    </row>
    <row r="729" spans="3:12">
      <c r="C729" s="120"/>
      <c r="D729" s="120"/>
      <c r="E729" s="120"/>
      <c r="F729" s="134"/>
      <c r="H729" s="127"/>
      <c r="I729" s="120"/>
      <c r="J729" s="120"/>
      <c r="K729" s="120"/>
      <c r="L729" s="120"/>
    </row>
    <row r="730" spans="3:12">
      <c r="C730" s="120"/>
      <c r="D730" s="120"/>
      <c r="E730" s="120"/>
      <c r="F730" s="134"/>
      <c r="H730" s="127"/>
      <c r="I730" s="120"/>
      <c r="J730" s="120"/>
      <c r="K730" s="120"/>
      <c r="L730" s="120"/>
    </row>
    <row r="731" spans="3:12">
      <c r="C731" s="120"/>
      <c r="D731" s="120"/>
      <c r="E731" s="120"/>
      <c r="F731" s="134"/>
      <c r="H731" s="127"/>
      <c r="I731" s="120"/>
      <c r="J731" s="120"/>
      <c r="K731" s="120"/>
      <c r="L731" s="120"/>
    </row>
    <row r="732" spans="3:12">
      <c r="C732" s="120"/>
      <c r="D732" s="120"/>
      <c r="E732" s="120"/>
      <c r="F732" s="134"/>
      <c r="H732" s="127"/>
      <c r="I732" s="120"/>
      <c r="J732" s="120"/>
      <c r="K732" s="120"/>
      <c r="L732" s="120"/>
    </row>
    <row r="733" spans="3:12">
      <c r="C733" s="120"/>
      <c r="D733" s="120"/>
      <c r="E733" s="120"/>
      <c r="F733" s="134"/>
      <c r="H733" s="127"/>
      <c r="I733" s="120"/>
      <c r="J733" s="120"/>
      <c r="K733" s="120"/>
      <c r="L733" s="120"/>
    </row>
    <row r="734" spans="3:12">
      <c r="C734" s="120"/>
      <c r="D734" s="120"/>
      <c r="E734" s="120"/>
      <c r="F734" s="134"/>
      <c r="H734" s="127"/>
      <c r="I734" s="120"/>
      <c r="J734" s="120"/>
      <c r="K734" s="120"/>
      <c r="L734" s="120"/>
    </row>
    <row r="735" spans="3:12">
      <c r="C735" s="120"/>
      <c r="D735" s="120"/>
      <c r="E735" s="120"/>
      <c r="F735" s="134"/>
      <c r="H735" s="127"/>
      <c r="I735" s="120"/>
      <c r="J735" s="120"/>
      <c r="K735" s="120"/>
      <c r="L735" s="120"/>
    </row>
    <row r="736" spans="3:12">
      <c r="C736" s="120"/>
      <c r="D736" s="120"/>
      <c r="E736" s="120"/>
      <c r="F736" s="134"/>
      <c r="H736" s="127"/>
      <c r="I736" s="120"/>
      <c r="J736" s="120"/>
      <c r="K736" s="120"/>
      <c r="L736" s="120"/>
    </row>
    <row r="737" spans="3:12">
      <c r="C737" s="120"/>
      <c r="D737" s="120"/>
      <c r="E737" s="120"/>
      <c r="F737" s="134"/>
      <c r="H737" s="127"/>
      <c r="I737" s="120"/>
      <c r="J737" s="120"/>
      <c r="K737" s="120"/>
      <c r="L737" s="120"/>
    </row>
    <row r="738" spans="3:12">
      <c r="C738" s="120"/>
      <c r="D738" s="120"/>
      <c r="E738" s="120"/>
      <c r="F738" s="134"/>
      <c r="H738" s="127"/>
      <c r="I738" s="120"/>
      <c r="J738" s="120"/>
      <c r="K738" s="120"/>
      <c r="L738" s="120"/>
    </row>
    <row r="739" spans="3:12">
      <c r="C739" s="120"/>
      <c r="D739" s="120"/>
      <c r="E739" s="120"/>
      <c r="F739" s="134"/>
      <c r="H739" s="127"/>
      <c r="I739" s="120"/>
      <c r="J739" s="120"/>
      <c r="K739" s="120"/>
      <c r="L739" s="120"/>
    </row>
    <row r="740" spans="3:12">
      <c r="C740" s="120"/>
      <c r="D740" s="120"/>
      <c r="E740" s="120"/>
      <c r="F740" s="134"/>
      <c r="H740" s="127"/>
      <c r="I740" s="120"/>
      <c r="J740" s="120"/>
      <c r="K740" s="120"/>
      <c r="L740" s="120"/>
    </row>
    <row r="741" spans="3:12">
      <c r="C741" s="120"/>
      <c r="D741" s="120"/>
      <c r="E741" s="120"/>
      <c r="F741" s="134"/>
      <c r="H741" s="127"/>
      <c r="I741" s="120"/>
      <c r="J741" s="120"/>
      <c r="K741" s="120"/>
      <c r="L741" s="120"/>
    </row>
    <row r="742" spans="3:12">
      <c r="C742" s="120"/>
      <c r="D742" s="120"/>
      <c r="E742" s="120"/>
      <c r="F742" s="134"/>
      <c r="H742" s="127"/>
      <c r="I742" s="120"/>
      <c r="J742" s="120"/>
      <c r="K742" s="120"/>
      <c r="L742" s="120"/>
    </row>
    <row r="743" spans="3:12">
      <c r="C743" s="120"/>
      <c r="D743" s="120"/>
      <c r="E743" s="120"/>
      <c r="F743" s="134"/>
      <c r="H743" s="127"/>
      <c r="I743" s="120"/>
      <c r="J743" s="120"/>
      <c r="K743" s="120"/>
      <c r="L743" s="120"/>
    </row>
    <row r="744" spans="3:12">
      <c r="C744" s="120"/>
      <c r="D744" s="120"/>
      <c r="E744" s="120"/>
      <c r="F744" s="134"/>
      <c r="H744" s="127"/>
      <c r="I744" s="120"/>
      <c r="J744" s="120"/>
      <c r="K744" s="120"/>
      <c r="L744" s="120"/>
    </row>
    <row r="745" spans="3:12">
      <c r="C745" s="120"/>
      <c r="D745" s="120"/>
      <c r="E745" s="120"/>
      <c r="F745" s="134"/>
      <c r="H745" s="127"/>
      <c r="I745" s="120"/>
      <c r="J745" s="120"/>
      <c r="K745" s="120"/>
      <c r="L745" s="120"/>
    </row>
    <row r="746" spans="3:12">
      <c r="C746" s="120"/>
      <c r="D746" s="120"/>
      <c r="E746" s="120"/>
      <c r="F746" s="134"/>
      <c r="H746" s="127"/>
      <c r="I746" s="120"/>
      <c r="J746" s="120"/>
      <c r="K746" s="120"/>
      <c r="L746" s="120"/>
    </row>
    <row r="747" spans="3:12">
      <c r="C747" s="120"/>
      <c r="D747" s="120"/>
      <c r="E747" s="120"/>
      <c r="F747" s="134"/>
      <c r="H747" s="127"/>
      <c r="I747" s="120"/>
      <c r="J747" s="120"/>
      <c r="K747" s="120"/>
      <c r="L747" s="120"/>
    </row>
    <row r="748" spans="3:12">
      <c r="C748" s="120"/>
      <c r="D748" s="120"/>
      <c r="E748" s="120"/>
      <c r="F748" s="134"/>
      <c r="H748" s="127"/>
      <c r="I748" s="120"/>
      <c r="J748" s="120"/>
      <c r="K748" s="120"/>
      <c r="L748" s="120"/>
    </row>
    <row r="749" spans="3:12">
      <c r="C749" s="120"/>
      <c r="D749" s="120"/>
      <c r="E749" s="120"/>
      <c r="F749" s="134"/>
      <c r="H749" s="127"/>
      <c r="I749" s="120"/>
      <c r="J749" s="120"/>
      <c r="K749" s="120"/>
      <c r="L749" s="120"/>
    </row>
    <row r="750" spans="3:12">
      <c r="C750" s="120"/>
      <c r="D750" s="120"/>
      <c r="E750" s="120"/>
      <c r="F750" s="134"/>
      <c r="H750" s="127"/>
      <c r="I750" s="120"/>
      <c r="J750" s="120"/>
      <c r="K750" s="120"/>
      <c r="L750" s="120"/>
    </row>
    <row r="751" spans="3:12">
      <c r="C751" s="120"/>
      <c r="D751" s="120"/>
      <c r="E751" s="120"/>
      <c r="F751" s="134"/>
      <c r="H751" s="127"/>
      <c r="I751" s="120"/>
      <c r="J751" s="120"/>
      <c r="K751" s="120"/>
      <c r="L751" s="120"/>
    </row>
    <row r="752" spans="3:12">
      <c r="C752" s="120"/>
      <c r="D752" s="120"/>
      <c r="E752" s="120"/>
      <c r="F752" s="134"/>
      <c r="H752" s="127"/>
      <c r="I752" s="120"/>
      <c r="J752" s="120"/>
      <c r="K752" s="120"/>
      <c r="L752" s="120"/>
    </row>
    <row r="753" spans="3:12">
      <c r="C753" s="120"/>
      <c r="D753" s="120"/>
      <c r="E753" s="120"/>
      <c r="F753" s="134"/>
      <c r="H753" s="127"/>
      <c r="I753" s="120"/>
      <c r="J753" s="120"/>
      <c r="K753" s="120"/>
      <c r="L753" s="120"/>
    </row>
    <row r="754" spans="3:12">
      <c r="C754" s="120"/>
      <c r="D754" s="120"/>
      <c r="E754" s="120"/>
      <c r="F754" s="134"/>
      <c r="H754" s="127"/>
      <c r="I754" s="120"/>
      <c r="J754" s="120"/>
      <c r="K754" s="120"/>
      <c r="L754" s="120"/>
    </row>
    <row r="755" spans="3:12">
      <c r="C755" s="120"/>
      <c r="D755" s="120"/>
      <c r="E755" s="120"/>
      <c r="F755" s="134"/>
      <c r="H755" s="127"/>
      <c r="I755" s="120"/>
      <c r="J755" s="120"/>
      <c r="K755" s="120"/>
      <c r="L755" s="120"/>
    </row>
    <row r="756" spans="3:12">
      <c r="C756" s="120"/>
      <c r="D756" s="120"/>
      <c r="E756" s="120"/>
      <c r="F756" s="134"/>
      <c r="H756" s="127"/>
      <c r="I756" s="120"/>
      <c r="J756" s="120"/>
      <c r="K756" s="120"/>
      <c r="L756" s="120"/>
    </row>
    <row r="757" spans="3:12">
      <c r="C757" s="120"/>
      <c r="D757" s="120"/>
      <c r="E757" s="120"/>
      <c r="F757" s="134"/>
      <c r="H757" s="127"/>
      <c r="I757" s="120"/>
      <c r="J757" s="120"/>
      <c r="K757" s="120"/>
      <c r="L757" s="120"/>
    </row>
    <row r="758" spans="3:12">
      <c r="C758" s="120"/>
      <c r="D758" s="120"/>
      <c r="E758" s="120"/>
      <c r="F758" s="134"/>
      <c r="H758" s="127"/>
      <c r="I758" s="120"/>
      <c r="J758" s="120"/>
      <c r="K758" s="120"/>
      <c r="L758" s="120"/>
    </row>
    <row r="759" spans="3:12">
      <c r="C759" s="120"/>
      <c r="D759" s="120"/>
      <c r="E759" s="120"/>
      <c r="F759" s="134"/>
      <c r="H759" s="127"/>
      <c r="I759" s="120"/>
      <c r="J759" s="120"/>
      <c r="K759" s="120"/>
      <c r="L759" s="120"/>
    </row>
    <row r="760" spans="3:12">
      <c r="C760" s="120"/>
      <c r="D760" s="120"/>
      <c r="E760" s="120"/>
      <c r="F760" s="134"/>
      <c r="H760" s="127"/>
      <c r="I760" s="120"/>
      <c r="J760" s="120"/>
      <c r="K760" s="120"/>
      <c r="L760" s="120"/>
    </row>
    <row r="761" spans="3:12">
      <c r="C761" s="120"/>
      <c r="D761" s="120"/>
      <c r="E761" s="120"/>
      <c r="F761" s="134"/>
      <c r="H761" s="127"/>
      <c r="I761" s="120"/>
      <c r="J761" s="120"/>
      <c r="K761" s="120"/>
      <c r="L761" s="120"/>
    </row>
    <row r="762" spans="3:12">
      <c r="C762" s="120"/>
      <c r="D762" s="120"/>
      <c r="E762" s="120"/>
      <c r="F762" s="134"/>
      <c r="H762" s="127"/>
      <c r="I762" s="120"/>
      <c r="J762" s="120"/>
      <c r="K762" s="120"/>
      <c r="L762" s="120"/>
    </row>
    <row r="763" spans="3:12">
      <c r="C763" s="120"/>
      <c r="D763" s="120"/>
      <c r="E763" s="120"/>
      <c r="F763" s="134"/>
      <c r="H763" s="127"/>
      <c r="I763" s="120"/>
      <c r="J763" s="120"/>
      <c r="K763" s="120"/>
      <c r="L763" s="120"/>
    </row>
    <row r="764" spans="3:12">
      <c r="C764" s="120"/>
      <c r="D764" s="120"/>
      <c r="E764" s="120"/>
      <c r="F764" s="134"/>
      <c r="H764" s="127"/>
      <c r="I764" s="120"/>
      <c r="J764" s="120"/>
      <c r="K764" s="120"/>
      <c r="L764" s="120"/>
    </row>
    <row r="765" spans="3:12">
      <c r="C765" s="120"/>
      <c r="D765" s="120"/>
      <c r="E765" s="120"/>
      <c r="F765" s="134"/>
      <c r="H765" s="127"/>
      <c r="I765" s="120"/>
      <c r="J765" s="120"/>
      <c r="K765" s="120"/>
      <c r="L765" s="120"/>
    </row>
    <row r="766" spans="3:12">
      <c r="C766" s="120"/>
      <c r="D766" s="120"/>
      <c r="E766" s="120"/>
      <c r="F766" s="134"/>
      <c r="H766" s="127"/>
      <c r="I766" s="120"/>
      <c r="J766" s="120"/>
      <c r="K766" s="120"/>
      <c r="L766" s="120"/>
    </row>
    <row r="767" spans="3:12">
      <c r="C767" s="120"/>
      <c r="D767" s="120"/>
      <c r="E767" s="120"/>
      <c r="F767" s="134"/>
      <c r="H767" s="127"/>
      <c r="I767" s="120"/>
      <c r="J767" s="120"/>
      <c r="K767" s="120"/>
      <c r="L767" s="120"/>
    </row>
    <row r="768" spans="3:12">
      <c r="C768" s="120"/>
      <c r="D768" s="120"/>
      <c r="E768" s="120"/>
      <c r="F768" s="134"/>
      <c r="H768" s="127"/>
      <c r="I768" s="120"/>
      <c r="J768" s="120"/>
      <c r="K768" s="120"/>
      <c r="L768" s="120"/>
    </row>
    <row r="769" spans="3:12">
      <c r="C769" s="120"/>
      <c r="D769" s="120"/>
      <c r="E769" s="120"/>
      <c r="F769" s="134"/>
      <c r="H769" s="127"/>
      <c r="I769" s="120"/>
      <c r="J769" s="120"/>
      <c r="K769" s="120"/>
      <c r="L769" s="120"/>
    </row>
    <row r="770" spans="3:12">
      <c r="C770" s="120"/>
      <c r="D770" s="120"/>
      <c r="E770" s="120"/>
      <c r="F770" s="134"/>
      <c r="H770" s="127"/>
      <c r="I770" s="120"/>
      <c r="J770" s="120"/>
      <c r="K770" s="120"/>
      <c r="L770" s="120"/>
    </row>
    <row r="771" spans="3:12">
      <c r="C771" s="120"/>
      <c r="D771" s="120"/>
      <c r="E771" s="120"/>
      <c r="F771" s="134"/>
      <c r="H771" s="127"/>
      <c r="I771" s="120"/>
      <c r="J771" s="120"/>
      <c r="K771" s="120"/>
      <c r="L771" s="120"/>
    </row>
    <row r="772" spans="3:12">
      <c r="C772" s="120"/>
      <c r="D772" s="120"/>
      <c r="E772" s="120"/>
      <c r="F772" s="134"/>
      <c r="H772" s="127"/>
      <c r="I772" s="120"/>
      <c r="J772" s="120"/>
      <c r="K772" s="120"/>
      <c r="L772" s="120"/>
    </row>
    <row r="773" spans="3:12">
      <c r="C773" s="120"/>
      <c r="D773" s="120"/>
      <c r="E773" s="120"/>
      <c r="F773" s="134"/>
      <c r="H773" s="127"/>
      <c r="I773" s="120"/>
      <c r="J773" s="120"/>
      <c r="K773" s="120"/>
      <c r="L773" s="120"/>
    </row>
    <row r="774" spans="3:12">
      <c r="C774" s="120"/>
      <c r="D774" s="120"/>
      <c r="E774" s="120"/>
      <c r="F774" s="134"/>
      <c r="H774" s="127"/>
      <c r="I774" s="120"/>
      <c r="J774" s="120"/>
      <c r="K774" s="120"/>
      <c r="L774" s="120"/>
    </row>
    <row r="775" spans="3:12">
      <c r="C775" s="120"/>
      <c r="D775" s="120"/>
      <c r="E775" s="120"/>
      <c r="F775" s="134"/>
      <c r="H775" s="127"/>
      <c r="I775" s="120"/>
      <c r="J775" s="120"/>
      <c r="K775" s="120"/>
      <c r="L775" s="120"/>
    </row>
    <row r="776" spans="3:12">
      <c r="C776" s="120"/>
      <c r="D776" s="120"/>
      <c r="E776" s="120"/>
      <c r="F776" s="134"/>
      <c r="H776" s="127"/>
      <c r="I776" s="120"/>
      <c r="J776" s="120"/>
      <c r="K776" s="120"/>
      <c r="L776" s="120"/>
    </row>
    <row r="777" spans="3:12">
      <c r="C777" s="120"/>
      <c r="D777" s="120"/>
      <c r="E777" s="120"/>
      <c r="F777" s="134"/>
      <c r="H777" s="127"/>
      <c r="I777" s="120"/>
      <c r="J777" s="120"/>
      <c r="K777" s="120"/>
      <c r="L777" s="120"/>
    </row>
    <row r="778" spans="3:12">
      <c r="C778" s="120"/>
      <c r="D778" s="120"/>
      <c r="E778" s="120"/>
      <c r="F778" s="134"/>
      <c r="H778" s="127"/>
      <c r="I778" s="120"/>
      <c r="J778" s="120"/>
      <c r="K778" s="120"/>
      <c r="L778" s="120"/>
    </row>
    <row r="779" spans="3:12">
      <c r="C779" s="120"/>
      <c r="D779" s="120"/>
      <c r="E779" s="120"/>
      <c r="F779" s="134"/>
      <c r="H779" s="127"/>
      <c r="I779" s="120"/>
      <c r="J779" s="120"/>
      <c r="K779" s="120"/>
      <c r="L779" s="120"/>
    </row>
    <row r="780" spans="3:12">
      <c r="C780" s="120"/>
      <c r="D780" s="120"/>
      <c r="E780" s="120"/>
      <c r="F780" s="134"/>
      <c r="H780" s="127"/>
      <c r="I780" s="120"/>
      <c r="J780" s="120"/>
      <c r="K780" s="120"/>
      <c r="L780" s="120"/>
    </row>
    <row r="781" spans="3:12">
      <c r="C781" s="120"/>
      <c r="D781" s="120"/>
      <c r="E781" s="120"/>
      <c r="F781" s="134"/>
      <c r="H781" s="127"/>
      <c r="I781" s="120"/>
      <c r="J781" s="120"/>
      <c r="K781" s="120"/>
      <c r="L781" s="120"/>
    </row>
    <row r="782" spans="3:12">
      <c r="C782" s="120"/>
      <c r="D782" s="120"/>
      <c r="E782" s="120"/>
      <c r="F782" s="134"/>
      <c r="H782" s="127"/>
      <c r="I782" s="120"/>
      <c r="J782" s="120"/>
      <c r="K782" s="120"/>
      <c r="L782" s="120"/>
    </row>
    <row r="783" spans="3:12">
      <c r="C783" s="120"/>
      <c r="D783" s="120"/>
      <c r="E783" s="120"/>
      <c r="F783" s="134"/>
      <c r="H783" s="127"/>
      <c r="I783" s="120"/>
      <c r="J783" s="120"/>
      <c r="K783" s="120"/>
      <c r="L783" s="120"/>
    </row>
    <row r="784" spans="3:12">
      <c r="C784" s="120"/>
      <c r="D784" s="120"/>
      <c r="E784" s="120"/>
      <c r="F784" s="134"/>
      <c r="H784" s="127"/>
      <c r="I784" s="120"/>
      <c r="J784" s="120"/>
      <c r="K784" s="120"/>
      <c r="L784" s="120"/>
    </row>
    <row r="785" spans="3:12">
      <c r="C785" s="120"/>
      <c r="D785" s="120"/>
      <c r="E785" s="120"/>
      <c r="F785" s="134"/>
      <c r="H785" s="127"/>
      <c r="I785" s="120"/>
      <c r="J785" s="120"/>
      <c r="K785" s="120"/>
      <c r="L785" s="120"/>
    </row>
    <row r="786" spans="3:12">
      <c r="C786" s="120"/>
      <c r="D786" s="120"/>
      <c r="E786" s="120"/>
      <c r="F786" s="134"/>
      <c r="H786" s="127"/>
      <c r="I786" s="120"/>
      <c r="J786" s="120"/>
      <c r="K786" s="120"/>
      <c r="L786" s="120"/>
    </row>
    <row r="787" spans="3:12">
      <c r="C787" s="120"/>
      <c r="D787" s="120"/>
      <c r="E787" s="120"/>
      <c r="F787" s="134"/>
      <c r="H787" s="127"/>
      <c r="I787" s="120"/>
      <c r="J787" s="120"/>
      <c r="K787" s="120"/>
      <c r="L787" s="120"/>
    </row>
    <row r="788" spans="3:12">
      <c r="C788" s="120"/>
      <c r="D788" s="120"/>
      <c r="E788" s="120"/>
      <c r="F788" s="134"/>
      <c r="H788" s="127"/>
      <c r="I788" s="120"/>
      <c r="J788" s="120"/>
      <c r="K788" s="120"/>
      <c r="L788" s="120"/>
    </row>
    <row r="789" spans="3:12">
      <c r="C789" s="120"/>
      <c r="D789" s="120"/>
      <c r="E789" s="120"/>
      <c r="F789" s="134"/>
      <c r="H789" s="127"/>
      <c r="I789" s="120"/>
      <c r="J789" s="120"/>
      <c r="K789" s="120"/>
      <c r="L789" s="120"/>
    </row>
    <row r="790" spans="3:12">
      <c r="C790" s="120"/>
      <c r="D790" s="120"/>
      <c r="E790" s="120"/>
      <c r="F790" s="134"/>
      <c r="H790" s="127"/>
      <c r="I790" s="120"/>
      <c r="J790" s="120"/>
      <c r="K790" s="120"/>
      <c r="L790" s="120"/>
    </row>
    <row r="791" spans="3:12">
      <c r="C791" s="120"/>
      <c r="D791" s="120"/>
      <c r="E791" s="120"/>
      <c r="F791" s="134"/>
      <c r="H791" s="127"/>
      <c r="I791" s="120"/>
      <c r="J791" s="120"/>
      <c r="K791" s="120"/>
      <c r="L791" s="120"/>
    </row>
    <row r="792" spans="3:12">
      <c r="C792" s="120"/>
      <c r="D792" s="120"/>
      <c r="E792" s="120"/>
      <c r="F792" s="134"/>
      <c r="H792" s="127"/>
      <c r="I792" s="120"/>
      <c r="J792" s="120"/>
      <c r="K792" s="120"/>
      <c r="L792" s="120"/>
    </row>
    <row r="793" spans="3:12">
      <c r="C793" s="120"/>
      <c r="D793" s="120"/>
      <c r="E793" s="120"/>
      <c r="F793" s="134"/>
      <c r="H793" s="127"/>
      <c r="I793" s="120"/>
      <c r="J793" s="120"/>
      <c r="K793" s="120"/>
      <c r="L793" s="120"/>
    </row>
    <row r="794" spans="3:12">
      <c r="C794" s="120"/>
      <c r="D794" s="120"/>
      <c r="E794" s="120"/>
      <c r="F794" s="134"/>
      <c r="H794" s="127"/>
      <c r="I794" s="120"/>
      <c r="J794" s="120"/>
      <c r="K794" s="120"/>
      <c r="L794" s="120"/>
    </row>
    <row r="795" spans="3:12">
      <c r="C795" s="120"/>
      <c r="D795" s="120"/>
      <c r="E795" s="120"/>
      <c r="F795" s="134"/>
      <c r="H795" s="127"/>
      <c r="I795" s="120"/>
      <c r="J795" s="120"/>
      <c r="K795" s="120"/>
      <c r="L795" s="120"/>
    </row>
    <row r="796" spans="3:12">
      <c r="C796" s="120"/>
      <c r="D796" s="120"/>
      <c r="E796" s="120"/>
      <c r="F796" s="134"/>
      <c r="H796" s="127"/>
      <c r="I796" s="120"/>
      <c r="J796" s="120"/>
      <c r="K796" s="120"/>
      <c r="L796" s="120"/>
    </row>
    <row r="797" spans="3:12">
      <c r="C797" s="120"/>
      <c r="D797" s="120"/>
      <c r="E797" s="120"/>
      <c r="F797" s="134"/>
      <c r="H797" s="127"/>
      <c r="I797" s="120"/>
      <c r="J797" s="120"/>
      <c r="K797" s="120"/>
      <c r="L797" s="120"/>
    </row>
    <row r="798" spans="3:12">
      <c r="C798" s="120"/>
      <c r="D798" s="120"/>
      <c r="E798" s="120"/>
      <c r="F798" s="134"/>
      <c r="H798" s="127"/>
      <c r="I798" s="120"/>
      <c r="J798" s="120"/>
      <c r="K798" s="120"/>
      <c r="L798" s="120"/>
    </row>
    <row r="799" spans="3:12">
      <c r="C799" s="120"/>
      <c r="D799" s="120"/>
      <c r="E799" s="120"/>
      <c r="F799" s="134"/>
      <c r="H799" s="127"/>
      <c r="I799" s="120"/>
      <c r="J799" s="120"/>
      <c r="K799" s="120"/>
      <c r="L799" s="120"/>
    </row>
    <row r="800" spans="3:12">
      <c r="C800" s="120"/>
      <c r="D800" s="120"/>
      <c r="E800" s="120"/>
      <c r="F800" s="134"/>
      <c r="H800" s="127"/>
      <c r="I800" s="120"/>
      <c r="J800" s="120"/>
      <c r="K800" s="120"/>
      <c r="L800" s="120"/>
    </row>
    <row r="801" spans="3:12">
      <c r="C801" s="120"/>
      <c r="D801" s="120"/>
      <c r="E801" s="120"/>
      <c r="F801" s="134"/>
      <c r="H801" s="127"/>
      <c r="I801" s="120"/>
      <c r="J801" s="120"/>
      <c r="K801" s="120"/>
      <c r="L801" s="120"/>
    </row>
    <row r="802" spans="3:12">
      <c r="C802" s="120"/>
      <c r="D802" s="120"/>
      <c r="E802" s="120"/>
      <c r="F802" s="134"/>
      <c r="H802" s="127"/>
      <c r="I802" s="120"/>
      <c r="J802" s="120"/>
      <c r="K802" s="120"/>
      <c r="L802" s="120"/>
    </row>
    <row r="803" spans="3:12">
      <c r="C803" s="120"/>
      <c r="D803" s="120"/>
      <c r="E803" s="120"/>
      <c r="F803" s="134"/>
      <c r="H803" s="127"/>
      <c r="I803" s="120"/>
      <c r="J803" s="120"/>
      <c r="K803" s="120"/>
      <c r="L803" s="120"/>
    </row>
    <row r="804" spans="3:12">
      <c r="C804" s="120"/>
      <c r="D804" s="120"/>
      <c r="E804" s="120"/>
      <c r="F804" s="134"/>
      <c r="H804" s="127"/>
      <c r="I804" s="120"/>
      <c r="J804" s="120"/>
      <c r="K804" s="120"/>
      <c r="L804" s="120"/>
    </row>
    <row r="805" spans="3:12">
      <c r="C805" s="120"/>
      <c r="D805" s="120"/>
      <c r="E805" s="120"/>
      <c r="F805" s="134"/>
      <c r="H805" s="127"/>
      <c r="I805" s="120"/>
      <c r="J805" s="120"/>
      <c r="K805" s="120"/>
      <c r="L805" s="120"/>
    </row>
    <row r="806" spans="3:12">
      <c r="C806" s="120"/>
      <c r="D806" s="120"/>
      <c r="E806" s="120"/>
      <c r="F806" s="134"/>
      <c r="H806" s="127"/>
      <c r="I806" s="120"/>
      <c r="J806" s="120"/>
      <c r="K806" s="120"/>
      <c r="L806" s="120"/>
    </row>
    <row r="807" spans="3:12">
      <c r="C807" s="120"/>
      <c r="D807" s="120"/>
      <c r="E807" s="120"/>
      <c r="F807" s="134"/>
      <c r="H807" s="127"/>
      <c r="I807" s="120"/>
      <c r="J807" s="120"/>
      <c r="K807" s="120"/>
      <c r="L807" s="120"/>
    </row>
    <row r="808" spans="3:12">
      <c r="C808" s="120"/>
      <c r="D808" s="120"/>
      <c r="E808" s="120"/>
      <c r="F808" s="134"/>
      <c r="H808" s="127"/>
      <c r="I808" s="120"/>
      <c r="J808" s="120"/>
      <c r="K808" s="120"/>
      <c r="L808" s="120"/>
    </row>
    <row r="809" spans="3:12">
      <c r="C809" s="120"/>
      <c r="D809" s="120"/>
      <c r="E809" s="120"/>
      <c r="F809" s="134"/>
      <c r="H809" s="127"/>
      <c r="I809" s="120"/>
      <c r="J809" s="120"/>
      <c r="K809" s="120"/>
      <c r="L809" s="120"/>
    </row>
    <row r="810" spans="3:12">
      <c r="C810" s="120"/>
      <c r="D810" s="120"/>
      <c r="E810" s="120"/>
      <c r="F810" s="134"/>
      <c r="H810" s="127"/>
      <c r="I810" s="120"/>
      <c r="J810" s="120"/>
      <c r="K810" s="120"/>
      <c r="L810" s="120"/>
    </row>
    <row r="811" spans="3:12">
      <c r="C811" s="120"/>
      <c r="D811" s="120"/>
      <c r="E811" s="120"/>
      <c r="F811" s="134"/>
      <c r="H811" s="127"/>
      <c r="I811" s="120"/>
      <c r="J811" s="120"/>
      <c r="K811" s="120"/>
      <c r="L811" s="120"/>
    </row>
    <row r="812" spans="3:12">
      <c r="C812" s="120"/>
      <c r="D812" s="120"/>
      <c r="E812" s="120"/>
      <c r="F812" s="134"/>
      <c r="H812" s="127"/>
      <c r="I812" s="120"/>
      <c r="J812" s="120"/>
      <c r="K812" s="120"/>
      <c r="L812" s="120"/>
    </row>
    <row r="813" spans="3:12">
      <c r="C813" s="120"/>
      <c r="D813" s="120"/>
      <c r="E813" s="120"/>
      <c r="F813" s="134"/>
      <c r="H813" s="127"/>
      <c r="I813" s="120"/>
      <c r="J813" s="120"/>
      <c r="K813" s="120"/>
      <c r="L813" s="120"/>
    </row>
    <row r="814" spans="3:12">
      <c r="C814" s="120"/>
      <c r="D814" s="120"/>
      <c r="E814" s="120"/>
      <c r="F814" s="134"/>
      <c r="H814" s="127"/>
      <c r="I814" s="120"/>
      <c r="J814" s="120"/>
      <c r="K814" s="120"/>
      <c r="L814" s="120"/>
    </row>
    <row r="815" spans="3:12">
      <c r="C815" s="120"/>
      <c r="D815" s="120"/>
      <c r="E815" s="120"/>
      <c r="F815" s="134"/>
      <c r="H815" s="127"/>
      <c r="I815" s="120"/>
      <c r="J815" s="120"/>
      <c r="K815" s="120"/>
      <c r="L815" s="120"/>
    </row>
    <row r="816" spans="3:12">
      <c r="C816" s="120"/>
      <c r="D816" s="120"/>
      <c r="E816" s="120"/>
      <c r="F816" s="134"/>
      <c r="H816" s="127"/>
      <c r="I816" s="120"/>
      <c r="J816" s="120"/>
      <c r="K816" s="120"/>
      <c r="L816" s="120"/>
    </row>
    <row r="817" spans="3:12">
      <c r="C817" s="120"/>
      <c r="D817" s="120"/>
      <c r="E817" s="120"/>
      <c r="F817" s="134"/>
      <c r="H817" s="127"/>
      <c r="I817" s="120"/>
      <c r="J817" s="120"/>
      <c r="K817" s="120"/>
      <c r="L817" s="120"/>
    </row>
    <row r="818" spans="3:12">
      <c r="C818" s="120"/>
      <c r="D818" s="120"/>
      <c r="E818" s="120"/>
      <c r="F818" s="134"/>
      <c r="H818" s="127"/>
      <c r="I818" s="120"/>
      <c r="J818" s="120"/>
      <c r="K818" s="120"/>
      <c r="L818" s="120"/>
    </row>
    <row r="819" spans="3:12">
      <c r="C819" s="120"/>
      <c r="D819" s="120"/>
      <c r="E819" s="120"/>
      <c r="F819" s="134"/>
      <c r="H819" s="127"/>
      <c r="I819" s="120"/>
      <c r="J819" s="120"/>
      <c r="K819" s="120"/>
      <c r="L819" s="120"/>
    </row>
    <row r="820" spans="3:12">
      <c r="C820" s="120"/>
      <c r="D820" s="120"/>
      <c r="E820" s="120"/>
      <c r="F820" s="134"/>
      <c r="H820" s="127"/>
      <c r="I820" s="120"/>
      <c r="J820" s="120"/>
      <c r="K820" s="120"/>
      <c r="L820" s="120"/>
    </row>
    <row r="821" spans="3:12">
      <c r="C821" s="120"/>
      <c r="D821" s="120"/>
      <c r="E821" s="120"/>
      <c r="F821" s="134"/>
      <c r="H821" s="127"/>
      <c r="I821" s="120"/>
      <c r="J821" s="120"/>
      <c r="K821" s="120"/>
      <c r="L821" s="120"/>
    </row>
    <row r="822" spans="3:12">
      <c r="C822" s="120"/>
      <c r="D822" s="120"/>
      <c r="E822" s="120"/>
      <c r="F822" s="134"/>
      <c r="H822" s="127"/>
      <c r="I822" s="120"/>
      <c r="J822" s="120"/>
      <c r="K822" s="120"/>
      <c r="L822" s="120"/>
    </row>
    <row r="823" spans="3:12">
      <c r="C823" s="120"/>
      <c r="D823" s="120"/>
      <c r="E823" s="120"/>
      <c r="F823" s="134"/>
      <c r="H823" s="127"/>
      <c r="I823" s="120"/>
      <c r="J823" s="120"/>
      <c r="K823" s="120"/>
      <c r="L823" s="120"/>
    </row>
    <row r="824" spans="3:12">
      <c r="C824" s="120"/>
      <c r="D824" s="120"/>
      <c r="E824" s="120"/>
      <c r="F824" s="134"/>
      <c r="H824" s="127"/>
      <c r="I824" s="120"/>
      <c r="J824" s="120"/>
      <c r="K824" s="120"/>
      <c r="L824" s="120"/>
    </row>
    <row r="825" spans="3:12">
      <c r="C825" s="120"/>
      <c r="D825" s="120"/>
      <c r="E825" s="120"/>
      <c r="F825" s="134"/>
      <c r="H825" s="127"/>
      <c r="I825" s="120"/>
      <c r="J825" s="120"/>
      <c r="K825" s="120"/>
      <c r="L825" s="120"/>
    </row>
    <row r="826" spans="3:12">
      <c r="C826" s="120"/>
      <c r="D826" s="120"/>
      <c r="E826" s="120"/>
      <c r="F826" s="134"/>
      <c r="H826" s="127"/>
      <c r="I826" s="120"/>
      <c r="J826" s="120"/>
      <c r="K826" s="120"/>
      <c r="L826" s="120"/>
    </row>
    <row r="827" spans="3:12">
      <c r="C827" s="120"/>
      <c r="D827" s="120"/>
      <c r="E827" s="120"/>
      <c r="F827" s="134"/>
      <c r="H827" s="127"/>
      <c r="I827" s="120"/>
      <c r="J827" s="120"/>
      <c r="K827" s="120"/>
      <c r="L827" s="120"/>
    </row>
    <row r="828" spans="3:12">
      <c r="C828" s="120"/>
      <c r="D828" s="120"/>
      <c r="E828" s="120"/>
      <c r="F828" s="134"/>
      <c r="H828" s="127"/>
      <c r="I828" s="120"/>
      <c r="J828" s="120"/>
      <c r="K828" s="120"/>
      <c r="L828" s="120"/>
    </row>
    <row r="829" spans="3:12">
      <c r="C829" s="120"/>
      <c r="D829" s="120"/>
      <c r="E829" s="120"/>
      <c r="F829" s="134"/>
      <c r="H829" s="127"/>
      <c r="I829" s="120"/>
      <c r="J829" s="120"/>
      <c r="K829" s="120"/>
      <c r="L829" s="120"/>
    </row>
    <row r="830" spans="3:12">
      <c r="C830" s="120"/>
      <c r="D830" s="120"/>
      <c r="E830" s="120"/>
      <c r="F830" s="134"/>
      <c r="H830" s="127"/>
      <c r="I830" s="120"/>
      <c r="J830" s="120"/>
      <c r="K830" s="120"/>
      <c r="L830" s="120"/>
    </row>
    <row r="831" spans="3:12">
      <c r="C831" s="120"/>
      <c r="D831" s="120"/>
      <c r="E831" s="120"/>
      <c r="F831" s="134"/>
      <c r="H831" s="127"/>
      <c r="I831" s="120"/>
      <c r="J831" s="120"/>
      <c r="K831" s="120"/>
      <c r="L831" s="120"/>
    </row>
    <row r="832" spans="3:12">
      <c r="C832" s="120"/>
      <c r="D832" s="120"/>
      <c r="E832" s="120"/>
      <c r="F832" s="134"/>
      <c r="H832" s="127"/>
      <c r="I832" s="120"/>
      <c r="J832" s="120"/>
      <c r="K832" s="120"/>
      <c r="L832" s="120"/>
    </row>
    <row r="833" spans="3:12">
      <c r="C833" s="120"/>
      <c r="D833" s="120"/>
      <c r="E833" s="120"/>
      <c r="F833" s="134"/>
      <c r="H833" s="127"/>
      <c r="I833" s="120"/>
      <c r="J833" s="120"/>
      <c r="K833" s="120"/>
      <c r="L833" s="120"/>
    </row>
    <row r="834" spans="3:12">
      <c r="C834" s="120"/>
      <c r="D834" s="120"/>
      <c r="E834" s="120"/>
      <c r="F834" s="134"/>
      <c r="H834" s="127"/>
      <c r="I834" s="120"/>
      <c r="J834" s="120"/>
      <c r="K834" s="120"/>
      <c r="L834" s="120"/>
    </row>
    <row r="835" spans="3:12">
      <c r="C835" s="120"/>
      <c r="D835" s="120"/>
      <c r="E835" s="120"/>
      <c r="F835" s="134"/>
      <c r="H835" s="127"/>
      <c r="I835" s="120"/>
      <c r="J835" s="120"/>
      <c r="K835" s="120"/>
      <c r="L835" s="120"/>
    </row>
    <row r="836" spans="3:12">
      <c r="C836" s="120"/>
      <c r="D836" s="120"/>
      <c r="E836" s="120"/>
      <c r="F836" s="134"/>
      <c r="H836" s="127"/>
      <c r="I836" s="120"/>
      <c r="J836" s="120"/>
      <c r="K836" s="120"/>
      <c r="L836" s="120"/>
    </row>
    <row r="837" spans="3:12">
      <c r="C837" s="120"/>
      <c r="D837" s="120"/>
      <c r="E837" s="120"/>
      <c r="F837" s="134"/>
      <c r="H837" s="127"/>
      <c r="I837" s="120"/>
      <c r="J837" s="120"/>
      <c r="K837" s="120"/>
      <c r="L837" s="120"/>
    </row>
    <row r="838" spans="3:12">
      <c r="C838" s="120"/>
      <c r="D838" s="120"/>
      <c r="E838" s="120"/>
      <c r="F838" s="134"/>
      <c r="H838" s="127"/>
      <c r="I838" s="120"/>
      <c r="J838" s="120"/>
      <c r="K838" s="120"/>
      <c r="L838" s="120"/>
    </row>
    <row r="839" spans="3:12">
      <c r="C839" s="120"/>
      <c r="D839" s="120"/>
      <c r="E839" s="120"/>
      <c r="F839" s="134"/>
      <c r="H839" s="127"/>
      <c r="I839" s="120"/>
      <c r="J839" s="120"/>
      <c r="K839" s="120"/>
      <c r="L839" s="120"/>
    </row>
    <row r="840" spans="3:12">
      <c r="C840" s="120"/>
      <c r="D840" s="120"/>
      <c r="E840" s="120"/>
      <c r="F840" s="134"/>
      <c r="H840" s="127"/>
      <c r="I840" s="120"/>
      <c r="J840" s="120"/>
      <c r="K840" s="120"/>
      <c r="L840" s="120"/>
    </row>
    <row r="841" spans="3:12">
      <c r="C841" s="120"/>
      <c r="D841" s="120"/>
      <c r="E841" s="120"/>
      <c r="F841" s="134"/>
      <c r="H841" s="127"/>
      <c r="I841" s="120"/>
      <c r="J841" s="120"/>
      <c r="K841" s="120"/>
      <c r="L841" s="120"/>
    </row>
    <row r="842" spans="3:12">
      <c r="C842" s="120"/>
      <c r="D842" s="120"/>
      <c r="E842" s="120"/>
      <c r="F842" s="134"/>
      <c r="H842" s="127"/>
      <c r="I842" s="120"/>
      <c r="J842" s="120"/>
      <c r="K842" s="120"/>
      <c r="L842" s="120"/>
    </row>
    <row r="843" spans="3:12">
      <c r="C843" s="120"/>
      <c r="D843" s="120"/>
      <c r="E843" s="120"/>
      <c r="F843" s="134"/>
      <c r="H843" s="127"/>
      <c r="I843" s="120"/>
      <c r="J843" s="120"/>
      <c r="K843" s="120"/>
      <c r="L843" s="120"/>
    </row>
    <row r="844" spans="3:12">
      <c r="C844" s="120"/>
      <c r="D844" s="120"/>
      <c r="E844" s="120"/>
      <c r="F844" s="134"/>
      <c r="H844" s="127"/>
      <c r="I844" s="120"/>
      <c r="J844" s="120"/>
      <c r="K844" s="120"/>
      <c r="L844" s="120"/>
    </row>
    <row r="845" spans="3:12">
      <c r="C845" s="120"/>
      <c r="D845" s="120"/>
      <c r="E845" s="120"/>
      <c r="F845" s="134"/>
      <c r="H845" s="127"/>
      <c r="I845" s="120"/>
      <c r="J845" s="120"/>
      <c r="K845" s="120"/>
      <c r="L845" s="120"/>
    </row>
    <row r="846" spans="3:12">
      <c r="C846" s="120"/>
      <c r="D846" s="120"/>
      <c r="E846" s="120"/>
      <c r="F846" s="134"/>
      <c r="H846" s="127"/>
      <c r="I846" s="120"/>
      <c r="J846" s="120"/>
      <c r="K846" s="120"/>
      <c r="L846" s="120"/>
    </row>
    <row r="847" spans="3:12">
      <c r="C847" s="120"/>
      <c r="D847" s="120"/>
      <c r="E847" s="120"/>
      <c r="F847" s="134"/>
      <c r="H847" s="127"/>
      <c r="I847" s="120"/>
      <c r="J847" s="120"/>
      <c r="K847" s="120"/>
      <c r="L847" s="120"/>
    </row>
    <row r="848" spans="3:12">
      <c r="C848" s="120"/>
      <c r="D848" s="120"/>
      <c r="E848" s="120"/>
      <c r="F848" s="134"/>
      <c r="H848" s="127"/>
      <c r="I848" s="120"/>
      <c r="J848" s="120"/>
      <c r="K848" s="120"/>
      <c r="L848" s="120"/>
    </row>
    <row r="849" spans="3:12">
      <c r="C849" s="120"/>
      <c r="D849" s="120"/>
      <c r="E849" s="120"/>
      <c r="F849" s="134"/>
      <c r="H849" s="127"/>
      <c r="I849" s="120"/>
      <c r="J849" s="120"/>
      <c r="K849" s="120"/>
      <c r="L849" s="120"/>
    </row>
    <row r="850" spans="3:12">
      <c r="C850" s="120"/>
      <c r="D850" s="120"/>
      <c r="E850" s="120"/>
      <c r="F850" s="134"/>
      <c r="H850" s="127"/>
      <c r="I850" s="120"/>
      <c r="J850" s="120"/>
      <c r="K850" s="120"/>
      <c r="L850" s="120"/>
    </row>
    <row r="851" spans="3:12">
      <c r="C851" s="120"/>
      <c r="D851" s="120"/>
      <c r="E851" s="120"/>
      <c r="F851" s="134"/>
      <c r="H851" s="127"/>
      <c r="I851" s="120"/>
      <c r="J851" s="120"/>
      <c r="K851" s="120"/>
      <c r="L851" s="120"/>
    </row>
    <row r="852" spans="3:12">
      <c r="C852" s="120"/>
      <c r="D852" s="120"/>
      <c r="E852" s="120"/>
      <c r="F852" s="134"/>
      <c r="H852" s="127"/>
      <c r="I852" s="120"/>
      <c r="J852" s="120"/>
      <c r="K852" s="120"/>
      <c r="L852" s="120"/>
    </row>
    <row r="853" spans="3:12">
      <c r="C853" s="120"/>
      <c r="D853" s="120"/>
      <c r="E853" s="120"/>
      <c r="F853" s="134"/>
      <c r="H853" s="127"/>
      <c r="I853" s="120"/>
      <c r="J853" s="120"/>
      <c r="K853" s="120"/>
      <c r="L853" s="120"/>
    </row>
    <row r="854" spans="3:12">
      <c r="C854" s="120"/>
      <c r="D854" s="120"/>
      <c r="E854" s="120"/>
      <c r="F854" s="134"/>
      <c r="H854" s="127"/>
      <c r="I854" s="120"/>
      <c r="J854" s="120"/>
      <c r="K854" s="120"/>
      <c r="L854" s="120"/>
    </row>
    <row r="855" spans="3:12">
      <c r="C855" s="120"/>
      <c r="D855" s="120"/>
      <c r="E855" s="120"/>
      <c r="F855" s="134"/>
      <c r="H855" s="127"/>
      <c r="I855" s="120"/>
      <c r="J855" s="120"/>
      <c r="K855" s="120"/>
      <c r="L855" s="120"/>
    </row>
    <row r="856" spans="3:12">
      <c r="C856" s="120"/>
      <c r="D856" s="120"/>
      <c r="E856" s="120"/>
      <c r="F856" s="134"/>
      <c r="H856" s="127"/>
      <c r="I856" s="120"/>
      <c r="J856" s="120"/>
      <c r="K856" s="120"/>
      <c r="L856" s="120"/>
    </row>
    <row r="857" spans="3:12">
      <c r="C857" s="120"/>
      <c r="D857" s="120"/>
      <c r="E857" s="120"/>
      <c r="F857" s="134"/>
      <c r="H857" s="127"/>
      <c r="I857" s="120"/>
      <c r="J857" s="120"/>
      <c r="K857" s="120"/>
      <c r="L857" s="120"/>
    </row>
    <row r="858" spans="3:12">
      <c r="C858" s="120"/>
      <c r="D858" s="120"/>
      <c r="E858" s="120"/>
      <c r="F858" s="134"/>
      <c r="H858" s="127"/>
      <c r="I858" s="120"/>
      <c r="J858" s="120"/>
      <c r="K858" s="120"/>
      <c r="L858" s="120"/>
    </row>
    <row r="859" spans="3:12">
      <c r="C859" s="120"/>
      <c r="D859" s="120"/>
      <c r="E859" s="120"/>
      <c r="F859" s="134"/>
      <c r="H859" s="127"/>
      <c r="I859" s="120"/>
      <c r="J859" s="120"/>
      <c r="K859" s="120"/>
      <c r="L859" s="120"/>
    </row>
    <row r="860" spans="3:12">
      <c r="C860" s="120"/>
      <c r="D860" s="120"/>
      <c r="E860" s="120"/>
      <c r="F860" s="134"/>
      <c r="H860" s="127"/>
      <c r="I860" s="120"/>
      <c r="J860" s="120"/>
      <c r="K860" s="120"/>
      <c r="L860" s="120"/>
    </row>
    <row r="861" spans="3:12">
      <c r="C861" s="120"/>
      <c r="D861" s="120"/>
      <c r="E861" s="120"/>
      <c r="F861" s="134"/>
      <c r="H861" s="127"/>
      <c r="I861" s="120"/>
      <c r="J861" s="120"/>
      <c r="K861" s="120"/>
      <c r="L861" s="120"/>
    </row>
    <row r="862" spans="3:12">
      <c r="C862" s="120"/>
      <c r="D862" s="120"/>
      <c r="E862" s="120"/>
      <c r="F862" s="134"/>
      <c r="H862" s="127"/>
      <c r="I862" s="120"/>
      <c r="J862" s="120"/>
      <c r="K862" s="120"/>
      <c r="L862" s="120"/>
    </row>
    <row r="863" spans="3:12">
      <c r="C863" s="120"/>
      <c r="D863" s="120"/>
      <c r="E863" s="120"/>
      <c r="F863" s="134"/>
      <c r="H863" s="127"/>
      <c r="I863" s="120"/>
      <c r="J863" s="120"/>
      <c r="K863" s="120"/>
      <c r="L863" s="120"/>
    </row>
    <row r="864" spans="3:12">
      <c r="C864" s="120"/>
      <c r="D864" s="120"/>
      <c r="E864" s="120"/>
      <c r="F864" s="134"/>
      <c r="H864" s="127"/>
      <c r="I864" s="120"/>
      <c r="J864" s="120"/>
      <c r="K864" s="120"/>
      <c r="L864" s="120"/>
    </row>
    <row r="865" spans="3:12">
      <c r="C865" s="120"/>
      <c r="D865" s="120"/>
      <c r="E865" s="120"/>
      <c r="F865" s="134"/>
      <c r="H865" s="127"/>
      <c r="I865" s="120"/>
      <c r="J865" s="120"/>
      <c r="K865" s="120"/>
      <c r="L865" s="120"/>
    </row>
    <row r="866" spans="3:12">
      <c r="C866" s="120"/>
      <c r="D866" s="120"/>
      <c r="E866" s="120"/>
      <c r="F866" s="134"/>
      <c r="H866" s="127"/>
      <c r="I866" s="120"/>
      <c r="J866" s="120"/>
      <c r="K866" s="120"/>
      <c r="L866" s="120"/>
    </row>
    <row r="867" spans="3:12">
      <c r="C867" s="120"/>
      <c r="D867" s="120"/>
      <c r="E867" s="120"/>
      <c r="F867" s="134"/>
      <c r="H867" s="127"/>
      <c r="I867" s="120"/>
      <c r="J867" s="120"/>
      <c r="K867" s="120"/>
      <c r="L867" s="120"/>
    </row>
    <row r="868" spans="3:12">
      <c r="C868" s="120"/>
      <c r="D868" s="120"/>
      <c r="E868" s="120"/>
      <c r="F868" s="134"/>
      <c r="H868" s="127"/>
      <c r="I868" s="120"/>
      <c r="J868" s="120"/>
      <c r="K868" s="120"/>
      <c r="L868" s="120"/>
    </row>
    <row r="869" spans="3:12">
      <c r="C869" s="120"/>
      <c r="D869" s="120"/>
      <c r="E869" s="120"/>
      <c r="F869" s="134"/>
      <c r="H869" s="127"/>
      <c r="I869" s="120"/>
      <c r="J869" s="120"/>
      <c r="K869" s="120"/>
      <c r="L869" s="120"/>
    </row>
    <row r="870" spans="3:12">
      <c r="C870" s="120"/>
      <c r="D870" s="120"/>
      <c r="E870" s="120"/>
      <c r="F870" s="134"/>
      <c r="H870" s="127"/>
      <c r="I870" s="120"/>
      <c r="J870" s="120"/>
      <c r="K870" s="120"/>
      <c r="L870" s="120"/>
    </row>
    <row r="871" spans="3:12">
      <c r="C871" s="120"/>
      <c r="D871" s="120"/>
      <c r="E871" s="120"/>
      <c r="F871" s="134"/>
      <c r="H871" s="127"/>
      <c r="I871" s="120"/>
      <c r="J871" s="120"/>
      <c r="K871" s="120"/>
      <c r="L871" s="120"/>
    </row>
    <row r="872" spans="3:12">
      <c r="C872" s="120"/>
      <c r="D872" s="120"/>
      <c r="E872" s="120"/>
      <c r="F872" s="134"/>
      <c r="H872" s="127"/>
      <c r="I872" s="120"/>
      <c r="J872" s="120"/>
      <c r="K872" s="120"/>
      <c r="L872" s="120"/>
    </row>
    <row r="873" spans="3:12">
      <c r="C873" s="120"/>
      <c r="D873" s="120"/>
      <c r="E873" s="120"/>
      <c r="F873" s="134"/>
      <c r="H873" s="127"/>
      <c r="I873" s="120"/>
      <c r="J873" s="120"/>
      <c r="K873" s="120"/>
      <c r="L873" s="120"/>
    </row>
    <row r="874" spans="3:12">
      <c r="C874" s="120"/>
      <c r="D874" s="120"/>
      <c r="E874" s="120"/>
      <c r="F874" s="134"/>
      <c r="H874" s="127"/>
      <c r="I874" s="120"/>
      <c r="J874" s="120"/>
      <c r="K874" s="120"/>
      <c r="L874" s="120"/>
    </row>
    <row r="875" spans="3:12">
      <c r="C875" s="120"/>
      <c r="D875" s="120"/>
      <c r="E875" s="120"/>
      <c r="F875" s="134"/>
      <c r="H875" s="127"/>
      <c r="I875" s="120"/>
      <c r="J875" s="120"/>
      <c r="K875" s="120"/>
      <c r="L875" s="120"/>
    </row>
    <row r="876" spans="3:12">
      <c r="C876" s="120"/>
      <c r="D876" s="120"/>
      <c r="E876" s="120"/>
      <c r="F876" s="134"/>
      <c r="H876" s="127"/>
      <c r="I876" s="120"/>
      <c r="J876" s="120"/>
      <c r="K876" s="120"/>
      <c r="L876" s="120"/>
    </row>
    <row r="877" spans="3:12">
      <c r="C877" s="120"/>
      <c r="D877" s="120"/>
      <c r="E877" s="120"/>
      <c r="F877" s="134"/>
      <c r="H877" s="127"/>
      <c r="I877" s="120"/>
      <c r="J877" s="120"/>
      <c r="K877" s="120"/>
      <c r="L877" s="120"/>
    </row>
    <row r="878" spans="3:12">
      <c r="C878" s="120"/>
      <c r="D878" s="120"/>
      <c r="E878" s="120"/>
      <c r="F878" s="134"/>
      <c r="H878" s="127"/>
      <c r="I878" s="120"/>
      <c r="J878" s="120"/>
      <c r="K878" s="120"/>
      <c r="L878" s="120"/>
    </row>
    <row r="879" spans="3:12">
      <c r="C879" s="120"/>
      <c r="D879" s="120"/>
      <c r="E879" s="120"/>
      <c r="F879" s="134"/>
      <c r="H879" s="127"/>
      <c r="I879" s="120"/>
      <c r="J879" s="120"/>
      <c r="K879" s="120"/>
      <c r="L879" s="120"/>
    </row>
    <row r="880" spans="3:12">
      <c r="C880" s="120"/>
      <c r="D880" s="120"/>
      <c r="E880" s="120"/>
      <c r="F880" s="134"/>
      <c r="H880" s="127"/>
      <c r="I880" s="120"/>
      <c r="J880" s="120"/>
      <c r="K880" s="120"/>
      <c r="L880" s="120"/>
    </row>
    <row r="881" spans="3:12">
      <c r="C881" s="120"/>
      <c r="D881" s="120"/>
      <c r="E881" s="120"/>
      <c r="F881" s="134"/>
      <c r="H881" s="127"/>
      <c r="I881" s="120"/>
      <c r="J881" s="120"/>
      <c r="K881" s="120"/>
      <c r="L881" s="120"/>
    </row>
    <row r="882" spans="3:12">
      <c r="C882" s="120"/>
      <c r="D882" s="120"/>
      <c r="E882" s="120"/>
      <c r="F882" s="134"/>
      <c r="H882" s="127"/>
      <c r="I882" s="120"/>
      <c r="J882" s="120"/>
      <c r="K882" s="120"/>
      <c r="L882" s="120"/>
    </row>
    <row r="883" spans="3:12">
      <c r="C883" s="120"/>
      <c r="D883" s="120"/>
      <c r="E883" s="120"/>
      <c r="F883" s="134"/>
      <c r="H883" s="127"/>
      <c r="I883" s="120"/>
      <c r="J883" s="120"/>
      <c r="K883" s="120"/>
      <c r="L883" s="120"/>
    </row>
    <row r="884" spans="3:12">
      <c r="C884" s="120"/>
      <c r="D884" s="120"/>
      <c r="E884" s="120"/>
      <c r="F884" s="134"/>
      <c r="H884" s="127"/>
      <c r="I884" s="120"/>
      <c r="J884" s="120"/>
      <c r="K884" s="120"/>
      <c r="L884" s="120"/>
    </row>
    <row r="885" spans="3:12">
      <c r="C885" s="120"/>
      <c r="D885" s="120"/>
      <c r="E885" s="120"/>
      <c r="F885" s="134"/>
      <c r="H885" s="127"/>
      <c r="I885" s="120"/>
      <c r="J885" s="120"/>
      <c r="K885" s="120"/>
      <c r="L885" s="120"/>
    </row>
    <row r="886" spans="3:12">
      <c r="C886" s="120"/>
      <c r="D886" s="120"/>
      <c r="E886" s="120"/>
      <c r="F886" s="134"/>
      <c r="H886" s="127"/>
      <c r="I886" s="120"/>
      <c r="J886" s="120"/>
      <c r="K886" s="120"/>
      <c r="L886" s="120"/>
    </row>
    <row r="887" spans="3:12">
      <c r="C887" s="120"/>
      <c r="D887" s="120"/>
      <c r="E887" s="120"/>
      <c r="F887" s="134"/>
      <c r="H887" s="127"/>
      <c r="I887" s="120"/>
      <c r="J887" s="120"/>
      <c r="K887" s="120"/>
      <c r="L887" s="120"/>
    </row>
    <row r="888" spans="3:12">
      <c r="C888" s="120"/>
      <c r="D888" s="120"/>
      <c r="E888" s="120"/>
      <c r="F888" s="134"/>
      <c r="H888" s="127"/>
      <c r="I888" s="120"/>
      <c r="J888" s="120"/>
      <c r="K888" s="120"/>
      <c r="L888" s="120"/>
    </row>
    <row r="889" spans="3:12">
      <c r="C889" s="120"/>
      <c r="D889" s="120"/>
      <c r="E889" s="120"/>
      <c r="F889" s="134"/>
      <c r="H889" s="127"/>
      <c r="I889" s="120"/>
      <c r="J889" s="120"/>
      <c r="K889" s="120"/>
      <c r="L889" s="120"/>
    </row>
    <row r="890" spans="3:12">
      <c r="C890" s="120"/>
      <c r="D890" s="120"/>
      <c r="E890" s="120"/>
      <c r="F890" s="134"/>
      <c r="H890" s="127"/>
      <c r="I890" s="120"/>
      <c r="J890" s="120"/>
      <c r="K890" s="120"/>
      <c r="L890" s="120"/>
    </row>
    <row r="891" spans="3:12">
      <c r="C891" s="120"/>
      <c r="D891" s="120"/>
      <c r="E891" s="120"/>
      <c r="F891" s="134"/>
      <c r="H891" s="127"/>
      <c r="I891" s="120"/>
      <c r="J891" s="120"/>
      <c r="K891" s="120"/>
      <c r="L891" s="120"/>
    </row>
    <row r="892" spans="3:12">
      <c r="C892" s="120"/>
      <c r="D892" s="120"/>
      <c r="E892" s="120"/>
      <c r="F892" s="134"/>
      <c r="H892" s="127"/>
      <c r="I892" s="120"/>
      <c r="J892" s="120"/>
      <c r="K892" s="120"/>
      <c r="L892" s="120"/>
    </row>
    <row r="893" spans="3:12">
      <c r="C893" s="120"/>
      <c r="D893" s="120"/>
      <c r="E893" s="120"/>
      <c r="F893" s="134"/>
      <c r="H893" s="127"/>
      <c r="I893" s="120"/>
      <c r="J893" s="120"/>
      <c r="K893" s="120"/>
      <c r="L893" s="120"/>
    </row>
    <row r="894" spans="3:12">
      <c r="C894" s="120"/>
      <c r="D894" s="120"/>
      <c r="E894" s="120"/>
      <c r="F894" s="134"/>
      <c r="H894" s="127"/>
      <c r="I894" s="120"/>
      <c r="J894" s="120"/>
      <c r="K894" s="120"/>
      <c r="L894" s="120"/>
    </row>
    <row r="895" spans="3:12">
      <c r="C895" s="120"/>
      <c r="D895" s="120"/>
      <c r="E895" s="120"/>
      <c r="F895" s="134"/>
      <c r="H895" s="127"/>
      <c r="I895" s="120"/>
      <c r="J895" s="120"/>
      <c r="K895" s="120"/>
      <c r="L895" s="120"/>
    </row>
    <row r="896" spans="3:12">
      <c r="C896" s="120"/>
      <c r="D896" s="120"/>
      <c r="E896" s="120"/>
      <c r="F896" s="134"/>
      <c r="H896" s="127"/>
      <c r="I896" s="120"/>
      <c r="J896" s="120"/>
      <c r="K896" s="120"/>
      <c r="L896" s="120"/>
    </row>
    <row r="897" spans="3:12">
      <c r="C897" s="120"/>
      <c r="D897" s="120"/>
      <c r="E897" s="120"/>
      <c r="F897" s="134"/>
      <c r="H897" s="127"/>
      <c r="I897" s="120"/>
      <c r="J897" s="120"/>
      <c r="K897" s="120"/>
      <c r="L897" s="120"/>
    </row>
    <row r="898" spans="3:12">
      <c r="C898" s="120"/>
      <c r="D898" s="120"/>
      <c r="E898" s="120"/>
      <c r="F898" s="134"/>
      <c r="H898" s="127"/>
      <c r="I898" s="120"/>
      <c r="J898" s="120"/>
      <c r="K898" s="120"/>
      <c r="L898" s="120"/>
    </row>
    <row r="899" spans="3:12">
      <c r="C899" s="120"/>
      <c r="D899" s="120"/>
      <c r="E899" s="120"/>
      <c r="F899" s="134"/>
      <c r="H899" s="127"/>
      <c r="I899" s="120"/>
      <c r="J899" s="120"/>
      <c r="K899" s="120"/>
      <c r="L899" s="120"/>
    </row>
    <row r="900" spans="3:12">
      <c r="C900" s="120"/>
      <c r="D900" s="120"/>
      <c r="E900" s="120"/>
      <c r="F900" s="134"/>
      <c r="H900" s="127"/>
      <c r="I900" s="120"/>
      <c r="J900" s="120"/>
      <c r="K900" s="120"/>
      <c r="L900" s="120"/>
    </row>
    <row r="901" spans="3:12">
      <c r="C901" s="120"/>
      <c r="D901" s="120"/>
      <c r="E901" s="120"/>
      <c r="F901" s="134"/>
      <c r="H901" s="127"/>
      <c r="I901" s="120"/>
      <c r="J901" s="120"/>
      <c r="K901" s="120"/>
      <c r="L901" s="120"/>
    </row>
    <row r="902" spans="3:12">
      <c r="C902" s="120"/>
      <c r="D902" s="120"/>
      <c r="E902" s="120"/>
      <c r="F902" s="134"/>
      <c r="H902" s="127"/>
      <c r="I902" s="120"/>
      <c r="J902" s="120"/>
      <c r="K902" s="120"/>
      <c r="L902" s="120"/>
    </row>
    <row r="903" spans="3:12">
      <c r="C903" s="120"/>
      <c r="D903" s="120"/>
      <c r="E903" s="120"/>
      <c r="F903" s="134"/>
      <c r="H903" s="127"/>
      <c r="I903" s="120"/>
      <c r="J903" s="120"/>
      <c r="K903" s="120"/>
      <c r="L903" s="120"/>
    </row>
    <row r="904" spans="3:12">
      <c r="C904" s="120"/>
      <c r="D904" s="120"/>
      <c r="E904" s="120"/>
      <c r="F904" s="134"/>
      <c r="H904" s="127"/>
      <c r="I904" s="120"/>
      <c r="J904" s="120"/>
      <c r="K904" s="120"/>
      <c r="L904" s="120"/>
    </row>
    <row r="905" spans="3:12">
      <c r="C905" s="120"/>
      <c r="D905" s="120"/>
      <c r="E905" s="120"/>
      <c r="F905" s="134"/>
      <c r="H905" s="127"/>
      <c r="I905" s="120"/>
      <c r="J905" s="120"/>
      <c r="K905" s="120"/>
      <c r="L905" s="120"/>
    </row>
    <row r="906" spans="3:12">
      <c r="C906" s="120"/>
      <c r="D906" s="120"/>
      <c r="E906" s="120"/>
      <c r="F906" s="134"/>
      <c r="H906" s="127"/>
      <c r="I906" s="120"/>
      <c r="J906" s="120"/>
      <c r="K906" s="120"/>
      <c r="L906" s="120"/>
    </row>
    <row r="907" spans="3:12">
      <c r="C907" s="120"/>
      <c r="D907" s="120"/>
      <c r="E907" s="120"/>
      <c r="F907" s="134"/>
      <c r="H907" s="127"/>
      <c r="I907" s="120"/>
      <c r="J907" s="120"/>
      <c r="K907" s="120"/>
      <c r="L907" s="120"/>
    </row>
    <row r="908" spans="3:12">
      <c r="C908" s="120"/>
      <c r="D908" s="120"/>
      <c r="E908" s="120"/>
      <c r="F908" s="134"/>
      <c r="H908" s="127"/>
      <c r="I908" s="120"/>
      <c r="J908" s="120"/>
      <c r="K908" s="120"/>
      <c r="L908" s="120"/>
    </row>
    <row r="909" spans="3:12">
      <c r="C909" s="120"/>
      <c r="D909" s="120"/>
      <c r="E909" s="120"/>
      <c r="F909" s="134"/>
      <c r="H909" s="127"/>
      <c r="I909" s="120"/>
      <c r="J909" s="120"/>
      <c r="K909" s="120"/>
      <c r="L909" s="120"/>
    </row>
    <row r="910" spans="3:12">
      <c r="C910" s="120"/>
      <c r="D910" s="120"/>
      <c r="E910" s="120"/>
      <c r="F910" s="134"/>
      <c r="H910" s="127"/>
      <c r="I910" s="120"/>
      <c r="J910" s="120"/>
      <c r="K910" s="120"/>
      <c r="L910" s="120"/>
    </row>
    <row r="911" spans="3:12">
      <c r="C911" s="120"/>
      <c r="D911" s="120"/>
      <c r="E911" s="120"/>
      <c r="F911" s="134"/>
      <c r="H911" s="127"/>
      <c r="I911" s="120"/>
      <c r="J911" s="120"/>
      <c r="K911" s="120"/>
      <c r="L911" s="120"/>
    </row>
    <row r="912" spans="3:12">
      <c r="C912" s="120"/>
      <c r="D912" s="120"/>
      <c r="E912" s="120"/>
      <c r="F912" s="134"/>
      <c r="H912" s="127"/>
      <c r="I912" s="120"/>
      <c r="J912" s="120"/>
      <c r="K912" s="120"/>
      <c r="L912" s="120"/>
    </row>
    <row r="913" spans="3:12">
      <c r="C913" s="120"/>
      <c r="D913" s="120"/>
      <c r="E913" s="120"/>
      <c r="F913" s="134"/>
      <c r="H913" s="127"/>
      <c r="I913" s="120"/>
      <c r="J913" s="120"/>
      <c r="K913" s="120"/>
      <c r="L913" s="120"/>
    </row>
    <row r="914" spans="3:12">
      <c r="C914" s="120"/>
      <c r="D914" s="120"/>
      <c r="E914" s="120"/>
      <c r="F914" s="134"/>
      <c r="H914" s="127"/>
      <c r="I914" s="120"/>
      <c r="J914" s="120"/>
      <c r="K914" s="120"/>
      <c r="L914" s="120"/>
    </row>
    <row r="915" spans="3:12">
      <c r="C915" s="120"/>
      <c r="D915" s="120"/>
      <c r="E915" s="120"/>
      <c r="F915" s="134"/>
      <c r="H915" s="127"/>
      <c r="I915" s="120"/>
      <c r="J915" s="120"/>
      <c r="K915" s="120"/>
      <c r="L915" s="120"/>
    </row>
    <row r="916" spans="3:12">
      <c r="C916" s="120"/>
      <c r="D916" s="120"/>
      <c r="E916" s="120"/>
      <c r="F916" s="134"/>
      <c r="H916" s="127"/>
      <c r="I916" s="120"/>
      <c r="J916" s="120"/>
      <c r="K916" s="120"/>
      <c r="L916" s="120"/>
    </row>
    <row r="917" spans="3:12">
      <c r="C917" s="120"/>
      <c r="D917" s="120"/>
      <c r="E917" s="120"/>
      <c r="F917" s="134"/>
      <c r="H917" s="127"/>
      <c r="I917" s="120"/>
      <c r="J917" s="120"/>
      <c r="K917" s="120"/>
      <c r="L917" s="120"/>
    </row>
    <row r="918" spans="3:12">
      <c r="C918" s="120"/>
      <c r="D918" s="120"/>
      <c r="E918" s="120"/>
      <c r="F918" s="134"/>
      <c r="H918" s="127"/>
      <c r="I918" s="120"/>
      <c r="J918" s="120"/>
      <c r="K918" s="120"/>
      <c r="L918" s="120"/>
    </row>
    <row r="919" spans="3:12">
      <c r="C919" s="120"/>
      <c r="D919" s="120"/>
      <c r="E919" s="120"/>
      <c r="F919" s="134"/>
      <c r="H919" s="127"/>
      <c r="I919" s="120"/>
      <c r="J919" s="120"/>
      <c r="K919" s="120"/>
      <c r="L919" s="120"/>
    </row>
    <row r="920" spans="3:12">
      <c r="C920" s="120"/>
      <c r="D920" s="120"/>
      <c r="E920" s="120"/>
      <c r="F920" s="134"/>
      <c r="H920" s="127"/>
      <c r="I920" s="120"/>
      <c r="J920" s="120"/>
      <c r="K920" s="120"/>
      <c r="L920" s="120"/>
    </row>
    <row r="921" spans="3:12">
      <c r="C921" s="120"/>
      <c r="D921" s="120"/>
      <c r="E921" s="120"/>
      <c r="F921" s="134"/>
      <c r="H921" s="127"/>
      <c r="I921" s="120"/>
      <c r="J921" s="120"/>
      <c r="K921" s="120"/>
      <c r="L921" s="120"/>
    </row>
    <row r="922" spans="3:12">
      <c r="C922" s="120"/>
      <c r="D922" s="120"/>
      <c r="E922" s="120"/>
      <c r="F922" s="134"/>
      <c r="H922" s="127"/>
      <c r="I922" s="120"/>
      <c r="J922" s="120"/>
      <c r="K922" s="120"/>
      <c r="L922" s="120"/>
    </row>
    <row r="923" spans="3:12">
      <c r="C923" s="120"/>
      <c r="D923" s="120"/>
      <c r="E923" s="120"/>
      <c r="F923" s="134"/>
      <c r="H923" s="127"/>
      <c r="I923" s="120"/>
      <c r="J923" s="120"/>
      <c r="K923" s="120"/>
      <c r="L923" s="120"/>
    </row>
    <row r="924" spans="3:12">
      <c r="C924" s="120"/>
      <c r="D924" s="120"/>
      <c r="E924" s="120"/>
      <c r="F924" s="134"/>
      <c r="H924" s="127"/>
      <c r="I924" s="120"/>
      <c r="J924" s="120"/>
      <c r="K924" s="120"/>
      <c r="L924" s="120"/>
    </row>
    <row r="925" spans="3:12">
      <c r="C925" s="120"/>
      <c r="D925" s="120"/>
      <c r="E925" s="120"/>
      <c r="F925" s="134"/>
      <c r="H925" s="127"/>
      <c r="I925" s="120"/>
      <c r="J925" s="120"/>
      <c r="K925" s="120"/>
      <c r="L925" s="120"/>
    </row>
    <row r="926" spans="3:12">
      <c r="C926" s="120"/>
      <c r="D926" s="120"/>
      <c r="E926" s="120"/>
      <c r="F926" s="134"/>
      <c r="H926" s="127"/>
      <c r="I926" s="120"/>
      <c r="J926" s="120"/>
      <c r="K926" s="120"/>
      <c r="L926" s="120"/>
    </row>
    <row r="927" spans="3:12">
      <c r="C927" s="120"/>
      <c r="D927" s="120"/>
      <c r="E927" s="120"/>
      <c r="F927" s="134"/>
      <c r="H927" s="127"/>
      <c r="I927" s="120"/>
      <c r="J927" s="120"/>
      <c r="K927" s="120"/>
      <c r="L927" s="120"/>
    </row>
    <row r="928" spans="3:12">
      <c r="C928" s="120"/>
      <c r="D928" s="120"/>
      <c r="E928" s="120"/>
      <c r="F928" s="134"/>
      <c r="H928" s="127"/>
      <c r="I928" s="120"/>
      <c r="J928" s="120"/>
      <c r="K928" s="120"/>
      <c r="L928" s="120"/>
    </row>
    <row r="929" spans="3:12">
      <c r="C929" s="120"/>
      <c r="D929" s="120"/>
      <c r="E929" s="120"/>
      <c r="F929" s="134"/>
      <c r="H929" s="127"/>
      <c r="I929" s="120"/>
      <c r="J929" s="120"/>
      <c r="K929" s="120"/>
      <c r="L929" s="120"/>
    </row>
    <row r="930" spans="3:12">
      <c r="C930" s="120"/>
      <c r="D930" s="120"/>
      <c r="E930" s="120"/>
      <c r="F930" s="134"/>
      <c r="H930" s="127"/>
      <c r="I930" s="120"/>
      <c r="J930" s="120"/>
      <c r="K930" s="120"/>
      <c r="L930" s="120"/>
    </row>
    <row r="931" spans="3:12">
      <c r="C931" s="120"/>
      <c r="D931" s="120"/>
      <c r="E931" s="120"/>
      <c r="F931" s="134"/>
      <c r="H931" s="127"/>
      <c r="I931" s="120"/>
      <c r="J931" s="120"/>
      <c r="K931" s="120"/>
      <c r="L931" s="120"/>
    </row>
    <row r="932" spans="3:12">
      <c r="C932" s="120"/>
      <c r="D932" s="120"/>
      <c r="E932" s="120"/>
      <c r="F932" s="134"/>
      <c r="H932" s="127"/>
      <c r="I932" s="120"/>
      <c r="J932" s="120"/>
      <c r="K932" s="120"/>
      <c r="L932" s="120"/>
    </row>
    <row r="933" spans="3:12">
      <c r="C933" s="120"/>
      <c r="D933" s="120"/>
      <c r="E933" s="120"/>
      <c r="F933" s="134"/>
      <c r="H933" s="127"/>
      <c r="I933" s="120"/>
      <c r="J933" s="120"/>
      <c r="K933" s="120"/>
      <c r="L933" s="120"/>
    </row>
    <row r="934" spans="3:12">
      <c r="C934" s="120"/>
      <c r="D934" s="120"/>
      <c r="E934" s="120"/>
      <c r="F934" s="134"/>
      <c r="H934" s="127"/>
      <c r="I934" s="120"/>
      <c r="J934" s="120"/>
      <c r="K934" s="120"/>
      <c r="L934" s="120"/>
    </row>
    <row r="935" spans="3:12">
      <c r="C935" s="120"/>
      <c r="D935" s="120"/>
      <c r="E935" s="120"/>
      <c r="F935" s="134"/>
      <c r="H935" s="127"/>
      <c r="I935" s="120"/>
      <c r="J935" s="120"/>
      <c r="K935" s="120"/>
      <c r="L935" s="120"/>
    </row>
    <row r="936" spans="3:12">
      <c r="C936" s="120"/>
      <c r="D936" s="120"/>
      <c r="E936" s="120"/>
      <c r="F936" s="134"/>
      <c r="H936" s="127"/>
      <c r="I936" s="120"/>
      <c r="J936" s="120"/>
      <c r="K936" s="120"/>
      <c r="L936" s="120"/>
    </row>
    <row r="937" spans="3:12">
      <c r="C937" s="120"/>
      <c r="D937" s="120"/>
      <c r="E937" s="120"/>
      <c r="F937" s="134"/>
      <c r="H937" s="127"/>
      <c r="I937" s="120"/>
      <c r="J937" s="120"/>
      <c r="K937" s="120"/>
      <c r="L937" s="120"/>
    </row>
    <row r="938" spans="3:12">
      <c r="C938" s="120"/>
      <c r="D938" s="120"/>
      <c r="E938" s="120"/>
      <c r="F938" s="134"/>
      <c r="H938" s="127"/>
      <c r="I938" s="120"/>
      <c r="J938" s="120"/>
      <c r="K938" s="120"/>
      <c r="L938" s="120"/>
    </row>
    <row r="939" spans="3:12">
      <c r="C939" s="120"/>
      <c r="D939" s="120"/>
      <c r="E939" s="120"/>
      <c r="F939" s="134"/>
      <c r="H939" s="127"/>
      <c r="I939" s="120"/>
      <c r="J939" s="120"/>
      <c r="K939" s="120"/>
      <c r="L939" s="120"/>
    </row>
    <row r="940" spans="3:12">
      <c r="C940" s="120"/>
      <c r="D940" s="120"/>
      <c r="E940" s="120"/>
      <c r="F940" s="134"/>
      <c r="H940" s="127"/>
      <c r="I940" s="120"/>
      <c r="J940" s="120"/>
      <c r="K940" s="120"/>
      <c r="L940" s="120"/>
    </row>
    <row r="941" spans="3:12">
      <c r="C941" s="120"/>
      <c r="D941" s="120"/>
      <c r="E941" s="120"/>
      <c r="F941" s="134"/>
      <c r="H941" s="127"/>
      <c r="I941" s="120"/>
      <c r="J941" s="120"/>
      <c r="K941" s="120"/>
      <c r="L941" s="120"/>
    </row>
    <row r="942" spans="3:12">
      <c r="C942" s="120"/>
      <c r="D942" s="120"/>
      <c r="E942" s="120"/>
      <c r="F942" s="134"/>
      <c r="H942" s="127"/>
      <c r="I942" s="120"/>
      <c r="J942" s="120"/>
      <c r="K942" s="120"/>
      <c r="L942" s="120"/>
    </row>
    <row r="943" spans="3:12">
      <c r="C943" s="120"/>
      <c r="D943" s="120"/>
      <c r="E943" s="120"/>
      <c r="F943" s="134"/>
      <c r="H943" s="127"/>
      <c r="I943" s="120"/>
      <c r="J943" s="120"/>
      <c r="K943" s="120"/>
      <c r="L943" s="120"/>
    </row>
    <row r="944" spans="3:12">
      <c r="C944" s="120"/>
      <c r="D944" s="120"/>
      <c r="E944" s="120"/>
      <c r="F944" s="134"/>
      <c r="H944" s="127"/>
      <c r="I944" s="120"/>
      <c r="J944" s="120"/>
      <c r="K944" s="120"/>
      <c r="L944" s="120"/>
    </row>
    <row r="945" spans="3:12">
      <c r="C945" s="120"/>
      <c r="D945" s="120"/>
      <c r="E945" s="120"/>
      <c r="F945" s="134"/>
      <c r="H945" s="127"/>
      <c r="I945" s="120"/>
      <c r="J945" s="120"/>
      <c r="K945" s="120"/>
      <c r="L945" s="120"/>
    </row>
    <row r="946" spans="3:12">
      <c r="C946" s="120"/>
      <c r="D946" s="120"/>
      <c r="E946" s="120"/>
      <c r="F946" s="134"/>
      <c r="H946" s="127"/>
      <c r="I946" s="120"/>
      <c r="J946" s="120"/>
      <c r="K946" s="120"/>
      <c r="L946" s="120"/>
    </row>
    <row r="947" spans="3:12">
      <c r="C947" s="120"/>
      <c r="D947" s="120"/>
      <c r="E947" s="120"/>
      <c r="F947" s="134"/>
      <c r="H947" s="127"/>
      <c r="I947" s="120"/>
      <c r="J947" s="120"/>
      <c r="K947" s="120"/>
      <c r="L947" s="120"/>
    </row>
    <row r="948" spans="3:12">
      <c r="C948" s="120"/>
      <c r="D948" s="120"/>
      <c r="E948" s="120"/>
      <c r="F948" s="134"/>
      <c r="H948" s="127"/>
      <c r="I948" s="120"/>
      <c r="J948" s="120"/>
      <c r="K948" s="120"/>
      <c r="L948" s="120"/>
    </row>
    <row r="949" spans="3:12">
      <c r="C949" s="120"/>
      <c r="D949" s="120"/>
      <c r="E949" s="120"/>
      <c r="F949" s="134"/>
      <c r="H949" s="127"/>
      <c r="I949" s="120"/>
      <c r="J949" s="120"/>
      <c r="K949" s="120"/>
      <c r="L949" s="120"/>
    </row>
    <row r="950" spans="3:12">
      <c r="C950" s="120"/>
      <c r="D950" s="120"/>
      <c r="E950" s="120"/>
      <c r="F950" s="134"/>
      <c r="H950" s="127"/>
      <c r="I950" s="120"/>
      <c r="J950" s="120"/>
      <c r="K950" s="120"/>
      <c r="L950" s="120"/>
    </row>
    <row r="951" spans="3:12">
      <c r="C951" s="120"/>
      <c r="D951" s="120"/>
      <c r="E951" s="120"/>
      <c r="F951" s="134"/>
      <c r="H951" s="127"/>
      <c r="I951" s="120"/>
      <c r="J951" s="120"/>
      <c r="K951" s="120"/>
      <c r="L951" s="120"/>
    </row>
    <row r="952" spans="3:12">
      <c r="C952" s="120"/>
      <c r="D952" s="120"/>
      <c r="E952" s="120"/>
      <c r="F952" s="134"/>
      <c r="H952" s="127"/>
      <c r="I952" s="120"/>
      <c r="J952" s="120"/>
      <c r="K952" s="120"/>
      <c r="L952" s="120"/>
    </row>
    <row r="953" spans="3:12">
      <c r="C953" s="120"/>
      <c r="D953" s="120"/>
      <c r="E953" s="120"/>
      <c r="F953" s="134"/>
      <c r="H953" s="127"/>
      <c r="I953" s="120"/>
      <c r="J953" s="120"/>
      <c r="K953" s="120"/>
      <c r="L953" s="120"/>
    </row>
    <row r="954" spans="3:12">
      <c r="C954" s="120"/>
      <c r="D954" s="120"/>
      <c r="E954" s="120"/>
      <c r="F954" s="134"/>
      <c r="H954" s="127"/>
      <c r="I954" s="120"/>
      <c r="J954" s="120"/>
      <c r="K954" s="120"/>
      <c r="L954" s="120"/>
    </row>
    <row r="955" spans="3:12">
      <c r="C955" s="120"/>
      <c r="D955" s="120"/>
      <c r="E955" s="120"/>
      <c r="F955" s="134"/>
      <c r="H955" s="127"/>
      <c r="I955" s="120"/>
      <c r="J955" s="120"/>
      <c r="K955" s="120"/>
      <c r="L955" s="120"/>
    </row>
    <row r="956" spans="3:12">
      <c r="C956" s="120"/>
      <c r="D956" s="120"/>
      <c r="E956" s="120"/>
      <c r="F956" s="134"/>
      <c r="H956" s="127"/>
      <c r="I956" s="120"/>
      <c r="J956" s="120"/>
      <c r="K956" s="120"/>
      <c r="L956" s="120"/>
    </row>
    <row r="957" spans="3:12">
      <c r="C957" s="120"/>
      <c r="D957" s="120"/>
      <c r="E957" s="120"/>
      <c r="F957" s="134"/>
      <c r="H957" s="127"/>
      <c r="I957" s="120"/>
      <c r="J957" s="120"/>
      <c r="K957" s="120"/>
      <c r="L957" s="120"/>
    </row>
    <row r="958" spans="3:12">
      <c r="C958" s="120"/>
      <c r="D958" s="120"/>
      <c r="E958" s="120"/>
      <c r="F958" s="134"/>
      <c r="H958" s="127"/>
      <c r="I958" s="120"/>
      <c r="J958" s="120"/>
      <c r="K958" s="120"/>
      <c r="L958" s="120"/>
    </row>
    <row r="959" spans="3:12">
      <c r="C959" s="120"/>
      <c r="D959" s="120"/>
      <c r="E959" s="120"/>
      <c r="F959" s="134"/>
      <c r="H959" s="127"/>
      <c r="I959" s="120"/>
      <c r="J959" s="120"/>
      <c r="K959" s="120"/>
      <c r="L959" s="120"/>
    </row>
    <row r="960" spans="3:12">
      <c r="C960" s="120"/>
      <c r="D960" s="120"/>
      <c r="E960" s="120"/>
      <c r="F960" s="134"/>
      <c r="H960" s="127"/>
      <c r="I960" s="120"/>
      <c r="J960" s="120"/>
      <c r="K960" s="120"/>
      <c r="L960" s="120"/>
    </row>
    <row r="961" spans="3:12">
      <c r="C961" s="120"/>
      <c r="D961" s="120"/>
      <c r="E961" s="120"/>
      <c r="F961" s="134"/>
      <c r="H961" s="127"/>
      <c r="I961" s="120"/>
      <c r="J961" s="120"/>
      <c r="K961" s="120"/>
      <c r="L961" s="120"/>
    </row>
    <row r="962" spans="3:12">
      <c r="C962" s="120"/>
      <c r="D962" s="120"/>
      <c r="E962" s="120"/>
      <c r="F962" s="134"/>
      <c r="H962" s="127"/>
      <c r="I962" s="120"/>
      <c r="J962" s="120"/>
      <c r="K962" s="120"/>
      <c r="L962" s="120"/>
    </row>
    <row r="963" spans="3:12">
      <c r="C963" s="120"/>
      <c r="D963" s="120"/>
      <c r="E963" s="120"/>
      <c r="F963" s="134"/>
      <c r="H963" s="127"/>
      <c r="I963" s="120"/>
      <c r="J963" s="120"/>
      <c r="K963" s="120"/>
      <c r="L963" s="120"/>
    </row>
    <row r="964" spans="3:12">
      <c r="C964" s="120"/>
      <c r="D964" s="120"/>
      <c r="E964" s="120"/>
      <c r="F964" s="134"/>
      <c r="H964" s="127"/>
      <c r="I964" s="120"/>
      <c r="J964" s="120"/>
      <c r="K964" s="120"/>
      <c r="L964" s="120"/>
    </row>
    <row r="965" spans="3:12">
      <c r="C965" s="120"/>
      <c r="D965" s="120"/>
      <c r="E965" s="120"/>
      <c r="F965" s="134"/>
      <c r="H965" s="127"/>
      <c r="I965" s="120"/>
      <c r="J965" s="120"/>
      <c r="K965" s="120"/>
      <c r="L965" s="120"/>
    </row>
    <row r="966" spans="3:12">
      <c r="C966" s="120"/>
      <c r="D966" s="120"/>
      <c r="E966" s="120"/>
      <c r="F966" s="134"/>
      <c r="H966" s="127"/>
      <c r="I966" s="120"/>
      <c r="J966" s="120"/>
      <c r="K966" s="120"/>
      <c r="L966" s="120"/>
    </row>
    <row r="967" spans="3:12">
      <c r="C967" s="120"/>
      <c r="D967" s="120"/>
      <c r="E967" s="120"/>
      <c r="F967" s="134"/>
      <c r="H967" s="127"/>
      <c r="I967" s="120"/>
      <c r="J967" s="120"/>
      <c r="K967" s="120"/>
      <c r="L967" s="120"/>
    </row>
    <row r="968" spans="3:12">
      <c r="C968" s="120"/>
      <c r="D968" s="120"/>
      <c r="E968" s="120"/>
      <c r="F968" s="134"/>
      <c r="H968" s="127"/>
      <c r="I968" s="120"/>
      <c r="J968" s="120"/>
      <c r="K968" s="120"/>
      <c r="L968" s="120"/>
    </row>
    <row r="969" spans="3:12">
      <c r="C969" s="120"/>
      <c r="D969" s="120"/>
      <c r="E969" s="120"/>
      <c r="F969" s="134"/>
      <c r="H969" s="127"/>
      <c r="I969" s="120"/>
      <c r="J969" s="120"/>
      <c r="K969" s="120"/>
      <c r="L969" s="120"/>
    </row>
    <row r="970" spans="3:12">
      <c r="C970" s="120"/>
      <c r="D970" s="120"/>
      <c r="E970" s="120"/>
      <c r="F970" s="134"/>
      <c r="H970" s="127"/>
      <c r="I970" s="120"/>
      <c r="J970" s="120"/>
      <c r="K970" s="120"/>
      <c r="L970" s="120"/>
    </row>
    <row r="971" spans="3:12">
      <c r="C971" s="120"/>
      <c r="D971" s="120"/>
      <c r="E971" s="120"/>
      <c r="F971" s="134"/>
      <c r="H971" s="127"/>
      <c r="I971" s="120"/>
      <c r="J971" s="120"/>
      <c r="K971" s="120"/>
      <c r="L971" s="120"/>
    </row>
    <row r="972" spans="3:12">
      <c r="C972" s="120"/>
      <c r="D972" s="120"/>
      <c r="E972" s="120"/>
      <c r="F972" s="134"/>
      <c r="H972" s="127"/>
      <c r="I972" s="120"/>
      <c r="J972" s="120"/>
      <c r="K972" s="120"/>
      <c r="L972" s="120"/>
    </row>
    <row r="973" spans="3:12">
      <c r="C973" s="120"/>
      <c r="D973" s="120"/>
      <c r="E973" s="120"/>
      <c r="F973" s="134"/>
      <c r="H973" s="127"/>
      <c r="I973" s="120"/>
      <c r="J973" s="120"/>
      <c r="K973" s="120"/>
      <c r="L973" s="120"/>
    </row>
    <row r="974" spans="3:12">
      <c r="C974" s="120"/>
      <c r="D974" s="120"/>
      <c r="E974" s="120"/>
      <c r="F974" s="134"/>
      <c r="H974" s="127"/>
      <c r="I974" s="120"/>
      <c r="J974" s="120"/>
      <c r="K974" s="120"/>
      <c r="L974" s="120"/>
    </row>
    <row r="975" spans="3:12">
      <c r="C975" s="120"/>
      <c r="D975" s="120"/>
      <c r="E975" s="120"/>
      <c r="F975" s="134"/>
      <c r="H975" s="127"/>
      <c r="I975" s="120"/>
      <c r="J975" s="120"/>
      <c r="K975" s="120"/>
      <c r="L975" s="120"/>
    </row>
    <row r="976" spans="3:12">
      <c r="C976" s="120"/>
      <c r="D976" s="120"/>
      <c r="E976" s="120"/>
      <c r="F976" s="134"/>
      <c r="H976" s="127"/>
      <c r="I976" s="120"/>
      <c r="J976" s="120"/>
      <c r="K976" s="120"/>
      <c r="L976" s="120"/>
    </row>
    <row r="977" spans="3:12">
      <c r="C977" s="120"/>
      <c r="D977" s="120"/>
      <c r="E977" s="120"/>
      <c r="F977" s="134"/>
      <c r="H977" s="127"/>
      <c r="I977" s="120"/>
      <c r="J977" s="120"/>
      <c r="K977" s="120"/>
      <c r="L977" s="120"/>
    </row>
    <row r="978" spans="3:12">
      <c r="C978" s="120"/>
      <c r="D978" s="120"/>
      <c r="E978" s="120"/>
      <c r="F978" s="134"/>
      <c r="H978" s="127"/>
      <c r="I978" s="120"/>
      <c r="J978" s="120"/>
      <c r="K978" s="120"/>
      <c r="L978" s="120"/>
    </row>
    <row r="979" spans="3:12">
      <c r="C979" s="120"/>
      <c r="D979" s="120"/>
      <c r="E979" s="120"/>
      <c r="F979" s="134"/>
      <c r="H979" s="127"/>
      <c r="I979" s="120"/>
      <c r="J979" s="120"/>
      <c r="K979" s="120"/>
      <c r="L979" s="120"/>
    </row>
    <row r="980" spans="3:12">
      <c r="C980" s="120"/>
      <c r="D980" s="120"/>
      <c r="E980" s="120"/>
      <c r="F980" s="134"/>
      <c r="H980" s="127"/>
      <c r="I980" s="120"/>
      <c r="J980" s="120"/>
      <c r="K980" s="120"/>
      <c r="L980" s="120"/>
    </row>
    <row r="981" spans="3:12">
      <c r="C981" s="120"/>
      <c r="D981" s="120"/>
      <c r="E981" s="120"/>
      <c r="F981" s="134"/>
      <c r="H981" s="127"/>
      <c r="I981" s="120"/>
      <c r="J981" s="120"/>
      <c r="K981" s="120"/>
      <c r="L981" s="120"/>
    </row>
    <row r="982" spans="3:12">
      <c r="C982" s="120"/>
      <c r="D982" s="120"/>
      <c r="E982" s="120"/>
      <c r="F982" s="134"/>
      <c r="H982" s="127"/>
      <c r="I982" s="120"/>
      <c r="J982" s="120"/>
      <c r="K982" s="120"/>
      <c r="L982" s="120"/>
    </row>
    <row r="983" spans="3:12">
      <c r="C983" s="120"/>
      <c r="D983" s="120"/>
      <c r="E983" s="120"/>
      <c r="F983" s="134"/>
      <c r="H983" s="127"/>
      <c r="I983" s="120"/>
      <c r="J983" s="120"/>
      <c r="K983" s="120"/>
      <c r="L983" s="120"/>
    </row>
    <row r="984" spans="3:12">
      <c r="C984" s="120"/>
      <c r="D984" s="120"/>
      <c r="E984" s="120"/>
      <c r="F984" s="134"/>
      <c r="H984" s="127"/>
      <c r="I984" s="120"/>
      <c r="J984" s="120"/>
      <c r="K984" s="120"/>
      <c r="L984" s="120"/>
    </row>
    <row r="985" spans="3:12">
      <c r="C985" s="120"/>
      <c r="D985" s="120"/>
      <c r="E985" s="120"/>
      <c r="F985" s="134"/>
      <c r="H985" s="127"/>
      <c r="I985" s="120"/>
      <c r="J985" s="120"/>
      <c r="K985" s="120"/>
      <c r="L985" s="120"/>
    </row>
    <row r="986" spans="3:12">
      <c r="C986" s="120"/>
      <c r="D986" s="120"/>
      <c r="E986" s="120"/>
      <c r="F986" s="134"/>
      <c r="H986" s="127"/>
      <c r="I986" s="120"/>
      <c r="J986" s="120"/>
      <c r="K986" s="120"/>
      <c r="L986" s="120"/>
    </row>
    <row r="987" spans="3:12">
      <c r="C987" s="120"/>
      <c r="D987" s="120"/>
      <c r="E987" s="120"/>
      <c r="F987" s="134"/>
      <c r="H987" s="127"/>
      <c r="I987" s="120"/>
      <c r="J987" s="120"/>
      <c r="K987" s="120"/>
      <c r="L987" s="120"/>
    </row>
    <row r="988" spans="3:12">
      <c r="C988" s="120"/>
      <c r="D988" s="120"/>
      <c r="E988" s="120"/>
      <c r="F988" s="134"/>
      <c r="H988" s="127"/>
      <c r="I988" s="120"/>
      <c r="J988" s="120"/>
      <c r="K988" s="120"/>
      <c r="L988" s="120"/>
    </row>
    <row r="989" spans="3:12">
      <c r="C989" s="120"/>
      <c r="D989" s="120"/>
      <c r="E989" s="120"/>
      <c r="F989" s="134"/>
      <c r="H989" s="127"/>
      <c r="I989" s="120"/>
      <c r="J989" s="120"/>
      <c r="K989" s="120"/>
      <c r="L989" s="120"/>
    </row>
    <row r="990" spans="3:12">
      <c r="C990" s="120"/>
      <c r="D990" s="120"/>
      <c r="E990" s="120"/>
      <c r="F990" s="134"/>
      <c r="H990" s="127"/>
      <c r="I990" s="120"/>
      <c r="J990" s="120"/>
      <c r="K990" s="120"/>
      <c r="L990" s="120"/>
    </row>
    <row r="991" spans="3:12">
      <c r="C991" s="120"/>
      <c r="D991" s="120"/>
      <c r="E991" s="120"/>
      <c r="F991" s="134"/>
      <c r="H991" s="127"/>
      <c r="I991" s="120"/>
      <c r="J991" s="120"/>
      <c r="K991" s="120"/>
      <c r="L991" s="120"/>
    </row>
    <row r="992" spans="3:12">
      <c r="C992" s="120"/>
      <c r="D992" s="120"/>
      <c r="E992" s="120"/>
      <c r="F992" s="134"/>
      <c r="H992" s="127"/>
      <c r="I992" s="120"/>
      <c r="J992" s="120"/>
      <c r="K992" s="120"/>
      <c r="L992" s="120"/>
    </row>
    <row r="993" spans="3:12">
      <c r="C993" s="120"/>
      <c r="D993" s="120"/>
      <c r="E993" s="120"/>
      <c r="F993" s="134"/>
      <c r="H993" s="127"/>
      <c r="I993" s="120"/>
      <c r="J993" s="120"/>
      <c r="K993" s="120"/>
      <c r="L993" s="120"/>
    </row>
    <row r="994" spans="3:12">
      <c r="C994" s="120"/>
      <c r="D994" s="120"/>
      <c r="E994" s="120"/>
      <c r="F994" s="134"/>
      <c r="H994" s="127"/>
      <c r="I994" s="120"/>
      <c r="J994" s="120"/>
      <c r="K994" s="120"/>
      <c r="L994" s="120"/>
    </row>
    <row r="995" spans="3:12">
      <c r="C995" s="120"/>
      <c r="D995" s="120"/>
      <c r="E995" s="120"/>
      <c r="F995" s="134"/>
      <c r="H995" s="127"/>
      <c r="I995" s="120"/>
      <c r="J995" s="120"/>
      <c r="K995" s="120"/>
      <c r="L995" s="120"/>
    </row>
    <row r="996" spans="3:12">
      <c r="C996" s="120"/>
      <c r="D996" s="120"/>
      <c r="E996" s="120"/>
      <c r="F996" s="134"/>
      <c r="H996" s="127"/>
      <c r="I996" s="120"/>
      <c r="J996" s="120"/>
      <c r="K996" s="120"/>
      <c r="L996" s="120"/>
    </row>
    <row r="997" spans="3:12">
      <c r="C997" s="120"/>
      <c r="D997" s="120"/>
      <c r="E997" s="120"/>
      <c r="F997" s="134"/>
      <c r="H997" s="127"/>
      <c r="I997" s="120"/>
      <c r="J997" s="120"/>
      <c r="K997" s="120"/>
      <c r="L997" s="120"/>
    </row>
    <row r="998" spans="3:12">
      <c r="C998" s="120"/>
      <c r="D998" s="120"/>
      <c r="E998" s="120"/>
      <c r="F998" s="134"/>
      <c r="H998" s="127"/>
      <c r="I998" s="120"/>
      <c r="J998" s="120"/>
      <c r="K998" s="120"/>
      <c r="L998" s="120"/>
    </row>
    <row r="999" spans="3:12">
      <c r="C999" s="120"/>
      <c r="D999" s="120"/>
      <c r="E999" s="120"/>
      <c r="F999" s="134"/>
      <c r="H999" s="127"/>
      <c r="I999" s="120"/>
      <c r="J999" s="120"/>
      <c r="K999" s="120"/>
      <c r="L999" s="120"/>
    </row>
    <row r="1000" spans="3:12">
      <c r="C1000" s="120"/>
      <c r="D1000" s="120"/>
      <c r="E1000" s="120"/>
      <c r="F1000" s="134"/>
      <c r="H1000" s="127"/>
      <c r="I1000" s="120"/>
      <c r="J1000" s="120"/>
      <c r="K1000" s="120"/>
      <c r="L1000" s="120"/>
    </row>
    <row r="1001" spans="3:12">
      <c r="C1001" s="120"/>
      <c r="D1001" s="120"/>
      <c r="E1001" s="120"/>
      <c r="F1001" s="134"/>
      <c r="H1001" s="127"/>
      <c r="I1001" s="120"/>
      <c r="J1001" s="120"/>
      <c r="K1001" s="120"/>
      <c r="L1001" s="120"/>
    </row>
    <row r="1002" spans="3:12">
      <c r="C1002" s="120"/>
      <c r="D1002" s="120"/>
      <c r="E1002" s="120"/>
      <c r="F1002" s="134"/>
      <c r="H1002" s="127"/>
      <c r="I1002" s="120"/>
      <c r="J1002" s="120"/>
      <c r="K1002" s="120"/>
      <c r="L1002" s="120"/>
    </row>
    <row r="1003" spans="3:12">
      <c r="C1003" s="120"/>
      <c r="D1003" s="120"/>
      <c r="E1003" s="120"/>
      <c r="F1003" s="134"/>
      <c r="H1003" s="127"/>
      <c r="I1003" s="120"/>
      <c r="J1003" s="120"/>
      <c r="K1003" s="120"/>
      <c r="L1003" s="120"/>
    </row>
    <row r="1004" spans="3:12">
      <c r="C1004" s="120"/>
      <c r="D1004" s="120"/>
      <c r="E1004" s="120"/>
      <c r="F1004" s="134"/>
      <c r="H1004" s="127"/>
      <c r="I1004" s="120"/>
      <c r="J1004" s="120"/>
      <c r="K1004" s="120"/>
      <c r="L1004" s="120"/>
    </row>
    <row r="1005" spans="3:12">
      <c r="C1005" s="120"/>
      <c r="D1005" s="120"/>
      <c r="E1005" s="120"/>
      <c r="F1005" s="134"/>
      <c r="H1005" s="127"/>
      <c r="I1005" s="120"/>
      <c r="J1005" s="120"/>
      <c r="K1005" s="120"/>
      <c r="L1005" s="120"/>
    </row>
    <row r="1006" spans="3:12">
      <c r="C1006" s="120"/>
      <c r="D1006" s="120"/>
      <c r="E1006" s="120"/>
      <c r="F1006" s="134"/>
      <c r="H1006" s="127"/>
      <c r="I1006" s="120"/>
      <c r="J1006" s="120"/>
      <c r="K1006" s="120"/>
      <c r="L1006" s="120"/>
    </row>
    <row r="1007" spans="3:12">
      <c r="C1007" s="120"/>
      <c r="D1007" s="120"/>
      <c r="E1007" s="120"/>
      <c r="F1007" s="134"/>
      <c r="H1007" s="127"/>
      <c r="I1007" s="120"/>
      <c r="J1007" s="120"/>
      <c r="K1007" s="120"/>
      <c r="L1007" s="120"/>
    </row>
    <row r="1008" spans="3:12">
      <c r="C1008" s="120"/>
      <c r="D1008" s="120"/>
      <c r="E1008" s="120"/>
      <c r="F1008" s="134"/>
      <c r="H1008" s="127"/>
      <c r="I1008" s="120"/>
      <c r="J1008" s="120"/>
      <c r="K1008" s="120"/>
      <c r="L1008" s="120"/>
    </row>
    <row r="1009" spans="3:12">
      <c r="C1009" s="120"/>
      <c r="D1009" s="120"/>
      <c r="E1009" s="120"/>
      <c r="F1009" s="134"/>
      <c r="H1009" s="127"/>
      <c r="I1009" s="120"/>
      <c r="J1009" s="120"/>
      <c r="K1009" s="120"/>
      <c r="L1009" s="120"/>
    </row>
    <row r="1010" spans="3:12">
      <c r="C1010" s="120"/>
      <c r="D1010" s="120"/>
      <c r="E1010" s="120"/>
      <c r="F1010" s="134"/>
      <c r="H1010" s="127"/>
      <c r="I1010" s="120"/>
      <c r="J1010" s="120"/>
      <c r="K1010" s="120"/>
      <c r="L1010" s="120"/>
    </row>
    <row r="1011" spans="3:12">
      <c r="C1011" s="120"/>
      <c r="D1011" s="120"/>
      <c r="E1011" s="120"/>
      <c r="F1011" s="134"/>
      <c r="H1011" s="127"/>
      <c r="I1011" s="120"/>
      <c r="J1011" s="120"/>
      <c r="K1011" s="120"/>
      <c r="L1011" s="120"/>
    </row>
    <row r="1012" spans="3:12">
      <c r="C1012" s="120"/>
      <c r="D1012" s="120"/>
      <c r="E1012" s="120"/>
      <c r="F1012" s="134"/>
      <c r="H1012" s="127"/>
      <c r="I1012" s="120"/>
      <c r="J1012" s="120"/>
      <c r="K1012" s="120"/>
      <c r="L1012" s="120"/>
    </row>
    <row r="1013" spans="3:12">
      <c r="C1013" s="120"/>
      <c r="D1013" s="120"/>
      <c r="E1013" s="120"/>
      <c r="F1013" s="134"/>
      <c r="H1013" s="127"/>
      <c r="I1013" s="120"/>
      <c r="J1013" s="120"/>
      <c r="K1013" s="120"/>
      <c r="L1013" s="120"/>
    </row>
    <row r="1014" spans="3:12">
      <c r="C1014" s="120"/>
      <c r="D1014" s="120"/>
      <c r="E1014" s="120"/>
      <c r="F1014" s="134"/>
      <c r="H1014" s="127"/>
      <c r="I1014" s="120"/>
      <c r="J1014" s="120"/>
      <c r="K1014" s="120"/>
      <c r="L1014" s="120"/>
    </row>
    <row r="1015" spans="3:12">
      <c r="C1015" s="120"/>
      <c r="D1015" s="120"/>
      <c r="E1015" s="120"/>
      <c r="F1015" s="134"/>
      <c r="H1015" s="127"/>
      <c r="I1015" s="120"/>
      <c r="J1015" s="120"/>
      <c r="K1015" s="120"/>
      <c r="L1015" s="120"/>
    </row>
    <row r="1016" spans="3:12">
      <c r="C1016" s="120"/>
      <c r="D1016" s="120"/>
      <c r="E1016" s="120"/>
      <c r="F1016" s="134"/>
      <c r="H1016" s="127"/>
      <c r="I1016" s="120"/>
      <c r="J1016" s="120"/>
      <c r="K1016" s="120"/>
      <c r="L1016" s="120"/>
    </row>
    <row r="1017" spans="3:12">
      <c r="C1017" s="120"/>
      <c r="D1017" s="120"/>
      <c r="E1017" s="120"/>
      <c r="F1017" s="134"/>
      <c r="H1017" s="127"/>
      <c r="I1017" s="120"/>
      <c r="J1017" s="120"/>
      <c r="K1017" s="120"/>
      <c r="L1017" s="120"/>
    </row>
    <row r="1018" spans="3:12">
      <c r="C1018" s="120"/>
      <c r="D1018" s="120"/>
      <c r="E1018" s="120"/>
      <c r="F1018" s="134"/>
      <c r="H1018" s="127"/>
      <c r="I1018" s="120"/>
      <c r="J1018" s="120"/>
      <c r="K1018" s="120"/>
      <c r="L1018" s="120"/>
    </row>
    <row r="1019" spans="3:12">
      <c r="C1019" s="120"/>
      <c r="D1019" s="120"/>
      <c r="E1019" s="120"/>
      <c r="F1019" s="134"/>
      <c r="H1019" s="127"/>
      <c r="I1019" s="120"/>
      <c r="J1019" s="120"/>
      <c r="K1019" s="120"/>
      <c r="L1019" s="120"/>
    </row>
    <row r="1020" spans="3:12">
      <c r="C1020" s="120"/>
      <c r="D1020" s="120"/>
      <c r="E1020" s="120"/>
      <c r="F1020" s="134"/>
      <c r="H1020" s="127"/>
      <c r="I1020" s="120"/>
      <c r="J1020" s="120"/>
      <c r="K1020" s="120"/>
      <c r="L1020" s="120"/>
    </row>
    <row r="1021" spans="3:12">
      <c r="C1021" s="120"/>
      <c r="D1021" s="120"/>
      <c r="E1021" s="120"/>
      <c r="F1021" s="134"/>
      <c r="H1021" s="127"/>
      <c r="I1021" s="120"/>
      <c r="J1021" s="120"/>
      <c r="K1021" s="120"/>
      <c r="L1021" s="120"/>
    </row>
    <row r="1022" spans="3:12">
      <c r="C1022" s="120"/>
      <c r="D1022" s="120"/>
      <c r="E1022" s="120"/>
      <c r="F1022" s="134"/>
      <c r="H1022" s="127"/>
      <c r="I1022" s="120"/>
      <c r="J1022" s="120"/>
      <c r="K1022" s="120"/>
      <c r="L1022" s="120"/>
    </row>
    <row r="1023" spans="3:12">
      <c r="C1023" s="120"/>
      <c r="D1023" s="120"/>
      <c r="E1023" s="120"/>
      <c r="F1023" s="134"/>
      <c r="H1023" s="127"/>
      <c r="I1023" s="120"/>
      <c r="J1023" s="120"/>
      <c r="K1023" s="120"/>
      <c r="L1023" s="120"/>
    </row>
    <row r="1024" spans="3:12">
      <c r="C1024" s="120"/>
      <c r="D1024" s="120"/>
      <c r="E1024" s="120"/>
      <c r="F1024" s="134"/>
      <c r="H1024" s="127"/>
      <c r="I1024" s="120"/>
      <c r="J1024" s="120"/>
      <c r="K1024" s="120"/>
      <c r="L1024" s="120"/>
    </row>
    <row r="1025" spans="3:12">
      <c r="C1025" s="120"/>
      <c r="D1025" s="120"/>
      <c r="E1025" s="120"/>
      <c r="F1025" s="134"/>
      <c r="H1025" s="127"/>
      <c r="I1025" s="120"/>
      <c r="J1025" s="120"/>
      <c r="K1025" s="120"/>
      <c r="L1025" s="120"/>
    </row>
    <row r="1026" spans="3:12">
      <c r="C1026" s="120"/>
      <c r="D1026" s="120"/>
      <c r="E1026" s="120"/>
      <c r="F1026" s="134"/>
      <c r="H1026" s="127"/>
      <c r="I1026" s="120"/>
      <c r="J1026" s="120"/>
      <c r="K1026" s="120"/>
      <c r="L1026" s="120"/>
    </row>
    <row r="1027" spans="3:12">
      <c r="C1027" s="120"/>
      <c r="D1027" s="120"/>
      <c r="E1027" s="120"/>
      <c r="F1027" s="134"/>
      <c r="H1027" s="127"/>
      <c r="I1027" s="120"/>
      <c r="J1027" s="120"/>
      <c r="K1027" s="120"/>
      <c r="L1027" s="120"/>
    </row>
    <row r="1028" spans="3:12">
      <c r="C1028" s="120"/>
      <c r="D1028" s="120"/>
      <c r="E1028" s="120"/>
      <c r="F1028" s="134"/>
      <c r="H1028" s="127"/>
      <c r="I1028" s="120"/>
      <c r="J1028" s="120"/>
      <c r="K1028" s="120"/>
      <c r="L1028" s="120"/>
    </row>
    <row r="1029" spans="3:12">
      <c r="C1029" s="120"/>
      <c r="D1029" s="120"/>
      <c r="E1029" s="120"/>
      <c r="F1029" s="134"/>
      <c r="H1029" s="127"/>
      <c r="I1029" s="120"/>
      <c r="J1029" s="120"/>
      <c r="K1029" s="120"/>
      <c r="L1029" s="120"/>
    </row>
    <row r="1030" spans="3:12">
      <c r="C1030" s="120"/>
      <c r="D1030" s="120"/>
      <c r="E1030" s="120"/>
      <c r="F1030" s="134"/>
      <c r="H1030" s="127"/>
      <c r="I1030" s="120"/>
      <c r="J1030" s="120"/>
      <c r="K1030" s="120"/>
      <c r="L1030" s="120"/>
    </row>
    <row r="1031" spans="3:12">
      <c r="C1031" s="120"/>
      <c r="D1031" s="120"/>
      <c r="E1031" s="120"/>
      <c r="F1031" s="134"/>
      <c r="H1031" s="127"/>
      <c r="I1031" s="120"/>
      <c r="J1031" s="120"/>
      <c r="K1031" s="120"/>
      <c r="L1031" s="120"/>
    </row>
    <row r="1032" spans="3:12">
      <c r="C1032" s="120"/>
      <c r="D1032" s="120"/>
      <c r="E1032" s="120"/>
      <c r="F1032" s="134"/>
      <c r="H1032" s="127"/>
      <c r="I1032" s="120"/>
      <c r="J1032" s="120"/>
      <c r="K1032" s="120"/>
      <c r="L1032" s="120"/>
    </row>
    <row r="1033" spans="3:12">
      <c r="C1033" s="120"/>
      <c r="D1033" s="120"/>
      <c r="E1033" s="120"/>
      <c r="F1033" s="134"/>
      <c r="H1033" s="127"/>
      <c r="I1033" s="120"/>
      <c r="J1033" s="120"/>
      <c r="K1033" s="120"/>
      <c r="L1033" s="120"/>
    </row>
    <row r="1034" spans="3:12">
      <c r="C1034" s="120"/>
      <c r="D1034" s="120"/>
      <c r="E1034" s="120"/>
      <c r="F1034" s="134"/>
      <c r="H1034" s="127"/>
      <c r="I1034" s="120"/>
      <c r="J1034" s="120"/>
      <c r="K1034" s="120"/>
      <c r="L1034" s="120"/>
    </row>
    <row r="1035" spans="3:12">
      <c r="C1035" s="120"/>
      <c r="D1035" s="120"/>
      <c r="E1035" s="120"/>
      <c r="F1035" s="134"/>
      <c r="H1035" s="127"/>
      <c r="I1035" s="120"/>
      <c r="J1035" s="120"/>
      <c r="K1035" s="120"/>
      <c r="L1035" s="120"/>
    </row>
    <row r="1036" spans="3:12">
      <c r="C1036" s="120"/>
      <c r="D1036" s="120"/>
      <c r="E1036" s="120"/>
      <c r="F1036" s="134"/>
      <c r="H1036" s="127"/>
      <c r="I1036" s="120"/>
      <c r="J1036" s="120"/>
      <c r="K1036" s="120"/>
      <c r="L1036" s="120"/>
    </row>
    <row r="1037" spans="3:12">
      <c r="C1037" s="120"/>
      <c r="D1037" s="120"/>
      <c r="E1037" s="120"/>
      <c r="F1037" s="134"/>
      <c r="H1037" s="127"/>
      <c r="I1037" s="120"/>
      <c r="J1037" s="120"/>
      <c r="K1037" s="120"/>
      <c r="L1037" s="120"/>
    </row>
    <row r="1038" spans="3:12">
      <c r="C1038" s="120"/>
      <c r="D1038" s="120"/>
      <c r="E1038" s="120"/>
      <c r="F1038" s="134"/>
      <c r="H1038" s="127"/>
      <c r="I1038" s="120"/>
      <c r="J1038" s="120"/>
      <c r="K1038" s="120"/>
      <c r="L1038" s="120"/>
    </row>
    <row r="1039" spans="3:12">
      <c r="C1039" s="120"/>
      <c r="D1039" s="120"/>
      <c r="E1039" s="120"/>
      <c r="F1039" s="134"/>
      <c r="H1039" s="127"/>
      <c r="I1039" s="120"/>
      <c r="J1039" s="120"/>
      <c r="K1039" s="120"/>
      <c r="L1039" s="120"/>
    </row>
    <row r="1040" spans="3:12">
      <c r="C1040" s="120"/>
      <c r="D1040" s="120"/>
      <c r="E1040" s="120"/>
      <c r="F1040" s="134"/>
      <c r="H1040" s="127"/>
      <c r="I1040" s="120"/>
      <c r="J1040" s="120"/>
      <c r="K1040" s="120"/>
      <c r="L1040" s="120"/>
    </row>
    <row r="1041" spans="3:12">
      <c r="C1041" s="120"/>
      <c r="D1041" s="120"/>
      <c r="E1041" s="120"/>
      <c r="F1041" s="134"/>
      <c r="H1041" s="127"/>
      <c r="I1041" s="120"/>
      <c r="J1041" s="120"/>
      <c r="K1041" s="120"/>
      <c r="L1041" s="120"/>
    </row>
    <row r="1042" spans="3:12">
      <c r="C1042" s="120"/>
      <c r="D1042" s="120"/>
      <c r="E1042" s="120"/>
      <c r="F1042" s="134"/>
      <c r="H1042" s="127"/>
      <c r="I1042" s="120"/>
      <c r="J1042" s="120"/>
      <c r="K1042" s="120"/>
      <c r="L1042" s="120"/>
    </row>
    <row r="1043" spans="3:12">
      <c r="C1043" s="120"/>
      <c r="D1043" s="120"/>
      <c r="E1043" s="120"/>
      <c r="F1043" s="134"/>
      <c r="H1043" s="127"/>
      <c r="I1043" s="120"/>
      <c r="J1043" s="120"/>
      <c r="K1043" s="120"/>
      <c r="L1043" s="120"/>
    </row>
    <row r="1044" spans="3:12">
      <c r="C1044" s="120"/>
      <c r="D1044" s="120"/>
      <c r="E1044" s="120"/>
      <c r="F1044" s="134"/>
      <c r="H1044" s="127"/>
      <c r="I1044" s="120"/>
      <c r="J1044" s="120"/>
      <c r="K1044" s="120"/>
      <c r="L1044" s="120"/>
    </row>
    <row r="1045" spans="3:12">
      <c r="C1045" s="120"/>
      <c r="D1045" s="120"/>
      <c r="E1045" s="120"/>
      <c r="F1045" s="134"/>
      <c r="H1045" s="127"/>
      <c r="I1045" s="120"/>
      <c r="J1045" s="120"/>
      <c r="K1045" s="120"/>
      <c r="L1045" s="120"/>
    </row>
    <row r="1046" spans="3:12">
      <c r="C1046" s="120"/>
      <c r="D1046" s="120"/>
      <c r="E1046" s="120"/>
      <c r="F1046" s="134"/>
      <c r="H1046" s="127"/>
      <c r="I1046" s="120"/>
      <c r="J1046" s="120"/>
      <c r="K1046" s="120"/>
      <c r="L1046" s="120"/>
    </row>
    <row r="1047" spans="3:12">
      <c r="C1047" s="120"/>
      <c r="D1047" s="120"/>
      <c r="E1047" s="120"/>
      <c r="F1047" s="134"/>
      <c r="H1047" s="127"/>
      <c r="I1047" s="120"/>
      <c r="J1047" s="120"/>
      <c r="K1047" s="120"/>
      <c r="L1047" s="120"/>
    </row>
    <row r="1048" spans="3:12">
      <c r="C1048" s="120"/>
      <c r="D1048" s="120"/>
      <c r="E1048" s="120"/>
      <c r="F1048" s="134"/>
      <c r="H1048" s="127"/>
      <c r="I1048" s="120"/>
      <c r="J1048" s="120"/>
      <c r="K1048" s="120"/>
      <c r="L1048" s="120"/>
    </row>
    <row r="1049" spans="3:12">
      <c r="C1049" s="120"/>
      <c r="D1049" s="120"/>
      <c r="E1049" s="120"/>
      <c r="F1049" s="134"/>
      <c r="H1049" s="127"/>
      <c r="I1049" s="120"/>
      <c r="J1049" s="120"/>
      <c r="K1049" s="120"/>
      <c r="L1049" s="120"/>
    </row>
    <row r="1050" spans="3:12">
      <c r="C1050" s="120"/>
      <c r="D1050" s="120"/>
      <c r="E1050" s="120"/>
      <c r="F1050" s="134"/>
      <c r="H1050" s="127"/>
      <c r="I1050" s="120"/>
      <c r="J1050" s="120"/>
      <c r="K1050" s="120"/>
      <c r="L1050" s="120"/>
    </row>
    <row r="1051" spans="3:12">
      <c r="C1051" s="120"/>
      <c r="D1051" s="120"/>
      <c r="E1051" s="120"/>
      <c r="F1051" s="134"/>
      <c r="H1051" s="127"/>
      <c r="I1051" s="120"/>
      <c r="J1051" s="120"/>
      <c r="K1051" s="120"/>
      <c r="L1051" s="120"/>
    </row>
    <row r="1052" spans="3:12">
      <c r="C1052" s="120"/>
      <c r="D1052" s="120"/>
      <c r="E1052" s="120"/>
      <c r="F1052" s="134"/>
      <c r="H1052" s="127"/>
      <c r="I1052" s="120"/>
      <c r="J1052" s="120"/>
      <c r="K1052" s="120"/>
      <c r="L1052" s="120"/>
    </row>
    <row r="1053" spans="3:12">
      <c r="C1053" s="120"/>
      <c r="D1053" s="120"/>
      <c r="E1053" s="120"/>
      <c r="F1053" s="134"/>
      <c r="H1053" s="127"/>
      <c r="I1053" s="120"/>
      <c r="J1053" s="120"/>
      <c r="K1053" s="120"/>
      <c r="L1053" s="120"/>
    </row>
    <row r="1054" spans="3:12">
      <c r="C1054" s="120"/>
      <c r="D1054" s="120"/>
      <c r="E1054" s="120"/>
      <c r="F1054" s="134"/>
      <c r="H1054" s="127"/>
      <c r="I1054" s="120"/>
      <c r="J1054" s="120"/>
      <c r="K1054" s="120"/>
      <c r="L1054" s="120"/>
    </row>
    <row r="1055" spans="3:12">
      <c r="C1055" s="120"/>
      <c r="D1055" s="120"/>
      <c r="E1055" s="120"/>
      <c r="F1055" s="134"/>
      <c r="H1055" s="127"/>
      <c r="I1055" s="120"/>
      <c r="J1055" s="120"/>
      <c r="K1055" s="120"/>
      <c r="L1055" s="120"/>
    </row>
    <row r="1056" spans="3:12">
      <c r="C1056" s="120"/>
      <c r="D1056" s="120"/>
      <c r="E1056" s="120"/>
      <c r="F1056" s="134"/>
      <c r="H1056" s="127"/>
      <c r="I1056" s="120"/>
      <c r="J1056" s="120"/>
      <c r="K1056" s="120"/>
      <c r="L1056" s="120"/>
    </row>
    <row r="1057" spans="3:12">
      <c r="C1057" s="120"/>
      <c r="D1057" s="120"/>
      <c r="E1057" s="120"/>
      <c r="F1057" s="134"/>
      <c r="H1057" s="127"/>
      <c r="I1057" s="120"/>
      <c r="J1057" s="120"/>
      <c r="K1057" s="120"/>
      <c r="L1057" s="120"/>
    </row>
    <row r="1058" spans="3:12">
      <c r="C1058" s="120"/>
      <c r="D1058" s="120"/>
      <c r="E1058" s="120"/>
      <c r="F1058" s="134"/>
      <c r="H1058" s="127"/>
      <c r="I1058" s="120"/>
      <c r="J1058" s="120"/>
      <c r="K1058" s="120"/>
      <c r="L1058" s="120"/>
    </row>
    <row r="1059" spans="3:12">
      <c r="C1059" s="120"/>
      <c r="D1059" s="120"/>
      <c r="E1059" s="120"/>
      <c r="F1059" s="134"/>
      <c r="H1059" s="127"/>
      <c r="I1059" s="120"/>
      <c r="J1059" s="120"/>
      <c r="K1059" s="120"/>
      <c r="L1059" s="120"/>
    </row>
    <row r="1060" spans="3:12">
      <c r="C1060" s="120"/>
      <c r="D1060" s="120"/>
      <c r="E1060" s="120"/>
      <c r="F1060" s="134"/>
      <c r="H1060" s="127"/>
      <c r="I1060" s="120"/>
      <c r="J1060" s="120"/>
      <c r="K1060" s="120"/>
      <c r="L1060" s="120"/>
    </row>
    <row r="1061" spans="3:12">
      <c r="C1061" s="120"/>
      <c r="D1061" s="120"/>
      <c r="E1061" s="120"/>
      <c r="F1061" s="134"/>
      <c r="H1061" s="127"/>
      <c r="I1061" s="120"/>
      <c r="J1061" s="120"/>
      <c r="K1061" s="120"/>
      <c r="L1061" s="120"/>
    </row>
    <row r="1062" spans="3:12">
      <c r="C1062" s="120"/>
      <c r="D1062" s="120"/>
      <c r="E1062" s="120"/>
      <c r="F1062" s="134"/>
      <c r="H1062" s="127"/>
      <c r="I1062" s="120"/>
      <c r="J1062" s="120"/>
      <c r="K1062" s="120"/>
      <c r="L1062" s="120"/>
    </row>
    <row r="1063" spans="3:12">
      <c r="C1063" s="120"/>
      <c r="D1063" s="120"/>
      <c r="E1063" s="120"/>
      <c r="F1063" s="134"/>
      <c r="H1063" s="127"/>
      <c r="I1063" s="120"/>
      <c r="J1063" s="120"/>
      <c r="K1063" s="120"/>
      <c r="L1063" s="120"/>
    </row>
    <row r="1064" spans="3:12">
      <c r="C1064" s="120"/>
      <c r="D1064" s="120"/>
      <c r="E1064" s="120"/>
      <c r="F1064" s="134"/>
      <c r="H1064" s="127"/>
      <c r="I1064" s="120"/>
      <c r="J1064" s="120"/>
      <c r="K1064" s="120"/>
      <c r="L1064" s="120"/>
    </row>
    <row r="1065" spans="3:12">
      <c r="C1065" s="120"/>
      <c r="D1065" s="120"/>
      <c r="E1065" s="120"/>
      <c r="F1065" s="134"/>
      <c r="H1065" s="127"/>
      <c r="I1065" s="120"/>
      <c r="J1065" s="120"/>
      <c r="K1065" s="120"/>
      <c r="L1065" s="120"/>
    </row>
    <row r="1066" spans="3:12">
      <c r="C1066" s="120"/>
      <c r="D1066" s="120"/>
      <c r="E1066" s="120"/>
      <c r="F1066" s="134"/>
      <c r="H1066" s="127"/>
      <c r="I1066" s="120"/>
      <c r="J1066" s="120"/>
      <c r="K1066" s="120"/>
      <c r="L1066" s="120"/>
    </row>
    <row r="1067" spans="3:12">
      <c r="C1067" s="120"/>
      <c r="D1067" s="120"/>
      <c r="E1067" s="120"/>
      <c r="F1067" s="134"/>
      <c r="H1067" s="127"/>
      <c r="I1067" s="120"/>
      <c r="J1067" s="120"/>
      <c r="K1067" s="120"/>
      <c r="L1067" s="120"/>
    </row>
    <row r="1068" spans="3:12">
      <c r="C1068" s="120"/>
      <c r="D1068" s="120"/>
      <c r="E1068" s="120"/>
      <c r="F1068" s="134"/>
      <c r="H1068" s="127"/>
      <c r="I1068" s="120"/>
      <c r="J1068" s="120"/>
      <c r="K1068" s="120"/>
      <c r="L1068" s="120"/>
    </row>
    <row r="1069" spans="3:12">
      <c r="C1069" s="120"/>
      <c r="D1069" s="120"/>
      <c r="E1069" s="120"/>
      <c r="F1069" s="134"/>
      <c r="H1069" s="127"/>
      <c r="I1069" s="120"/>
      <c r="J1069" s="120"/>
      <c r="K1069" s="120"/>
      <c r="L1069" s="120"/>
    </row>
    <row r="1070" spans="3:12">
      <c r="C1070" s="120"/>
      <c r="D1070" s="120"/>
      <c r="E1070" s="120"/>
      <c r="F1070" s="134"/>
      <c r="H1070" s="127"/>
      <c r="I1070" s="120"/>
      <c r="J1070" s="120"/>
      <c r="K1070" s="120"/>
      <c r="L1070" s="120"/>
    </row>
    <row r="1071" spans="3:12">
      <c r="C1071" s="120"/>
      <c r="D1071" s="120"/>
      <c r="E1071" s="120"/>
      <c r="F1071" s="134"/>
      <c r="H1071" s="127"/>
      <c r="I1071" s="120"/>
      <c r="J1071" s="120"/>
      <c r="K1071" s="120"/>
      <c r="L1071" s="120"/>
    </row>
    <row r="1072" spans="3:12">
      <c r="C1072" s="120"/>
      <c r="D1072" s="120"/>
      <c r="E1072" s="120"/>
      <c r="F1072" s="134"/>
      <c r="H1072" s="127"/>
      <c r="I1072" s="120"/>
      <c r="J1072" s="120"/>
      <c r="K1072" s="120"/>
      <c r="L1072" s="120"/>
    </row>
    <row r="1073" spans="3:12">
      <c r="C1073" s="120"/>
      <c r="D1073" s="120"/>
      <c r="E1073" s="120"/>
      <c r="F1073" s="134"/>
      <c r="H1073" s="127"/>
      <c r="I1073" s="120"/>
      <c r="J1073" s="120"/>
      <c r="K1073" s="120"/>
      <c r="L1073" s="120"/>
    </row>
    <row r="1074" spans="3:12">
      <c r="C1074" s="120"/>
      <c r="D1074" s="120"/>
      <c r="E1074" s="120"/>
      <c r="F1074" s="134"/>
      <c r="H1074" s="127"/>
      <c r="I1074" s="120"/>
      <c r="J1074" s="120"/>
      <c r="K1074" s="120"/>
      <c r="L1074" s="120"/>
    </row>
    <row r="1075" spans="3:12">
      <c r="C1075" s="120"/>
      <c r="D1075" s="120"/>
      <c r="E1075" s="120"/>
      <c r="F1075" s="134"/>
      <c r="H1075" s="127"/>
      <c r="I1075" s="120"/>
      <c r="J1075" s="120"/>
      <c r="K1075" s="120"/>
      <c r="L1075" s="120"/>
    </row>
    <row r="1076" spans="3:12">
      <c r="C1076" s="120"/>
      <c r="D1076" s="120"/>
      <c r="E1076" s="120"/>
      <c r="F1076" s="134"/>
      <c r="H1076" s="127"/>
      <c r="I1076" s="120"/>
      <c r="J1076" s="120"/>
      <c r="K1076" s="120"/>
      <c r="L1076" s="120"/>
    </row>
    <row r="1077" spans="3:12">
      <c r="C1077" s="120"/>
      <c r="D1077" s="120"/>
      <c r="E1077" s="120"/>
      <c r="F1077" s="134"/>
      <c r="H1077" s="127"/>
      <c r="I1077" s="120"/>
      <c r="J1077" s="120"/>
      <c r="K1077" s="120"/>
      <c r="L1077" s="120"/>
    </row>
    <row r="1078" spans="3:12">
      <c r="C1078" s="120"/>
      <c r="D1078" s="120"/>
      <c r="E1078" s="120"/>
      <c r="F1078" s="134"/>
      <c r="H1078" s="127"/>
      <c r="I1078" s="120"/>
      <c r="J1078" s="120"/>
      <c r="K1078" s="120"/>
      <c r="L1078" s="120"/>
    </row>
    <row r="1079" spans="3:12">
      <c r="C1079" s="120"/>
      <c r="D1079" s="120"/>
      <c r="E1079" s="120"/>
      <c r="F1079" s="134"/>
      <c r="H1079" s="127"/>
      <c r="I1079" s="120"/>
      <c r="J1079" s="120"/>
      <c r="K1079" s="120"/>
      <c r="L1079" s="120"/>
    </row>
    <row r="1080" spans="3:12">
      <c r="C1080" s="120"/>
      <c r="D1080" s="120"/>
      <c r="E1080" s="120"/>
      <c r="F1080" s="134"/>
      <c r="H1080" s="127"/>
      <c r="I1080" s="120"/>
      <c r="J1080" s="120"/>
      <c r="K1080" s="120"/>
      <c r="L1080" s="120"/>
    </row>
    <row r="1081" spans="3:12">
      <c r="C1081" s="120"/>
      <c r="D1081" s="120"/>
      <c r="E1081" s="120"/>
      <c r="F1081" s="134"/>
      <c r="H1081" s="127"/>
      <c r="I1081" s="120"/>
      <c r="J1081" s="120"/>
      <c r="K1081" s="120"/>
      <c r="L1081" s="120"/>
    </row>
    <row r="1082" spans="3:12">
      <c r="C1082" s="120"/>
      <c r="D1082" s="120"/>
      <c r="E1082" s="120"/>
      <c r="F1082" s="134"/>
      <c r="H1082" s="127"/>
      <c r="I1082" s="120"/>
      <c r="J1082" s="120"/>
      <c r="K1082" s="120"/>
      <c r="L1082" s="120"/>
    </row>
    <row r="1083" spans="3:12">
      <c r="C1083" s="120"/>
      <c r="D1083" s="120"/>
      <c r="E1083" s="120"/>
      <c r="F1083" s="134"/>
      <c r="H1083" s="127"/>
      <c r="I1083" s="120"/>
      <c r="J1083" s="120"/>
      <c r="K1083" s="120"/>
      <c r="L1083" s="120"/>
    </row>
    <row r="1084" spans="3:12">
      <c r="C1084" s="120"/>
      <c r="D1084" s="120"/>
      <c r="E1084" s="120"/>
      <c r="F1084" s="134"/>
      <c r="H1084" s="127"/>
      <c r="I1084" s="120"/>
      <c r="J1084" s="120"/>
      <c r="K1084" s="120"/>
      <c r="L1084" s="120"/>
    </row>
    <row r="1085" spans="3:12">
      <c r="C1085" s="120"/>
      <c r="D1085" s="120"/>
      <c r="E1085" s="120"/>
      <c r="F1085" s="134"/>
      <c r="H1085" s="127"/>
      <c r="I1085" s="120"/>
      <c r="J1085" s="120"/>
      <c r="K1085" s="120"/>
      <c r="L1085" s="120"/>
    </row>
    <row r="1086" spans="3:12">
      <c r="C1086" s="120"/>
      <c r="D1086" s="120"/>
      <c r="E1086" s="120"/>
      <c r="F1086" s="134"/>
      <c r="H1086" s="127"/>
      <c r="I1086" s="120"/>
      <c r="J1086" s="120"/>
      <c r="K1086" s="120"/>
      <c r="L1086" s="120"/>
    </row>
    <row r="1087" spans="3:12">
      <c r="C1087" s="120"/>
      <c r="D1087" s="120"/>
      <c r="E1087" s="120"/>
      <c r="F1087" s="134"/>
      <c r="H1087" s="127"/>
      <c r="I1087" s="120"/>
      <c r="J1087" s="120"/>
      <c r="K1087" s="120"/>
      <c r="L1087" s="120"/>
    </row>
    <row r="1088" spans="3:12">
      <c r="C1088" s="120"/>
      <c r="D1088" s="120"/>
      <c r="E1088" s="120"/>
      <c r="F1088" s="134"/>
      <c r="H1088" s="127"/>
      <c r="I1088" s="120"/>
      <c r="J1088" s="120"/>
      <c r="K1088" s="120"/>
      <c r="L1088" s="120"/>
    </row>
    <row r="1089" spans="3:12">
      <c r="C1089" s="120"/>
      <c r="D1089" s="120"/>
      <c r="E1089" s="120"/>
      <c r="F1089" s="134"/>
      <c r="H1089" s="127"/>
      <c r="I1089" s="120"/>
      <c r="J1089" s="120"/>
      <c r="K1089" s="120"/>
      <c r="L1089" s="120"/>
    </row>
    <row r="1090" spans="3:12">
      <c r="C1090" s="120"/>
      <c r="D1090" s="120"/>
      <c r="E1090" s="120"/>
      <c r="F1090" s="134"/>
      <c r="H1090" s="127"/>
      <c r="I1090" s="120"/>
      <c r="J1090" s="120"/>
      <c r="K1090" s="120"/>
      <c r="L1090" s="120"/>
    </row>
    <row r="1091" spans="3:12">
      <c r="C1091" s="120"/>
      <c r="D1091" s="120"/>
      <c r="E1091" s="120"/>
      <c r="F1091" s="134"/>
      <c r="H1091" s="127"/>
      <c r="I1091" s="120"/>
      <c r="J1091" s="120"/>
      <c r="K1091" s="120"/>
      <c r="L1091" s="120"/>
    </row>
    <row r="1092" spans="3:12">
      <c r="C1092" s="120"/>
      <c r="D1092" s="120"/>
      <c r="E1092" s="120"/>
      <c r="F1092" s="134"/>
      <c r="H1092" s="127"/>
      <c r="I1092" s="120"/>
      <c r="J1092" s="120"/>
      <c r="K1092" s="120"/>
      <c r="L1092" s="120"/>
    </row>
    <row r="1093" spans="3:12">
      <c r="C1093" s="120"/>
      <c r="D1093" s="120"/>
      <c r="E1093" s="120"/>
      <c r="F1093" s="134"/>
      <c r="H1093" s="127"/>
      <c r="I1093" s="120"/>
      <c r="J1093" s="120"/>
      <c r="K1093" s="120"/>
      <c r="L1093" s="120"/>
    </row>
    <row r="1094" spans="3:12">
      <c r="C1094" s="120"/>
      <c r="D1094" s="120"/>
      <c r="E1094" s="120"/>
      <c r="F1094" s="134"/>
      <c r="H1094" s="127"/>
      <c r="I1094" s="120"/>
      <c r="J1094" s="120"/>
      <c r="K1094" s="120"/>
      <c r="L1094" s="120"/>
    </row>
    <row r="1095" spans="3:12">
      <c r="C1095" s="120"/>
      <c r="D1095" s="120"/>
      <c r="E1095" s="120"/>
      <c r="F1095" s="134"/>
      <c r="H1095" s="127"/>
      <c r="I1095" s="120"/>
      <c r="J1095" s="120"/>
      <c r="K1095" s="120"/>
      <c r="L1095" s="120"/>
    </row>
    <row r="1096" spans="3:12">
      <c r="C1096" s="120"/>
      <c r="D1096" s="120"/>
      <c r="E1096" s="120"/>
      <c r="F1096" s="134"/>
      <c r="H1096" s="127"/>
      <c r="I1096" s="120"/>
      <c r="J1096" s="120"/>
      <c r="K1096" s="120"/>
      <c r="L1096" s="120"/>
    </row>
    <row r="1097" spans="3:12">
      <c r="C1097" s="120"/>
      <c r="D1097" s="120"/>
      <c r="E1097" s="120"/>
      <c r="F1097" s="134"/>
      <c r="H1097" s="127"/>
      <c r="I1097" s="120"/>
      <c r="J1097" s="120"/>
      <c r="K1097" s="120"/>
      <c r="L1097" s="120"/>
    </row>
    <row r="1098" spans="3:12">
      <c r="C1098" s="120"/>
      <c r="D1098" s="120"/>
      <c r="E1098" s="120"/>
      <c r="F1098" s="134"/>
      <c r="H1098" s="127"/>
      <c r="I1098" s="120"/>
      <c r="J1098" s="120"/>
      <c r="K1098" s="120"/>
      <c r="L1098" s="120"/>
    </row>
    <row r="1099" spans="3:12">
      <c r="C1099" s="120"/>
      <c r="D1099" s="120"/>
      <c r="E1099" s="120"/>
      <c r="F1099" s="134"/>
      <c r="H1099" s="127"/>
      <c r="I1099" s="120"/>
      <c r="J1099" s="120"/>
      <c r="K1099" s="120"/>
      <c r="L1099" s="120"/>
    </row>
    <row r="1100" spans="3:12">
      <c r="C1100" s="120"/>
      <c r="D1100" s="120"/>
      <c r="E1100" s="120"/>
      <c r="F1100" s="134"/>
      <c r="H1100" s="127"/>
      <c r="I1100" s="120"/>
      <c r="J1100" s="120"/>
      <c r="K1100" s="120"/>
      <c r="L1100" s="120"/>
    </row>
    <row r="1101" spans="3:12">
      <c r="C1101" s="120"/>
      <c r="D1101" s="120"/>
      <c r="E1101" s="120"/>
      <c r="F1101" s="134"/>
      <c r="H1101" s="127"/>
      <c r="I1101" s="120"/>
      <c r="J1101" s="120"/>
      <c r="K1101" s="120"/>
      <c r="L1101" s="120"/>
    </row>
    <row r="1102" spans="3:12">
      <c r="C1102" s="120"/>
      <c r="D1102" s="120"/>
      <c r="E1102" s="120"/>
      <c r="F1102" s="134"/>
      <c r="H1102" s="127"/>
      <c r="I1102" s="120"/>
      <c r="J1102" s="120"/>
      <c r="K1102" s="120"/>
      <c r="L1102" s="120"/>
    </row>
    <row r="1103" spans="3:12">
      <c r="C1103" s="120"/>
      <c r="D1103" s="120"/>
      <c r="E1103" s="120"/>
      <c r="F1103" s="134"/>
      <c r="H1103" s="127"/>
      <c r="I1103" s="120"/>
      <c r="J1103" s="120"/>
      <c r="K1103" s="120"/>
      <c r="L1103" s="120"/>
    </row>
    <row r="1104" spans="3:12">
      <c r="C1104" s="120"/>
      <c r="D1104" s="120"/>
      <c r="E1104" s="120"/>
      <c r="F1104" s="134"/>
      <c r="H1104" s="127"/>
      <c r="I1104" s="120"/>
      <c r="J1104" s="120"/>
      <c r="K1104" s="120"/>
      <c r="L1104" s="120"/>
    </row>
    <row r="1105" spans="3:12">
      <c r="C1105" s="120"/>
      <c r="D1105" s="120"/>
      <c r="E1105" s="120"/>
      <c r="F1105" s="134"/>
      <c r="H1105" s="127"/>
      <c r="I1105" s="120"/>
      <c r="J1105" s="120"/>
      <c r="K1105" s="120"/>
      <c r="L1105" s="120"/>
    </row>
    <row r="1106" spans="3:12">
      <c r="C1106" s="120"/>
      <c r="D1106" s="120"/>
      <c r="E1106" s="120"/>
      <c r="F1106" s="134"/>
      <c r="H1106" s="127"/>
      <c r="I1106" s="120"/>
      <c r="J1106" s="120"/>
      <c r="K1106" s="120"/>
      <c r="L1106" s="120"/>
    </row>
    <row r="1107" spans="3:12">
      <c r="C1107" s="120"/>
      <c r="D1107" s="120"/>
      <c r="E1107" s="120"/>
      <c r="F1107" s="134"/>
      <c r="H1107" s="127"/>
      <c r="I1107" s="120"/>
      <c r="J1107" s="120"/>
      <c r="K1107" s="120"/>
      <c r="L1107" s="120"/>
    </row>
    <row r="1108" spans="3:12">
      <c r="C1108" s="120"/>
      <c r="D1108" s="120"/>
      <c r="E1108" s="120"/>
      <c r="F1108" s="134"/>
      <c r="H1108" s="127"/>
      <c r="I1108" s="120"/>
      <c r="J1108" s="120"/>
      <c r="K1108" s="120"/>
      <c r="L1108" s="120"/>
    </row>
    <row r="1109" spans="3:12">
      <c r="C1109" s="120"/>
      <c r="D1109" s="120"/>
      <c r="E1109" s="120"/>
      <c r="F1109" s="134"/>
      <c r="H1109" s="127"/>
      <c r="I1109" s="120"/>
      <c r="J1109" s="120"/>
      <c r="K1109" s="120"/>
      <c r="L1109" s="120"/>
    </row>
    <row r="1110" spans="3:12">
      <c r="C1110" s="120"/>
      <c r="D1110" s="120"/>
      <c r="E1110" s="120"/>
      <c r="F1110" s="134"/>
      <c r="H1110" s="127"/>
      <c r="I1110" s="120"/>
      <c r="J1110" s="120"/>
      <c r="K1110" s="120"/>
      <c r="L1110" s="120"/>
    </row>
    <row r="1111" spans="3:12">
      <c r="C1111" s="120"/>
      <c r="D1111" s="120"/>
      <c r="E1111" s="120"/>
      <c r="F1111" s="134"/>
      <c r="H1111" s="127"/>
      <c r="I1111" s="120"/>
      <c r="J1111" s="120"/>
      <c r="K1111" s="120"/>
      <c r="L1111" s="120"/>
    </row>
    <row r="1112" spans="3:12">
      <c r="C1112" s="120"/>
      <c r="D1112" s="120"/>
      <c r="E1112" s="120"/>
      <c r="F1112" s="134"/>
      <c r="H1112" s="127"/>
      <c r="I1112" s="120"/>
      <c r="J1112" s="120"/>
      <c r="K1112" s="120"/>
      <c r="L1112" s="120"/>
    </row>
    <row r="1113" spans="3:12">
      <c r="C1113" s="120"/>
      <c r="D1113" s="120"/>
      <c r="E1113" s="120"/>
      <c r="F1113" s="134"/>
      <c r="H1113" s="127"/>
      <c r="I1113" s="120"/>
      <c r="J1113" s="120"/>
      <c r="K1113" s="120"/>
      <c r="L1113" s="120"/>
    </row>
    <row r="1114" spans="3:12">
      <c r="C1114" s="120"/>
      <c r="D1114" s="120"/>
      <c r="E1114" s="120"/>
      <c r="F1114" s="134"/>
      <c r="H1114" s="127"/>
      <c r="I1114" s="120"/>
      <c r="J1114" s="120"/>
      <c r="K1114" s="120"/>
      <c r="L1114" s="120"/>
    </row>
    <row r="1115" spans="3:12">
      <c r="C1115" s="120"/>
      <c r="D1115" s="120"/>
      <c r="E1115" s="120"/>
      <c r="F1115" s="134"/>
      <c r="H1115" s="127"/>
      <c r="I1115" s="120"/>
      <c r="J1115" s="120"/>
      <c r="K1115" s="120"/>
      <c r="L1115" s="120"/>
    </row>
    <row r="1116" spans="3:12">
      <c r="C1116" s="120"/>
      <c r="D1116" s="120"/>
      <c r="E1116" s="120"/>
      <c r="F1116" s="134"/>
      <c r="H1116" s="127"/>
      <c r="I1116" s="120"/>
      <c r="J1116" s="120"/>
      <c r="K1116" s="120"/>
      <c r="L1116" s="120"/>
    </row>
    <row r="1117" spans="3:12">
      <c r="C1117" s="120"/>
      <c r="D1117" s="120"/>
      <c r="E1117" s="120"/>
      <c r="F1117" s="134"/>
      <c r="H1117" s="127"/>
      <c r="I1117" s="120"/>
      <c r="J1117" s="120"/>
      <c r="K1117" s="120"/>
      <c r="L1117" s="120"/>
    </row>
    <row r="1118" spans="3:12">
      <c r="C1118" s="120"/>
      <c r="D1118" s="120"/>
      <c r="E1118" s="120"/>
      <c r="F1118" s="134"/>
      <c r="H1118" s="127"/>
      <c r="I1118" s="120"/>
      <c r="J1118" s="120"/>
      <c r="K1118" s="120"/>
      <c r="L1118" s="120"/>
    </row>
    <row r="1119" spans="3:12">
      <c r="C1119" s="120"/>
      <c r="D1119" s="120"/>
      <c r="E1119" s="120"/>
      <c r="F1119" s="134"/>
      <c r="H1119" s="127"/>
      <c r="I1119" s="120"/>
      <c r="J1119" s="120"/>
      <c r="K1119" s="120"/>
      <c r="L1119" s="120"/>
    </row>
    <row r="1120" spans="3:12">
      <c r="C1120" s="120"/>
      <c r="D1120" s="120"/>
      <c r="E1120" s="120"/>
      <c r="F1120" s="134"/>
      <c r="H1120" s="127"/>
      <c r="I1120" s="120"/>
      <c r="J1120" s="120"/>
      <c r="K1120" s="120"/>
      <c r="L1120" s="120"/>
    </row>
    <row r="1121" spans="3:12">
      <c r="C1121" s="120"/>
      <c r="D1121" s="120"/>
      <c r="E1121" s="120"/>
      <c r="F1121" s="134"/>
      <c r="H1121" s="127"/>
      <c r="I1121" s="120"/>
      <c r="J1121" s="120"/>
      <c r="K1121" s="120"/>
      <c r="L1121" s="120"/>
    </row>
    <row r="1122" spans="3:12">
      <c r="C1122" s="120"/>
      <c r="D1122" s="120"/>
      <c r="E1122" s="120"/>
      <c r="F1122" s="134"/>
      <c r="H1122" s="127"/>
      <c r="I1122" s="120"/>
      <c r="J1122" s="120"/>
      <c r="K1122" s="120"/>
      <c r="L1122" s="120"/>
    </row>
    <row r="1123" spans="3:12">
      <c r="C1123" s="120"/>
      <c r="D1123" s="120"/>
      <c r="E1123" s="120"/>
      <c r="F1123" s="134"/>
      <c r="H1123" s="127"/>
      <c r="I1123" s="120"/>
      <c r="J1123" s="120"/>
      <c r="K1123" s="120"/>
      <c r="L1123" s="120"/>
    </row>
    <row r="1124" spans="3:12">
      <c r="C1124" s="120"/>
      <c r="D1124" s="120"/>
      <c r="E1124" s="120"/>
      <c r="F1124" s="134"/>
      <c r="H1124" s="127"/>
      <c r="I1124" s="120"/>
      <c r="J1124" s="120"/>
      <c r="K1124" s="120"/>
      <c r="L1124" s="120"/>
    </row>
    <row r="1125" spans="3:12">
      <c r="C1125" s="120"/>
      <c r="D1125" s="120"/>
      <c r="E1125" s="120"/>
      <c r="F1125" s="134"/>
      <c r="H1125" s="127"/>
      <c r="I1125" s="120"/>
      <c r="J1125" s="120"/>
      <c r="K1125" s="120"/>
      <c r="L1125" s="120"/>
    </row>
    <row r="1126" spans="3:12">
      <c r="C1126" s="120"/>
      <c r="D1126" s="120"/>
      <c r="E1126" s="120"/>
      <c r="F1126" s="134"/>
      <c r="H1126" s="127"/>
      <c r="I1126" s="120"/>
      <c r="J1126" s="120"/>
      <c r="K1126" s="120"/>
      <c r="L1126" s="120"/>
    </row>
    <row r="1127" spans="3:12">
      <c r="C1127" s="120"/>
      <c r="D1127" s="120"/>
      <c r="E1127" s="120"/>
      <c r="F1127" s="134"/>
      <c r="H1127" s="127"/>
      <c r="I1127" s="120"/>
      <c r="J1127" s="120"/>
      <c r="K1127" s="120"/>
      <c r="L1127" s="120"/>
    </row>
    <row r="1128" spans="3:12">
      <c r="C1128" s="120"/>
      <c r="D1128" s="120"/>
      <c r="E1128" s="120"/>
      <c r="F1128" s="134"/>
      <c r="H1128" s="127"/>
      <c r="I1128" s="120"/>
      <c r="J1128" s="120"/>
      <c r="K1128" s="120"/>
      <c r="L1128" s="120"/>
    </row>
    <row r="1129" spans="3:12">
      <c r="C1129" s="120"/>
      <c r="D1129" s="120"/>
      <c r="E1129" s="120"/>
      <c r="F1129" s="134"/>
      <c r="H1129" s="127"/>
      <c r="I1129" s="120"/>
      <c r="J1129" s="120"/>
      <c r="K1129" s="120"/>
      <c r="L1129" s="120"/>
    </row>
    <row r="1130" spans="3:12">
      <c r="C1130" s="120"/>
      <c r="D1130" s="120"/>
      <c r="E1130" s="120"/>
      <c r="F1130" s="134"/>
      <c r="H1130" s="127"/>
      <c r="I1130" s="120"/>
      <c r="J1130" s="120"/>
      <c r="K1130" s="120"/>
      <c r="L1130" s="120"/>
    </row>
    <row r="1131" spans="3:12">
      <c r="C1131" s="120"/>
      <c r="D1131" s="120"/>
      <c r="E1131" s="120"/>
      <c r="F1131" s="134"/>
      <c r="H1131" s="127"/>
      <c r="I1131" s="120"/>
      <c r="J1131" s="120"/>
      <c r="K1131" s="120"/>
      <c r="L1131" s="120"/>
    </row>
    <row r="1132" spans="3:12">
      <c r="C1132" s="120"/>
      <c r="D1132" s="120"/>
      <c r="E1132" s="120"/>
      <c r="F1132" s="134"/>
      <c r="H1132" s="127"/>
      <c r="I1132" s="120"/>
      <c r="J1132" s="120"/>
      <c r="K1132" s="120"/>
      <c r="L1132" s="120"/>
    </row>
    <row r="1133" spans="3:12">
      <c r="C1133" s="120"/>
      <c r="D1133" s="120"/>
      <c r="E1133" s="120"/>
      <c r="F1133" s="134"/>
      <c r="H1133" s="127"/>
      <c r="I1133" s="120"/>
      <c r="J1133" s="120"/>
      <c r="K1133" s="120"/>
      <c r="L1133" s="120"/>
    </row>
    <row r="1134" spans="3:12">
      <c r="C1134" s="120"/>
      <c r="D1134" s="120"/>
      <c r="E1134" s="120"/>
      <c r="F1134" s="134"/>
      <c r="H1134" s="127"/>
      <c r="I1134" s="120"/>
      <c r="J1134" s="120"/>
      <c r="K1134" s="120"/>
      <c r="L1134" s="120"/>
    </row>
    <row r="1135" spans="3:12">
      <c r="C1135" s="120"/>
      <c r="D1135" s="120"/>
      <c r="E1135" s="120"/>
      <c r="F1135" s="134"/>
      <c r="H1135" s="127"/>
      <c r="I1135" s="120"/>
      <c r="J1135" s="120"/>
      <c r="K1135" s="120"/>
      <c r="L1135" s="120"/>
    </row>
    <row r="1136" spans="3:12">
      <c r="C1136" s="120"/>
      <c r="D1136" s="120"/>
      <c r="E1136" s="120"/>
      <c r="F1136" s="134"/>
      <c r="H1136" s="127"/>
      <c r="I1136" s="120"/>
      <c r="J1136" s="120"/>
      <c r="K1136" s="120"/>
      <c r="L1136" s="120"/>
    </row>
    <row r="1137" spans="3:12">
      <c r="C1137" s="120"/>
      <c r="D1137" s="120"/>
      <c r="E1137" s="120"/>
      <c r="F1137" s="134"/>
      <c r="H1137" s="127"/>
      <c r="I1137" s="120"/>
      <c r="J1137" s="120"/>
      <c r="K1137" s="120"/>
      <c r="L1137" s="120"/>
    </row>
    <row r="1138" spans="3:12">
      <c r="C1138" s="120"/>
      <c r="D1138" s="120"/>
      <c r="E1138" s="120"/>
      <c r="F1138" s="134"/>
      <c r="H1138" s="127"/>
      <c r="I1138" s="120"/>
      <c r="J1138" s="120"/>
      <c r="K1138" s="120"/>
      <c r="L1138" s="120"/>
    </row>
    <row r="1139" spans="3:12">
      <c r="C1139" s="120"/>
      <c r="D1139" s="120"/>
      <c r="E1139" s="120"/>
      <c r="F1139" s="134"/>
      <c r="H1139" s="127"/>
      <c r="I1139" s="120"/>
      <c r="J1139" s="120"/>
      <c r="K1139" s="120"/>
      <c r="L1139" s="120"/>
    </row>
    <row r="1140" spans="3:12">
      <c r="C1140" s="120"/>
      <c r="D1140" s="120"/>
      <c r="E1140" s="120"/>
      <c r="F1140" s="134"/>
      <c r="H1140" s="127"/>
      <c r="I1140" s="120"/>
      <c r="J1140" s="120"/>
      <c r="K1140" s="120"/>
      <c r="L1140" s="120"/>
    </row>
    <row r="1141" spans="3:12">
      <c r="C1141" s="120"/>
      <c r="D1141" s="120"/>
      <c r="E1141" s="120"/>
      <c r="F1141" s="134"/>
      <c r="H1141" s="127"/>
      <c r="I1141" s="120"/>
      <c r="J1141" s="120"/>
      <c r="K1141" s="120"/>
      <c r="L1141" s="120"/>
    </row>
    <row r="1142" spans="3:12">
      <c r="C1142" s="120"/>
      <c r="D1142" s="120"/>
      <c r="E1142" s="120"/>
      <c r="F1142" s="134"/>
      <c r="H1142" s="127"/>
      <c r="I1142" s="120"/>
      <c r="J1142" s="120"/>
      <c r="K1142" s="120"/>
      <c r="L1142" s="120"/>
    </row>
    <row r="1143" spans="3:12">
      <c r="C1143" s="120"/>
      <c r="D1143" s="120"/>
      <c r="E1143" s="120"/>
      <c r="F1143" s="134"/>
      <c r="H1143" s="127"/>
      <c r="I1143" s="120"/>
      <c r="J1143" s="120"/>
      <c r="K1143" s="120"/>
      <c r="L1143" s="120"/>
    </row>
    <row r="1144" spans="3:12">
      <c r="C1144" s="120"/>
      <c r="D1144" s="120"/>
      <c r="E1144" s="120"/>
      <c r="F1144" s="134"/>
      <c r="H1144" s="127"/>
      <c r="I1144" s="120"/>
      <c r="J1144" s="120"/>
      <c r="K1144" s="120"/>
      <c r="L1144" s="120"/>
    </row>
    <row r="1145" spans="3:12">
      <c r="C1145" s="120"/>
      <c r="D1145" s="120"/>
      <c r="E1145" s="120"/>
      <c r="F1145" s="134"/>
      <c r="H1145" s="127"/>
      <c r="I1145" s="120"/>
      <c r="J1145" s="120"/>
      <c r="K1145" s="120"/>
      <c r="L1145" s="120"/>
    </row>
    <row r="1146" spans="3:12">
      <c r="C1146" s="120"/>
      <c r="D1146" s="120"/>
      <c r="E1146" s="120"/>
      <c r="F1146" s="134"/>
      <c r="H1146" s="127"/>
      <c r="I1146" s="120"/>
      <c r="J1146" s="120"/>
      <c r="K1146" s="120"/>
      <c r="L1146" s="120"/>
    </row>
    <row r="1147" spans="3:12">
      <c r="C1147" s="120"/>
      <c r="D1147" s="120"/>
      <c r="E1147" s="120"/>
      <c r="F1147" s="134"/>
      <c r="H1147" s="127"/>
      <c r="I1147" s="120"/>
      <c r="J1147" s="120"/>
      <c r="K1147" s="120"/>
      <c r="L1147" s="120"/>
    </row>
    <row r="1148" spans="3:12">
      <c r="C1148" s="120"/>
      <c r="D1148" s="120"/>
      <c r="E1148" s="120"/>
      <c r="F1148" s="134"/>
      <c r="H1148" s="127"/>
      <c r="I1148" s="120"/>
      <c r="J1148" s="120"/>
      <c r="K1148" s="120"/>
      <c r="L1148" s="120"/>
    </row>
    <row r="1149" spans="3:12">
      <c r="C1149" s="120"/>
      <c r="D1149" s="120"/>
      <c r="E1149" s="120"/>
      <c r="F1149" s="134"/>
      <c r="H1149" s="127"/>
      <c r="I1149" s="120"/>
      <c r="J1149" s="120"/>
      <c r="K1149" s="120"/>
      <c r="L1149" s="120"/>
    </row>
    <row r="1150" spans="3:12">
      <c r="C1150" s="120"/>
      <c r="D1150" s="120"/>
      <c r="E1150" s="120"/>
      <c r="F1150" s="134"/>
      <c r="H1150" s="127"/>
      <c r="I1150" s="120"/>
      <c r="J1150" s="120"/>
      <c r="K1150" s="120"/>
      <c r="L1150" s="120"/>
    </row>
    <row r="1151" spans="3:12">
      <c r="C1151" s="120"/>
      <c r="D1151" s="120"/>
      <c r="E1151" s="120"/>
      <c r="F1151" s="134"/>
      <c r="H1151" s="127"/>
      <c r="I1151" s="120"/>
      <c r="J1151" s="120"/>
      <c r="K1151" s="120"/>
      <c r="L1151" s="120"/>
    </row>
    <row r="1152" spans="3:12">
      <c r="C1152" s="120"/>
      <c r="D1152" s="120"/>
      <c r="E1152" s="120"/>
      <c r="F1152" s="134"/>
      <c r="H1152" s="127"/>
      <c r="I1152" s="120"/>
      <c r="J1152" s="120"/>
      <c r="K1152" s="120"/>
      <c r="L1152" s="120"/>
    </row>
    <row r="1153" spans="3:12">
      <c r="C1153" s="120"/>
      <c r="D1153" s="120"/>
      <c r="E1153" s="120"/>
      <c r="F1153" s="134"/>
      <c r="H1153" s="127"/>
      <c r="I1153" s="120"/>
      <c r="J1153" s="120"/>
      <c r="K1153" s="120"/>
      <c r="L1153" s="120"/>
    </row>
    <row r="1154" spans="3:12">
      <c r="C1154" s="120"/>
      <c r="D1154" s="120"/>
      <c r="E1154" s="120"/>
      <c r="F1154" s="134"/>
      <c r="H1154" s="127"/>
      <c r="I1154" s="120"/>
      <c r="J1154" s="120"/>
      <c r="K1154" s="120"/>
      <c r="L1154" s="120"/>
    </row>
    <row r="1155" spans="3:12">
      <c r="C1155" s="120"/>
      <c r="D1155" s="120"/>
      <c r="E1155" s="120"/>
      <c r="F1155" s="134"/>
      <c r="H1155" s="127"/>
      <c r="I1155" s="120"/>
      <c r="J1155" s="120"/>
      <c r="K1155" s="120"/>
      <c r="L1155" s="120"/>
    </row>
    <row r="1156" spans="3:12">
      <c r="C1156" s="120"/>
      <c r="D1156" s="120"/>
      <c r="E1156" s="120"/>
      <c r="F1156" s="134"/>
      <c r="H1156" s="127"/>
      <c r="I1156" s="120"/>
      <c r="J1156" s="120"/>
      <c r="K1156" s="120"/>
      <c r="L1156" s="120"/>
    </row>
    <row r="1157" spans="3:12">
      <c r="C1157" s="120"/>
      <c r="D1157" s="120"/>
      <c r="E1157" s="120"/>
      <c r="F1157" s="134"/>
      <c r="H1157" s="127"/>
      <c r="I1157" s="120"/>
      <c r="J1157" s="120"/>
      <c r="K1157" s="120"/>
      <c r="L1157" s="120"/>
    </row>
    <row r="1158" spans="3:12">
      <c r="C1158" s="120"/>
      <c r="D1158" s="120"/>
      <c r="E1158" s="120"/>
      <c r="F1158" s="134"/>
      <c r="H1158" s="127"/>
      <c r="I1158" s="120"/>
      <c r="J1158" s="120"/>
      <c r="K1158" s="120"/>
      <c r="L1158" s="120"/>
    </row>
    <row r="1159" spans="3:12">
      <c r="C1159" s="120"/>
      <c r="D1159" s="120"/>
      <c r="E1159" s="120"/>
      <c r="F1159" s="134"/>
      <c r="H1159" s="127"/>
      <c r="I1159" s="120"/>
      <c r="J1159" s="120"/>
      <c r="K1159" s="120"/>
      <c r="L1159" s="120"/>
    </row>
    <row r="1160" spans="3:12">
      <c r="C1160" s="120"/>
      <c r="D1160" s="120"/>
      <c r="E1160" s="120"/>
      <c r="F1160" s="134"/>
      <c r="H1160" s="127"/>
      <c r="I1160" s="120"/>
      <c r="J1160" s="120"/>
      <c r="K1160" s="120"/>
      <c r="L1160" s="120"/>
    </row>
    <row r="1161" spans="3:12">
      <c r="C1161" s="120"/>
      <c r="D1161" s="120"/>
      <c r="E1161" s="120"/>
      <c r="F1161" s="134"/>
      <c r="H1161" s="127"/>
      <c r="I1161" s="120"/>
      <c r="J1161" s="120"/>
      <c r="K1161" s="120"/>
      <c r="L1161" s="120"/>
    </row>
    <row r="1162" spans="3:12">
      <c r="C1162" s="120"/>
      <c r="D1162" s="120"/>
      <c r="E1162" s="120"/>
      <c r="F1162" s="134"/>
      <c r="H1162" s="127"/>
      <c r="I1162" s="120"/>
      <c r="J1162" s="120"/>
      <c r="K1162" s="120"/>
      <c r="L1162" s="120"/>
    </row>
    <row r="1163" spans="3:12">
      <c r="C1163" s="120"/>
      <c r="D1163" s="120"/>
      <c r="E1163" s="120"/>
      <c r="F1163" s="134"/>
      <c r="H1163" s="127"/>
      <c r="I1163" s="120"/>
      <c r="J1163" s="120"/>
      <c r="K1163" s="120"/>
      <c r="L1163" s="120"/>
    </row>
    <row r="1164" spans="3:12">
      <c r="C1164" s="120"/>
      <c r="D1164" s="120"/>
      <c r="E1164" s="120"/>
      <c r="F1164" s="134"/>
      <c r="H1164" s="127"/>
      <c r="I1164" s="120"/>
      <c r="J1164" s="120"/>
      <c r="K1164" s="120"/>
      <c r="L1164" s="120"/>
    </row>
    <row r="1165" spans="3:12">
      <c r="C1165" s="120"/>
      <c r="D1165" s="120"/>
      <c r="E1165" s="120"/>
      <c r="F1165" s="134"/>
      <c r="H1165" s="127"/>
      <c r="I1165" s="120"/>
      <c r="J1165" s="120"/>
      <c r="K1165" s="120"/>
      <c r="L1165" s="120"/>
    </row>
    <row r="1166" spans="3:12">
      <c r="C1166" s="120"/>
      <c r="D1166" s="120"/>
      <c r="E1166" s="120"/>
      <c r="F1166" s="134"/>
      <c r="H1166" s="127"/>
      <c r="I1166" s="120"/>
      <c r="J1166" s="120"/>
      <c r="K1166" s="120"/>
      <c r="L1166" s="120"/>
    </row>
    <row r="1167" spans="3:12">
      <c r="C1167" s="120"/>
      <c r="D1167" s="120"/>
      <c r="E1167" s="120"/>
      <c r="F1167" s="134"/>
      <c r="H1167" s="127"/>
      <c r="I1167" s="120"/>
      <c r="J1167" s="120"/>
      <c r="K1167" s="120"/>
      <c r="L1167" s="120"/>
    </row>
    <row r="1168" spans="3:12">
      <c r="C1168" s="120"/>
      <c r="D1168" s="120"/>
      <c r="E1168" s="120"/>
      <c r="F1168" s="134"/>
      <c r="H1168" s="127"/>
      <c r="I1168" s="120"/>
      <c r="J1168" s="120"/>
      <c r="K1168" s="120"/>
      <c r="L1168" s="120"/>
    </row>
    <row r="1169" spans="3:12">
      <c r="C1169" s="120"/>
      <c r="D1169" s="120"/>
      <c r="E1169" s="120"/>
      <c r="F1169" s="134"/>
      <c r="H1169" s="127"/>
      <c r="I1169" s="120"/>
      <c r="J1169" s="120"/>
      <c r="K1169" s="120"/>
      <c r="L1169" s="120"/>
    </row>
    <row r="1170" spans="3:12">
      <c r="C1170" s="120"/>
      <c r="D1170" s="120"/>
      <c r="E1170" s="120"/>
      <c r="F1170" s="134"/>
      <c r="H1170" s="127"/>
      <c r="I1170" s="120"/>
      <c r="J1170" s="120"/>
      <c r="K1170" s="120"/>
      <c r="L1170" s="120"/>
    </row>
    <row r="1171" spans="3:12">
      <c r="C1171" s="120"/>
      <c r="D1171" s="120"/>
      <c r="E1171" s="120"/>
      <c r="F1171" s="134"/>
      <c r="H1171" s="127"/>
      <c r="I1171" s="120"/>
      <c r="J1171" s="120"/>
      <c r="K1171" s="120"/>
      <c r="L1171" s="120"/>
    </row>
    <row r="1172" spans="3:12">
      <c r="C1172" s="120"/>
      <c r="D1172" s="120"/>
      <c r="E1172" s="120"/>
      <c r="F1172" s="134"/>
      <c r="H1172" s="127"/>
      <c r="I1172" s="120"/>
      <c r="J1172" s="120"/>
      <c r="K1172" s="120"/>
      <c r="L1172" s="120"/>
    </row>
    <row r="1173" spans="3:12">
      <c r="C1173" s="120"/>
      <c r="D1173" s="120"/>
      <c r="E1173" s="120"/>
      <c r="F1173" s="134"/>
      <c r="H1173" s="127"/>
      <c r="I1173" s="120"/>
      <c r="J1173" s="120"/>
      <c r="K1173" s="120"/>
      <c r="L1173" s="120"/>
    </row>
    <row r="1174" spans="3:12">
      <c r="C1174" s="120"/>
      <c r="D1174" s="120"/>
      <c r="E1174" s="120"/>
      <c r="F1174" s="134"/>
      <c r="H1174" s="127"/>
      <c r="I1174" s="120"/>
      <c r="J1174" s="120"/>
      <c r="K1174" s="120"/>
      <c r="L1174" s="120"/>
    </row>
    <row r="1175" spans="3:12">
      <c r="C1175" s="120"/>
      <c r="D1175" s="120"/>
      <c r="E1175" s="120"/>
      <c r="F1175" s="134"/>
      <c r="H1175" s="127"/>
      <c r="I1175" s="120"/>
      <c r="J1175" s="120"/>
      <c r="K1175" s="120"/>
      <c r="L1175" s="120"/>
    </row>
    <row r="1176" spans="3:12">
      <c r="C1176" s="120"/>
      <c r="D1176" s="120"/>
      <c r="E1176" s="120"/>
      <c r="F1176" s="134"/>
      <c r="H1176" s="127"/>
      <c r="I1176" s="120"/>
      <c r="J1176" s="120"/>
      <c r="K1176" s="120"/>
      <c r="L1176" s="120"/>
    </row>
    <row r="1177" spans="3:12">
      <c r="C1177" s="120"/>
      <c r="D1177" s="120"/>
      <c r="E1177" s="120"/>
      <c r="F1177" s="134"/>
      <c r="H1177" s="127"/>
      <c r="I1177" s="120"/>
      <c r="J1177" s="120"/>
      <c r="K1177" s="120"/>
      <c r="L1177" s="120"/>
    </row>
    <row r="1178" spans="3:12">
      <c r="C1178" s="120"/>
      <c r="D1178" s="120"/>
      <c r="E1178" s="120"/>
      <c r="F1178" s="134"/>
      <c r="H1178" s="127"/>
      <c r="I1178" s="120"/>
      <c r="J1178" s="120"/>
      <c r="K1178" s="120"/>
      <c r="L1178" s="120"/>
    </row>
    <row r="1179" spans="3:12">
      <c r="C1179" s="120"/>
      <c r="D1179" s="120"/>
      <c r="E1179" s="120"/>
      <c r="F1179" s="134"/>
      <c r="H1179" s="127"/>
      <c r="I1179" s="120"/>
      <c r="J1179" s="120"/>
      <c r="K1179" s="120"/>
      <c r="L1179" s="120"/>
    </row>
    <row r="1180" spans="3:12">
      <c r="C1180" s="120"/>
      <c r="D1180" s="120"/>
      <c r="E1180" s="120"/>
      <c r="F1180" s="134"/>
      <c r="H1180" s="127"/>
      <c r="I1180" s="120"/>
      <c r="J1180" s="120"/>
      <c r="K1180" s="120"/>
      <c r="L1180" s="120"/>
    </row>
    <row r="1181" spans="3:12">
      <c r="C1181" s="120"/>
      <c r="D1181" s="120"/>
      <c r="E1181" s="120"/>
      <c r="F1181" s="134"/>
      <c r="H1181" s="127"/>
      <c r="I1181" s="120"/>
      <c r="J1181" s="120"/>
      <c r="K1181" s="120"/>
      <c r="L1181" s="120"/>
    </row>
    <row r="1182" spans="3:12">
      <c r="C1182" s="120"/>
      <c r="D1182" s="120"/>
      <c r="E1182" s="120"/>
      <c r="F1182" s="134"/>
      <c r="H1182" s="127"/>
      <c r="I1182" s="120"/>
      <c r="J1182" s="120"/>
      <c r="K1182" s="120"/>
      <c r="L1182" s="120"/>
    </row>
    <row r="1183" spans="3:12">
      <c r="C1183" s="120"/>
      <c r="D1183" s="120"/>
      <c r="E1183" s="120"/>
      <c r="F1183" s="134"/>
      <c r="H1183" s="127"/>
      <c r="I1183" s="120"/>
      <c r="J1183" s="120"/>
      <c r="K1183" s="120"/>
      <c r="L1183" s="120"/>
    </row>
    <row r="1184" spans="3:12">
      <c r="C1184" s="120"/>
      <c r="D1184" s="120"/>
      <c r="E1184" s="120"/>
      <c r="F1184" s="134"/>
      <c r="H1184" s="127"/>
      <c r="I1184" s="120"/>
      <c r="J1184" s="120"/>
      <c r="K1184" s="120"/>
      <c r="L1184" s="120"/>
    </row>
    <row r="1185" spans="3:12">
      <c r="C1185" s="120"/>
      <c r="D1185" s="120"/>
      <c r="E1185" s="120"/>
      <c r="F1185" s="134"/>
      <c r="H1185" s="127"/>
      <c r="I1185" s="120"/>
      <c r="J1185" s="120"/>
      <c r="K1185" s="120"/>
      <c r="L1185" s="120"/>
    </row>
    <row r="1186" spans="3:12">
      <c r="C1186" s="120"/>
      <c r="D1186" s="120"/>
      <c r="E1186" s="120"/>
      <c r="F1186" s="134"/>
      <c r="H1186" s="127"/>
      <c r="I1186" s="120"/>
      <c r="J1186" s="120"/>
      <c r="K1186" s="120"/>
      <c r="L1186" s="120"/>
    </row>
    <row r="1187" spans="3:12">
      <c r="C1187" s="120"/>
      <c r="D1187" s="120"/>
      <c r="E1187" s="120"/>
      <c r="F1187" s="134"/>
      <c r="H1187" s="127"/>
      <c r="I1187" s="120"/>
      <c r="J1187" s="120"/>
      <c r="K1187" s="120"/>
      <c r="L1187" s="120"/>
    </row>
    <row r="1188" spans="3:12">
      <c r="C1188" s="120"/>
      <c r="D1188" s="120"/>
      <c r="E1188" s="120"/>
      <c r="F1188" s="134"/>
      <c r="H1188" s="127"/>
      <c r="I1188" s="120"/>
      <c r="J1188" s="120"/>
      <c r="K1188" s="120"/>
      <c r="L1188" s="120"/>
    </row>
    <row r="1189" spans="3:12">
      <c r="C1189" s="120"/>
      <c r="D1189" s="120"/>
      <c r="E1189" s="120"/>
      <c r="F1189" s="134"/>
      <c r="H1189" s="127"/>
      <c r="I1189" s="120"/>
      <c r="J1189" s="120"/>
      <c r="K1189" s="120"/>
      <c r="L1189" s="120"/>
    </row>
    <row r="1190" spans="3:12">
      <c r="C1190" s="120"/>
      <c r="D1190" s="120"/>
      <c r="E1190" s="120"/>
      <c r="F1190" s="134"/>
      <c r="H1190" s="127"/>
      <c r="I1190" s="120"/>
      <c r="J1190" s="120"/>
      <c r="K1190" s="120"/>
      <c r="L1190" s="120"/>
    </row>
    <row r="1191" spans="3:12">
      <c r="C1191" s="120"/>
      <c r="D1191" s="120"/>
      <c r="E1191" s="120"/>
      <c r="F1191" s="134"/>
      <c r="H1191" s="127"/>
      <c r="I1191" s="120"/>
      <c r="J1191" s="120"/>
      <c r="K1191" s="120"/>
      <c r="L1191" s="120"/>
    </row>
    <row r="1192" spans="3:12">
      <c r="C1192" s="120"/>
      <c r="D1192" s="120"/>
      <c r="E1192" s="120"/>
      <c r="F1192" s="134"/>
      <c r="H1192" s="127"/>
      <c r="I1192" s="120"/>
      <c r="J1192" s="120"/>
      <c r="K1192" s="120"/>
      <c r="L1192" s="120"/>
    </row>
    <row r="1193" spans="3:12">
      <c r="C1193" s="120"/>
      <c r="D1193" s="120"/>
      <c r="E1193" s="120"/>
      <c r="F1193" s="134"/>
      <c r="H1193" s="127"/>
      <c r="I1193" s="120"/>
      <c r="J1193" s="120"/>
      <c r="K1193" s="120"/>
      <c r="L1193" s="120"/>
    </row>
    <row r="1194" spans="3:12">
      <c r="C1194" s="120"/>
      <c r="D1194" s="120"/>
      <c r="E1194" s="120"/>
      <c r="F1194" s="134"/>
      <c r="H1194" s="127"/>
      <c r="I1194" s="120"/>
      <c r="J1194" s="120"/>
      <c r="K1194" s="120"/>
      <c r="L1194" s="120"/>
    </row>
    <row r="1195" spans="3:12">
      <c r="C1195" s="120"/>
      <c r="D1195" s="120"/>
      <c r="E1195" s="120"/>
      <c r="F1195" s="134"/>
      <c r="H1195" s="127"/>
      <c r="I1195" s="120"/>
      <c r="J1195" s="120"/>
      <c r="K1195" s="120"/>
      <c r="L1195" s="120"/>
    </row>
    <row r="1196" spans="3:12">
      <c r="C1196" s="120"/>
      <c r="D1196" s="120"/>
      <c r="E1196" s="120"/>
      <c r="F1196" s="134"/>
      <c r="H1196" s="127"/>
      <c r="I1196" s="120"/>
      <c r="J1196" s="120"/>
      <c r="K1196" s="120"/>
      <c r="L1196" s="120"/>
    </row>
    <row r="1197" spans="3:12">
      <c r="C1197" s="120"/>
      <c r="D1197" s="120"/>
      <c r="E1197" s="120"/>
      <c r="F1197" s="134"/>
      <c r="H1197" s="127"/>
      <c r="I1197" s="120"/>
      <c r="J1197" s="120"/>
      <c r="K1197" s="120"/>
      <c r="L1197" s="120"/>
    </row>
    <row r="1198" spans="3:12">
      <c r="C1198" s="120"/>
      <c r="D1198" s="120"/>
      <c r="E1198" s="120"/>
      <c r="F1198" s="134"/>
      <c r="H1198" s="127"/>
      <c r="I1198" s="120"/>
      <c r="J1198" s="120"/>
      <c r="K1198" s="120"/>
      <c r="L1198" s="120"/>
    </row>
    <row r="1199" spans="3:12">
      <c r="C1199" s="120"/>
      <c r="D1199" s="120"/>
      <c r="E1199" s="120"/>
      <c r="F1199" s="134"/>
      <c r="H1199" s="127"/>
      <c r="I1199" s="120"/>
      <c r="J1199" s="120"/>
      <c r="K1199" s="120"/>
      <c r="L1199" s="120"/>
    </row>
    <row r="1200" spans="3:12">
      <c r="C1200" s="120"/>
      <c r="D1200" s="120"/>
      <c r="E1200" s="120"/>
      <c r="F1200" s="134"/>
      <c r="H1200" s="127"/>
      <c r="I1200" s="120"/>
      <c r="J1200" s="120"/>
      <c r="K1200" s="120"/>
      <c r="L1200" s="120"/>
    </row>
    <row r="1201" spans="3:12">
      <c r="C1201" s="120"/>
      <c r="D1201" s="120"/>
      <c r="E1201" s="120"/>
      <c r="F1201" s="134"/>
      <c r="H1201" s="127"/>
      <c r="I1201" s="120"/>
      <c r="J1201" s="120"/>
      <c r="K1201" s="120"/>
      <c r="L1201" s="120"/>
    </row>
    <row r="1202" spans="3:12">
      <c r="C1202" s="120"/>
      <c r="D1202" s="120"/>
      <c r="E1202" s="120"/>
      <c r="F1202" s="134"/>
      <c r="H1202" s="127"/>
      <c r="I1202" s="120"/>
      <c r="J1202" s="120"/>
      <c r="K1202" s="120"/>
      <c r="L1202" s="120"/>
    </row>
    <row r="1203" spans="3:12">
      <c r="C1203" s="120"/>
      <c r="D1203" s="120"/>
      <c r="E1203" s="120"/>
      <c r="F1203" s="134"/>
      <c r="H1203" s="127"/>
      <c r="I1203" s="120"/>
      <c r="J1203" s="120"/>
      <c r="K1203" s="120"/>
      <c r="L1203" s="120"/>
    </row>
    <row r="1204" spans="3:12">
      <c r="C1204" s="120"/>
      <c r="D1204" s="120"/>
      <c r="E1204" s="120"/>
      <c r="F1204" s="134"/>
      <c r="H1204" s="127"/>
      <c r="I1204" s="120"/>
      <c r="J1204" s="120"/>
      <c r="K1204" s="120"/>
      <c r="L1204" s="120"/>
    </row>
    <row r="1205" spans="3:12">
      <c r="C1205" s="120"/>
      <c r="D1205" s="120"/>
      <c r="E1205" s="120"/>
      <c r="F1205" s="134"/>
      <c r="H1205" s="127"/>
      <c r="I1205" s="120"/>
      <c r="J1205" s="120"/>
      <c r="K1205" s="120"/>
      <c r="L1205" s="120"/>
    </row>
    <row r="1206" spans="3:12">
      <c r="C1206" s="120"/>
      <c r="D1206" s="120"/>
      <c r="E1206" s="120"/>
      <c r="F1206" s="134"/>
      <c r="H1206" s="127"/>
      <c r="I1206" s="120"/>
      <c r="J1206" s="120"/>
      <c r="K1206" s="120"/>
      <c r="L1206" s="120"/>
    </row>
    <row r="1207" spans="3:12">
      <c r="C1207" s="120"/>
      <c r="D1207" s="120"/>
      <c r="E1207" s="120"/>
      <c r="F1207" s="134"/>
      <c r="H1207" s="127"/>
      <c r="I1207" s="120"/>
      <c r="J1207" s="120"/>
      <c r="K1207" s="120"/>
      <c r="L1207" s="120"/>
    </row>
    <row r="1208" spans="3:12">
      <c r="C1208" s="120"/>
      <c r="D1208" s="120"/>
      <c r="E1208" s="120"/>
      <c r="F1208" s="134"/>
      <c r="H1208" s="127"/>
      <c r="I1208" s="120"/>
      <c r="J1208" s="120"/>
      <c r="K1208" s="120"/>
      <c r="L1208" s="120"/>
    </row>
    <row r="1209" spans="3:12">
      <c r="C1209" s="120"/>
      <c r="D1209" s="120"/>
      <c r="E1209" s="120"/>
      <c r="F1209" s="134"/>
      <c r="H1209" s="127"/>
      <c r="I1209" s="120"/>
      <c r="J1209" s="120"/>
      <c r="K1209" s="120"/>
      <c r="L1209" s="120"/>
    </row>
    <row r="1210" spans="3:12">
      <c r="C1210" s="120"/>
      <c r="D1210" s="120"/>
      <c r="E1210" s="120"/>
      <c r="F1210" s="134"/>
      <c r="H1210" s="127"/>
      <c r="I1210" s="120"/>
      <c r="J1210" s="120"/>
      <c r="K1210" s="120"/>
      <c r="L1210" s="120"/>
    </row>
    <row r="1211" spans="3:12">
      <c r="C1211" s="120"/>
      <c r="D1211" s="120"/>
      <c r="E1211" s="120"/>
      <c r="F1211" s="134"/>
      <c r="H1211" s="127"/>
      <c r="I1211" s="120"/>
      <c r="J1211" s="120"/>
      <c r="K1211" s="120"/>
      <c r="L1211" s="120"/>
    </row>
    <row r="1212" spans="3:12">
      <c r="C1212" s="120"/>
      <c r="D1212" s="120"/>
      <c r="E1212" s="120"/>
      <c r="F1212" s="134"/>
      <c r="H1212" s="127"/>
      <c r="I1212" s="120"/>
      <c r="J1212" s="120"/>
      <c r="K1212" s="120"/>
      <c r="L1212" s="120"/>
    </row>
    <row r="1213" spans="3:12">
      <c r="C1213" s="120"/>
      <c r="D1213" s="120"/>
      <c r="E1213" s="120"/>
      <c r="F1213" s="134"/>
      <c r="H1213" s="127"/>
      <c r="I1213" s="120"/>
      <c r="J1213" s="120"/>
      <c r="K1213" s="120"/>
      <c r="L1213" s="120"/>
    </row>
    <row r="1214" spans="3:12">
      <c r="C1214" s="120"/>
      <c r="D1214" s="120"/>
      <c r="E1214" s="120"/>
      <c r="F1214" s="134"/>
      <c r="H1214" s="127"/>
      <c r="I1214" s="120"/>
      <c r="J1214" s="120"/>
      <c r="K1214" s="120"/>
      <c r="L1214" s="120"/>
    </row>
    <row r="1215" spans="3:12">
      <c r="C1215" s="120"/>
      <c r="D1215" s="120"/>
      <c r="E1215" s="120"/>
      <c r="F1215" s="134"/>
      <c r="H1215" s="127"/>
      <c r="I1215" s="120"/>
      <c r="J1215" s="120"/>
      <c r="K1215" s="120"/>
      <c r="L1215" s="120"/>
    </row>
    <row r="1216" spans="3:12">
      <c r="C1216" s="120"/>
      <c r="D1216" s="120"/>
      <c r="E1216" s="120"/>
      <c r="F1216" s="134"/>
      <c r="H1216" s="127"/>
      <c r="I1216" s="120"/>
      <c r="J1216" s="120"/>
      <c r="K1216" s="120"/>
      <c r="L1216" s="120"/>
    </row>
    <row r="1217" spans="3:12">
      <c r="C1217" s="120"/>
      <c r="D1217" s="120"/>
      <c r="E1217" s="120"/>
      <c r="F1217" s="134"/>
      <c r="H1217" s="127"/>
      <c r="I1217" s="120"/>
      <c r="J1217" s="120"/>
      <c r="K1217" s="120"/>
      <c r="L1217" s="120"/>
    </row>
    <row r="1218" spans="3:12">
      <c r="C1218" s="120"/>
      <c r="D1218" s="120"/>
      <c r="E1218" s="120"/>
      <c r="F1218" s="134"/>
      <c r="H1218" s="127"/>
      <c r="I1218" s="120"/>
      <c r="J1218" s="120"/>
      <c r="K1218" s="120"/>
      <c r="L1218" s="120"/>
    </row>
    <row r="1219" spans="3:12">
      <c r="C1219" s="120"/>
      <c r="D1219" s="120"/>
      <c r="E1219" s="120"/>
      <c r="F1219" s="134"/>
      <c r="H1219" s="127"/>
      <c r="I1219" s="120"/>
      <c r="J1219" s="120"/>
      <c r="K1219" s="120"/>
      <c r="L1219" s="120"/>
    </row>
    <row r="1220" spans="3:12">
      <c r="C1220" s="120"/>
      <c r="D1220" s="120"/>
      <c r="E1220" s="120"/>
      <c r="F1220" s="134"/>
      <c r="H1220" s="127"/>
      <c r="I1220" s="120"/>
      <c r="J1220" s="120"/>
      <c r="K1220" s="120"/>
      <c r="L1220" s="120"/>
    </row>
    <row r="1221" spans="3:12">
      <c r="C1221" s="120"/>
      <c r="D1221" s="120"/>
      <c r="E1221" s="120"/>
      <c r="F1221" s="134"/>
      <c r="H1221" s="127"/>
      <c r="I1221" s="120"/>
      <c r="J1221" s="120"/>
      <c r="K1221" s="120"/>
      <c r="L1221" s="120"/>
    </row>
    <row r="1222" spans="3:12">
      <c r="C1222" s="120"/>
      <c r="D1222" s="120"/>
      <c r="E1222" s="120"/>
      <c r="F1222" s="134"/>
      <c r="H1222" s="127"/>
      <c r="I1222" s="120"/>
      <c r="J1222" s="120"/>
      <c r="K1222" s="120"/>
      <c r="L1222" s="120"/>
    </row>
    <row r="1223" spans="3:12">
      <c r="C1223" s="120"/>
      <c r="D1223" s="120"/>
      <c r="E1223" s="120"/>
      <c r="F1223" s="134"/>
      <c r="H1223" s="127"/>
      <c r="I1223" s="120"/>
      <c r="J1223" s="120"/>
      <c r="K1223" s="120"/>
      <c r="L1223" s="120"/>
    </row>
    <row r="1224" spans="3:12">
      <c r="C1224" s="120"/>
      <c r="D1224" s="120"/>
      <c r="E1224" s="120"/>
      <c r="F1224" s="134"/>
      <c r="H1224" s="127"/>
      <c r="I1224" s="120"/>
      <c r="J1224" s="120"/>
      <c r="K1224" s="120"/>
      <c r="L1224" s="120"/>
    </row>
    <row r="1225" spans="3:12">
      <c r="C1225" s="120"/>
      <c r="D1225" s="120"/>
      <c r="E1225" s="120"/>
      <c r="F1225" s="134"/>
      <c r="H1225" s="127"/>
      <c r="I1225" s="120"/>
      <c r="J1225" s="120"/>
      <c r="K1225" s="120"/>
      <c r="L1225" s="120"/>
    </row>
    <row r="1226" spans="3:12">
      <c r="C1226" s="120"/>
      <c r="D1226" s="120"/>
      <c r="E1226" s="120"/>
      <c r="F1226" s="134"/>
      <c r="H1226" s="127"/>
      <c r="I1226" s="120"/>
      <c r="J1226" s="120"/>
      <c r="K1226" s="120"/>
      <c r="L1226" s="120"/>
    </row>
    <row r="1227" spans="3:12">
      <c r="C1227" s="120"/>
      <c r="D1227" s="120"/>
      <c r="E1227" s="120"/>
      <c r="F1227" s="134"/>
      <c r="H1227" s="127"/>
      <c r="I1227" s="120"/>
      <c r="J1227" s="120"/>
      <c r="K1227" s="120"/>
      <c r="L1227" s="120"/>
    </row>
    <row r="1228" spans="3:12">
      <c r="C1228" s="120"/>
      <c r="D1228" s="120"/>
      <c r="E1228" s="120"/>
      <c r="F1228" s="134"/>
      <c r="H1228" s="127"/>
      <c r="I1228" s="120"/>
      <c r="J1228" s="120"/>
      <c r="K1228" s="120"/>
      <c r="L1228" s="120"/>
    </row>
    <row r="1229" spans="3:12">
      <c r="C1229" s="120"/>
      <c r="D1229" s="120"/>
      <c r="E1229" s="120"/>
      <c r="F1229" s="134"/>
      <c r="H1229" s="127"/>
      <c r="I1229" s="120"/>
      <c r="J1229" s="120"/>
      <c r="K1229" s="120"/>
      <c r="L1229" s="120"/>
    </row>
    <row r="1230" spans="3:12">
      <c r="C1230" s="120"/>
      <c r="D1230" s="120"/>
      <c r="E1230" s="120"/>
      <c r="F1230" s="134"/>
      <c r="H1230" s="127"/>
      <c r="I1230" s="120"/>
      <c r="J1230" s="120"/>
      <c r="K1230" s="120"/>
      <c r="L1230" s="120"/>
    </row>
    <row r="1231" spans="3:12">
      <c r="C1231" s="120"/>
      <c r="D1231" s="120"/>
      <c r="E1231" s="120"/>
      <c r="F1231" s="134"/>
      <c r="H1231" s="127"/>
      <c r="I1231" s="120"/>
      <c r="J1231" s="120"/>
      <c r="K1231" s="120"/>
      <c r="L1231" s="120"/>
    </row>
    <row r="1232" spans="3:12">
      <c r="C1232" s="120"/>
      <c r="D1232" s="120"/>
      <c r="E1232" s="120"/>
      <c r="F1232" s="134"/>
      <c r="H1232" s="127"/>
      <c r="I1232" s="120"/>
      <c r="J1232" s="120"/>
      <c r="K1232" s="120"/>
      <c r="L1232" s="120"/>
    </row>
    <row r="1233" spans="3:12">
      <c r="C1233" s="120"/>
      <c r="D1233" s="120"/>
      <c r="E1233" s="120"/>
      <c r="F1233" s="134"/>
      <c r="H1233" s="127"/>
      <c r="I1233" s="120"/>
      <c r="J1233" s="120"/>
      <c r="K1233" s="120"/>
      <c r="L1233" s="120"/>
    </row>
    <row r="1234" spans="3:12">
      <c r="C1234" s="120"/>
      <c r="D1234" s="120"/>
      <c r="E1234" s="120"/>
      <c r="F1234" s="134"/>
      <c r="H1234" s="127"/>
      <c r="I1234" s="120"/>
      <c r="J1234" s="120"/>
      <c r="K1234" s="120"/>
      <c r="L1234" s="120"/>
    </row>
    <row r="1235" spans="3:12">
      <c r="C1235" s="120"/>
      <c r="D1235" s="120"/>
      <c r="E1235" s="120"/>
      <c r="F1235" s="134"/>
      <c r="H1235" s="127"/>
      <c r="I1235" s="120"/>
      <c r="J1235" s="120"/>
      <c r="K1235" s="120"/>
      <c r="L1235" s="120"/>
    </row>
    <row r="1236" spans="3:12">
      <c r="C1236" s="120"/>
      <c r="D1236" s="120"/>
      <c r="E1236" s="120"/>
      <c r="F1236" s="134"/>
      <c r="H1236" s="127"/>
      <c r="I1236" s="120"/>
      <c r="J1236" s="120"/>
      <c r="K1236" s="120"/>
      <c r="L1236" s="120"/>
    </row>
    <row r="1237" spans="3:12">
      <c r="C1237" s="120"/>
      <c r="D1237" s="120"/>
      <c r="E1237" s="120"/>
      <c r="F1237" s="134"/>
      <c r="H1237" s="127"/>
      <c r="I1237" s="120"/>
      <c r="J1237" s="120"/>
      <c r="K1237" s="120"/>
      <c r="L1237" s="120"/>
    </row>
    <row r="1238" spans="3:12">
      <c r="C1238" s="120"/>
      <c r="D1238" s="120"/>
      <c r="E1238" s="120"/>
      <c r="F1238" s="134"/>
      <c r="H1238" s="127"/>
      <c r="I1238" s="120"/>
      <c r="J1238" s="120"/>
      <c r="K1238" s="120"/>
      <c r="L1238" s="120"/>
    </row>
    <row r="1239" spans="3:12">
      <c r="C1239" s="120"/>
      <c r="D1239" s="120"/>
      <c r="E1239" s="120"/>
      <c r="F1239" s="134"/>
      <c r="H1239" s="127"/>
      <c r="I1239" s="120"/>
      <c r="J1239" s="120"/>
      <c r="K1239" s="120"/>
      <c r="L1239" s="120"/>
    </row>
    <row r="1240" spans="3:12">
      <c r="C1240" s="120"/>
      <c r="D1240" s="120"/>
      <c r="E1240" s="120"/>
      <c r="F1240" s="134"/>
      <c r="H1240" s="127"/>
      <c r="I1240" s="120"/>
      <c r="J1240" s="120"/>
      <c r="K1240" s="120"/>
      <c r="L1240" s="120"/>
    </row>
    <row r="1241" spans="3:12">
      <c r="C1241" s="120"/>
      <c r="D1241" s="120"/>
      <c r="E1241" s="120"/>
      <c r="F1241" s="134"/>
      <c r="H1241" s="127"/>
      <c r="I1241" s="120"/>
      <c r="J1241" s="120"/>
      <c r="K1241" s="120"/>
      <c r="L1241" s="120"/>
    </row>
    <row r="1242" spans="3:12">
      <c r="C1242" s="120"/>
      <c r="D1242" s="120"/>
      <c r="E1242" s="120"/>
      <c r="F1242" s="134"/>
      <c r="H1242" s="127"/>
      <c r="I1242" s="120"/>
      <c r="J1242" s="120"/>
      <c r="K1242" s="120"/>
      <c r="L1242" s="120"/>
    </row>
    <row r="1243" spans="3:12">
      <c r="C1243" s="120"/>
      <c r="D1243" s="120"/>
      <c r="E1243" s="120"/>
      <c r="F1243" s="134"/>
      <c r="H1243" s="127"/>
      <c r="I1243" s="120"/>
      <c r="J1243" s="120"/>
      <c r="K1243" s="120"/>
      <c r="L1243" s="120"/>
    </row>
    <row r="1244" spans="3:12">
      <c r="C1244" s="120"/>
      <c r="D1244" s="120"/>
      <c r="E1244" s="120"/>
      <c r="F1244" s="134"/>
      <c r="H1244" s="127"/>
      <c r="I1244" s="120"/>
      <c r="J1244" s="120"/>
      <c r="K1244" s="120"/>
      <c r="L1244" s="120"/>
    </row>
    <row r="1245" spans="3:12">
      <c r="C1245" s="120"/>
      <c r="D1245" s="120"/>
      <c r="E1245" s="120"/>
      <c r="F1245" s="134"/>
      <c r="H1245" s="127"/>
      <c r="I1245" s="120"/>
      <c r="J1245" s="120"/>
      <c r="K1245" s="120"/>
      <c r="L1245" s="120"/>
    </row>
    <row r="1246" spans="3:12">
      <c r="C1246" s="120"/>
      <c r="D1246" s="120"/>
      <c r="E1246" s="120"/>
      <c r="F1246" s="134"/>
      <c r="H1246" s="127"/>
      <c r="I1246" s="120"/>
      <c r="J1246" s="120"/>
      <c r="K1246" s="120"/>
      <c r="L1246" s="120"/>
    </row>
    <row r="1247" spans="3:12">
      <c r="C1247" s="120"/>
      <c r="D1247" s="120"/>
      <c r="E1247" s="120"/>
      <c r="F1247" s="134"/>
      <c r="H1247" s="127"/>
      <c r="I1247" s="120"/>
      <c r="J1247" s="120"/>
      <c r="K1247" s="120"/>
      <c r="L1247" s="120"/>
    </row>
    <row r="1248" spans="3:12">
      <c r="C1248" s="120"/>
      <c r="D1248" s="120"/>
      <c r="E1248" s="120"/>
      <c r="F1248" s="134"/>
      <c r="H1248" s="127"/>
      <c r="I1248" s="120"/>
      <c r="J1248" s="120"/>
      <c r="K1248" s="120"/>
      <c r="L1248" s="120"/>
    </row>
    <row r="1249" spans="3:12">
      <c r="C1249" s="120"/>
      <c r="D1249" s="120"/>
      <c r="E1249" s="120"/>
      <c r="F1249" s="134"/>
      <c r="H1249" s="127"/>
      <c r="I1249" s="120"/>
      <c r="J1249" s="120"/>
      <c r="K1249" s="120"/>
      <c r="L1249" s="120"/>
    </row>
    <row r="1250" spans="3:12">
      <c r="C1250" s="120"/>
      <c r="D1250" s="120"/>
      <c r="E1250" s="120"/>
      <c r="F1250" s="134"/>
      <c r="H1250" s="127"/>
      <c r="I1250" s="120"/>
      <c r="J1250" s="120"/>
      <c r="K1250" s="120"/>
      <c r="L1250" s="120"/>
    </row>
    <row r="1251" spans="3:12">
      <c r="C1251" s="120"/>
      <c r="D1251" s="120"/>
      <c r="E1251" s="120"/>
      <c r="F1251" s="134"/>
      <c r="H1251" s="127"/>
      <c r="I1251" s="120"/>
      <c r="J1251" s="120"/>
      <c r="K1251" s="120"/>
      <c r="L1251" s="120"/>
    </row>
    <row r="1252" spans="3:12">
      <c r="C1252" s="120"/>
      <c r="D1252" s="120"/>
      <c r="E1252" s="120"/>
      <c r="F1252" s="134"/>
      <c r="H1252" s="127"/>
      <c r="I1252" s="120"/>
      <c r="J1252" s="120"/>
      <c r="K1252" s="120"/>
      <c r="L1252" s="120"/>
    </row>
    <row r="1253" spans="3:12">
      <c r="C1253" s="120"/>
      <c r="D1253" s="120"/>
      <c r="E1253" s="120"/>
      <c r="F1253" s="134"/>
      <c r="H1253" s="127"/>
      <c r="I1253" s="120"/>
      <c r="J1253" s="120"/>
      <c r="K1253" s="120"/>
      <c r="L1253" s="120"/>
    </row>
    <row r="1254" spans="3:12">
      <c r="C1254" s="120"/>
      <c r="D1254" s="120"/>
      <c r="E1254" s="120"/>
      <c r="F1254" s="134"/>
      <c r="H1254" s="127"/>
      <c r="I1254" s="120"/>
      <c r="J1254" s="120"/>
      <c r="K1254" s="120"/>
      <c r="L1254" s="120"/>
    </row>
    <row r="1255" spans="3:12">
      <c r="C1255" s="120"/>
      <c r="D1255" s="120"/>
      <c r="E1255" s="120"/>
      <c r="F1255" s="134"/>
      <c r="H1255" s="127"/>
      <c r="I1255" s="120"/>
      <c r="J1255" s="120"/>
      <c r="K1255" s="120"/>
      <c r="L1255" s="120"/>
    </row>
    <row r="1256" spans="3:12">
      <c r="C1256" s="120"/>
      <c r="D1256" s="120"/>
      <c r="E1256" s="120"/>
      <c r="F1256" s="134"/>
      <c r="H1256" s="127"/>
      <c r="I1256" s="120"/>
      <c r="J1256" s="120"/>
      <c r="K1256" s="120"/>
      <c r="L1256" s="120"/>
    </row>
    <row r="1257" spans="3:12">
      <c r="C1257" s="120"/>
      <c r="D1257" s="120"/>
      <c r="E1257" s="120"/>
      <c r="F1257" s="134"/>
      <c r="H1257" s="127"/>
      <c r="I1257" s="120"/>
      <c r="J1257" s="120"/>
      <c r="K1257" s="120"/>
      <c r="L1257" s="120"/>
    </row>
    <row r="1258" spans="3:12">
      <c r="C1258" s="120"/>
      <c r="D1258" s="120"/>
      <c r="E1258" s="120"/>
      <c r="F1258" s="134"/>
      <c r="H1258" s="127"/>
      <c r="I1258" s="120"/>
      <c r="J1258" s="120"/>
      <c r="K1258" s="120"/>
      <c r="L1258" s="120"/>
    </row>
    <row r="1259" spans="3:12">
      <c r="C1259" s="120"/>
      <c r="D1259" s="120"/>
      <c r="E1259" s="120"/>
      <c r="F1259" s="134"/>
      <c r="H1259" s="127"/>
      <c r="I1259" s="120"/>
      <c r="J1259" s="120"/>
      <c r="K1259" s="120"/>
      <c r="L1259" s="120"/>
    </row>
    <row r="1260" spans="3:12">
      <c r="C1260" s="120"/>
      <c r="D1260" s="120"/>
      <c r="E1260" s="120"/>
      <c r="F1260" s="134"/>
      <c r="H1260" s="127"/>
      <c r="I1260" s="120"/>
      <c r="J1260" s="120"/>
      <c r="K1260" s="120"/>
      <c r="L1260" s="120"/>
    </row>
    <row r="1261" spans="3:12">
      <c r="C1261" s="120"/>
      <c r="D1261" s="120"/>
      <c r="E1261" s="120"/>
      <c r="F1261" s="134"/>
      <c r="H1261" s="127"/>
      <c r="I1261" s="120"/>
      <c r="J1261" s="120"/>
      <c r="K1261" s="120"/>
      <c r="L1261" s="120"/>
    </row>
    <row r="1262" spans="3:12">
      <c r="C1262" s="120"/>
      <c r="D1262" s="120"/>
      <c r="E1262" s="120"/>
      <c r="F1262" s="134"/>
      <c r="H1262" s="127"/>
      <c r="I1262" s="120"/>
      <c r="J1262" s="120"/>
      <c r="K1262" s="120"/>
      <c r="L1262" s="120"/>
    </row>
    <row r="1263" spans="3:12">
      <c r="C1263" s="120"/>
      <c r="D1263" s="120"/>
      <c r="E1263" s="120"/>
      <c r="F1263" s="134"/>
      <c r="H1263" s="127"/>
      <c r="I1263" s="120"/>
      <c r="J1263" s="120"/>
      <c r="K1263" s="120"/>
      <c r="L1263" s="120"/>
    </row>
    <row r="1264" spans="3:12">
      <c r="C1264" s="120"/>
      <c r="D1264" s="120"/>
      <c r="E1264" s="120"/>
      <c r="F1264" s="134"/>
      <c r="H1264" s="127"/>
      <c r="I1264" s="120"/>
      <c r="J1264" s="120"/>
      <c r="K1264" s="120"/>
      <c r="L1264" s="120"/>
    </row>
    <row r="1265" spans="3:12">
      <c r="C1265" s="120"/>
      <c r="D1265" s="120"/>
      <c r="E1265" s="120"/>
      <c r="F1265" s="134"/>
      <c r="H1265" s="127"/>
      <c r="I1265" s="120"/>
      <c r="J1265" s="120"/>
      <c r="K1265" s="120"/>
      <c r="L1265" s="120"/>
    </row>
    <row r="1266" spans="3:12">
      <c r="C1266" s="120"/>
      <c r="D1266" s="120"/>
      <c r="E1266" s="120"/>
      <c r="F1266" s="134"/>
      <c r="H1266" s="127"/>
      <c r="I1266" s="120"/>
      <c r="J1266" s="120"/>
      <c r="K1266" s="120"/>
      <c r="L1266" s="120"/>
    </row>
    <row r="1267" spans="3:12">
      <c r="C1267" s="120"/>
      <c r="D1267" s="120"/>
      <c r="E1267" s="120"/>
      <c r="F1267" s="134"/>
      <c r="H1267" s="127"/>
      <c r="I1267" s="120"/>
      <c r="J1267" s="120"/>
      <c r="K1267" s="120"/>
      <c r="L1267" s="120"/>
    </row>
    <row r="1268" spans="3:12">
      <c r="C1268" s="120"/>
      <c r="D1268" s="120"/>
      <c r="E1268" s="120"/>
      <c r="F1268" s="134"/>
      <c r="H1268" s="127"/>
      <c r="I1268" s="120"/>
      <c r="J1268" s="120"/>
      <c r="K1268" s="120"/>
      <c r="L1268" s="120"/>
    </row>
    <row r="1269" spans="3:12">
      <c r="C1269" s="120"/>
      <c r="D1269" s="120"/>
      <c r="E1269" s="120"/>
      <c r="F1269" s="134"/>
      <c r="H1269" s="127"/>
      <c r="I1269" s="120"/>
      <c r="J1269" s="120"/>
      <c r="K1269" s="120"/>
      <c r="L1269" s="120"/>
    </row>
    <row r="1270" spans="3:12">
      <c r="C1270" s="120"/>
      <c r="D1270" s="120"/>
      <c r="E1270" s="120"/>
      <c r="F1270" s="134"/>
      <c r="H1270" s="127"/>
      <c r="I1270" s="120"/>
      <c r="J1270" s="120"/>
      <c r="K1270" s="120"/>
      <c r="L1270" s="120"/>
    </row>
    <row r="1271" spans="3:12">
      <c r="C1271" s="120"/>
      <c r="D1271" s="120"/>
      <c r="E1271" s="120"/>
      <c r="F1271" s="134"/>
      <c r="H1271" s="127"/>
      <c r="I1271" s="120"/>
      <c r="J1271" s="120"/>
      <c r="K1271" s="120"/>
      <c r="L1271" s="120"/>
    </row>
    <row r="1272" spans="3:12">
      <c r="C1272" s="120"/>
      <c r="D1272" s="120"/>
      <c r="E1272" s="120"/>
      <c r="F1272" s="134"/>
      <c r="H1272" s="127"/>
      <c r="I1272" s="120"/>
      <c r="J1272" s="120"/>
      <c r="K1272" s="120"/>
      <c r="L1272" s="120"/>
    </row>
    <row r="1273" spans="3:12">
      <c r="C1273" s="120"/>
      <c r="D1273" s="120"/>
      <c r="E1273" s="120"/>
      <c r="F1273" s="134"/>
      <c r="H1273" s="127"/>
      <c r="I1273" s="120"/>
      <c r="J1273" s="120"/>
      <c r="K1273" s="120"/>
      <c r="L1273" s="120"/>
    </row>
    <row r="1274" spans="3:12">
      <c r="C1274" s="120"/>
      <c r="D1274" s="120"/>
      <c r="E1274" s="120"/>
      <c r="F1274" s="134"/>
      <c r="H1274" s="127"/>
      <c r="I1274" s="120"/>
      <c r="J1274" s="120"/>
      <c r="K1274" s="120"/>
      <c r="L1274" s="120"/>
    </row>
  </sheetData>
  <sheetProtection formatCells="0" formatColumns="0" formatRows="0" insertRows="0" insertHyperlinks="0" deleteRows="0" selectLockedCells="1" sort="0" autoFilter="0" pivotTables="0"/>
  <protectedRanges>
    <protectedRange sqref="A2" name="Range1"/>
    <protectedRange sqref="B2" name="Range1_1"/>
    <protectedRange sqref="C2" name="Range1_1_1"/>
    <protectedRange sqref="D2:E2" name="Range1_1_2"/>
    <protectedRange sqref="F2" name="Range1_1_3"/>
    <protectedRange sqref="G2" name="Range1_1_4"/>
    <protectedRange sqref="H2:L2" name="Range1_1_5"/>
    <protectedRange sqref="G1:I1" name="Range1_1_6"/>
    <protectedRange sqref="M1:Q5" name="Range1_1_7"/>
    <protectedRange sqref="A3:E4 B5:E5 A5:A219" name="Range1_1_8"/>
    <protectedRange sqref="R2:S5" name="Range1_1_7_1"/>
    <protectedRange sqref="T2:AD2" name="Range1_1_7_2"/>
  </protectedRanges>
  <mergeCells count="5">
    <mergeCell ref="U1:AD1"/>
    <mergeCell ref="G1:I1"/>
    <mergeCell ref="M1:T1"/>
    <mergeCell ref="B1:C1"/>
    <mergeCell ref="J1:L1"/>
  </mergeCells>
  <conditionalFormatting sqref="B2">
    <cfRule type="duplicateValues" dxfId="3" priority="15"/>
  </conditionalFormatting>
  <conditionalFormatting sqref="B220:B1048576 B1">
    <cfRule type="duplicateValues" dxfId="2" priority="525"/>
  </conditionalFormatting>
  <conditionalFormatting sqref="B219 B3:B215">
    <cfRule type="duplicateValues" dxfId="1" priority="2"/>
  </conditionalFormatting>
  <conditionalFormatting sqref="B216:B218">
    <cfRule type="duplicateValues" dxfId="0" priority="1"/>
  </conditionalFormatting>
  <dataValidations count="5">
    <dataValidation type="list" allowBlank="1" showInputMessage="1" showErrorMessage="1" sqref="N2" xr:uid="{00000000-0002-0000-0700-000000000000}">
      <formula1>IF($J2="Product",Requirement_Applicability,Information)</formula1>
    </dataValidation>
    <dataValidation type="list" allowBlank="1" showErrorMessage="1" promptTitle="Compliance Leve" prompt="Select appropriate compliance level" sqref="L212:L219 L210 L3:L205" xr:uid="{00000000-0002-0000-0700-000001000000}">
      <formula1>"Must,Suggested"</formula1>
    </dataValidation>
    <dataValidation type="list" allowBlank="1" showInputMessage="1" showErrorMessage="1" sqref="I138:I152 I193:I219 I183 I11 I13:I18 I8 I61:I63 I4:I6 I20:I33 I35:I37 I39:I53 I55:I59 I92 I187:I190 I154:I157 I159:I165 I167:I168 I170:I181 I185 I112:I136 I65:I90 I94:I97 J3:K219 G3:H219 I99:I110" xr:uid="{00000000-0002-0000-0700-000002000000}">
      <formula1>IF(OR($G3="Information",#REF!="Other"),Information,INDIRECT(#REF!))</formula1>
    </dataValidation>
    <dataValidation type="list" allowBlank="1" showInputMessage="1" showErrorMessage="1" sqref="I3 I191:I192 I9:I10 I12 I19 I64 I184 I7 I34 I38 I54 I60 I91 I93 I98 I111 I153 I166 I169 I182 I186 I137" xr:uid="{00000000-0002-0000-0700-000003000000}">
      <formula1>IF(OR($E3="Information",$I3="Other",$I3="Process_Other"),Information,INDIRECT($K3))</formula1>
    </dataValidation>
    <dataValidation type="list" allowBlank="1" showInputMessage="1" showErrorMessage="1" sqref="I158" xr:uid="{00000000-0002-0000-0700-000004000000}">
      <formula1>IF(OR($E158="Information",#REF!="Other"),Information,INDIRECT(#REF!))</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4:AB23"/>
  <sheetViews>
    <sheetView zoomScale="80" zoomScaleNormal="60" workbookViewId="0">
      <selection activeCell="H11" sqref="H11"/>
    </sheetView>
  </sheetViews>
  <sheetFormatPr defaultRowHeight="12.75"/>
  <cols>
    <col min="1" max="1" width="9.140625" style="2"/>
    <col min="2" max="2" width="20.85546875" style="3" customWidth="1"/>
    <col min="3" max="3" width="11" style="2" customWidth="1"/>
    <col min="4" max="4" width="20.85546875" style="2" customWidth="1"/>
    <col min="5" max="5" width="7.42578125" style="3" customWidth="1"/>
    <col min="6" max="20" width="23.7109375" style="3" customWidth="1"/>
    <col min="21" max="28" width="9.140625" style="3"/>
    <col min="29" max="16384" width="9.140625" style="2"/>
  </cols>
  <sheetData>
    <row r="4" spans="2:6" ht="15">
      <c r="B4" s="1" t="s">
        <v>7020</v>
      </c>
      <c r="D4" s="2" t="s">
        <v>3577</v>
      </c>
    </row>
    <row r="5" spans="2:6">
      <c r="B5" s="4" t="s">
        <v>7021</v>
      </c>
    </row>
    <row r="6" spans="2:6" ht="30">
      <c r="B6" s="4" t="s">
        <v>57</v>
      </c>
      <c r="D6" s="1" t="s">
        <v>7022</v>
      </c>
    </row>
    <row r="7" spans="2:6">
      <c r="B7" s="2"/>
      <c r="D7" s="4" t="s">
        <v>7023</v>
      </c>
    </row>
    <row r="8" spans="2:6">
      <c r="B8" s="2"/>
      <c r="D8" s="4" t="s">
        <v>7024</v>
      </c>
    </row>
    <row r="10" spans="2:6" ht="15">
      <c r="C10" s="3"/>
      <c r="D10" s="3"/>
      <c r="F10" s="5" t="s">
        <v>81</v>
      </c>
    </row>
    <row r="11" spans="2:6">
      <c r="C11" s="3"/>
      <c r="D11" s="3"/>
      <c r="F11" s="37" t="s">
        <v>5965</v>
      </c>
    </row>
    <row r="12" spans="2:6">
      <c r="C12" s="3"/>
      <c r="D12" s="3"/>
      <c r="F12" s="37" t="s">
        <v>6100</v>
      </c>
    </row>
    <row r="13" spans="2:6">
      <c r="C13" s="3"/>
      <c r="D13" s="3"/>
    </row>
    <row r="15" spans="2:6" ht="15">
      <c r="B15" s="1" t="s">
        <v>7025</v>
      </c>
      <c r="D15" s="1" t="s">
        <v>7026</v>
      </c>
    </row>
    <row r="16" spans="2:6">
      <c r="B16" s="6" t="s">
        <v>5960</v>
      </c>
      <c r="D16" s="4" t="s">
        <v>378</v>
      </c>
    </row>
    <row r="17" spans="2:4">
      <c r="B17" s="6" t="s">
        <v>375</v>
      </c>
      <c r="D17" s="4" t="s">
        <v>379</v>
      </c>
    </row>
    <row r="18" spans="2:4">
      <c r="B18" s="6" t="s">
        <v>384</v>
      </c>
    </row>
    <row r="19" spans="2:4">
      <c r="B19" s="6" t="s">
        <v>206</v>
      </c>
    </row>
    <row r="20" spans="2:4">
      <c r="B20" s="6" t="s">
        <v>226</v>
      </c>
    </row>
    <row r="21" spans="2:4">
      <c r="B21" s="6" t="s">
        <v>218</v>
      </c>
    </row>
    <row r="22" spans="2:4">
      <c r="B22" s="6" t="s">
        <v>434</v>
      </c>
    </row>
    <row r="23" spans="2:4">
      <c r="B23" s="6" t="s">
        <v>403</v>
      </c>
    </row>
  </sheetData>
  <protectedRanges>
    <protectedRange sqref="F10:F12" name="Range1_1"/>
  </protectedRange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C38691C0712A647B4C8B34D6DFC4A78" ma:contentTypeVersion="7" ma:contentTypeDescription="Create a new document." ma:contentTypeScope="" ma:versionID="db4e8afb22a21dc0c4ebdd9bef1cc1ef">
  <xsd:schema xmlns:xsd="http://www.w3.org/2001/XMLSchema" xmlns:xs="http://www.w3.org/2001/XMLSchema" xmlns:p="http://schemas.microsoft.com/office/2006/metadata/properties" xmlns:ns2="a6a4f25b-c53d-406b-8a5d-882bf04e858b" xmlns:ns3="a7e70303-747e-40db-9cae-c3913d3a1db6" targetNamespace="http://schemas.microsoft.com/office/2006/metadata/properties" ma:root="true" ma:fieldsID="f07ef29b21fe4e7133cf46fb97fc3fd8" ns2:_="" ns3:_="">
    <xsd:import namespace="a6a4f25b-c53d-406b-8a5d-882bf04e858b"/>
    <xsd:import namespace="a7e70303-747e-40db-9cae-c3913d3a1db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a4f25b-c53d-406b-8a5d-882bf04e85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7e70303-747e-40db-9cae-c3913d3a1db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B7E7006-167D-4AD1-BB82-18C7CDD26D51}"/>
</file>

<file path=customXml/itemProps2.xml><?xml version="1.0" encoding="utf-8"?>
<ds:datastoreItem xmlns:ds="http://schemas.openxmlformats.org/officeDocument/2006/customXml" ds:itemID="{C79C6474-1F16-47F0-9EFE-9C58A2FA8535}"/>
</file>

<file path=customXml/itemProps3.xml><?xml version="1.0" encoding="utf-8"?>
<ds:datastoreItem xmlns:ds="http://schemas.openxmlformats.org/officeDocument/2006/customXml" ds:itemID="{9F58623F-4003-4BA5-B9BE-32FECB96D90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jesuarockiana.aruln@hcl.com</dc:creator>
  <cp:keywords/>
  <dc:description/>
  <cp:lastModifiedBy>Feroze Basha S</cp:lastModifiedBy>
  <cp:revision/>
  <dcterms:created xsi:type="dcterms:W3CDTF">2020-02-18T10:37:41Z</dcterms:created>
  <dcterms:modified xsi:type="dcterms:W3CDTF">2025-02-10T09:25:36Z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0x010100EC38691C0712A647B4C8B34D6DFC4A78</vt:lpwstr>
  </property>
  <property fmtid="{D5CDD505-2E9C-101B-9397-08002B2CF9AE}" pid="3" name="TitusGUID">
    <vt:lpwstr>e71248cb-ccaf-440a-a1fd-f72004e1f914</vt:lpwstr>
  </property>
  <property fmtid="{D5CDD505-2E9C-101B-9397-08002B2CF9AE}" pid="4" name="HCL_Cla5s_D6">
    <vt:lpwstr>False</vt:lpwstr>
  </property>
  <property fmtid="{D5CDD505-2E9C-101B-9397-08002B2CF9AE}" pid="5" name="HCLClassD6">
    <vt:lpwstr>False</vt:lpwstr>
  </property>
  <property fmtid="{D5CDD505-2E9C-101B-9397-08002B2CF9AE}" pid="6" name="HCLClassification">
    <vt:lpwstr>HCL_Cla5s_C0nf1dent1al</vt:lpwstr>
  </property>
</Properties>
</file>